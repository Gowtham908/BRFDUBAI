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user\Desktop\BRF\BRF011\"/>
    </mc:Choice>
  </mc:AlternateContent>
  <xr:revisionPtr revIDLastSave="0" documentId="8_{53D138E9-2E6A-4C67-97FC-75BDD181FF8F}" xr6:coauthVersionLast="36" xr6:coauthVersionMax="36" xr10:uidLastSave="{00000000-0000-0000-0000-000000000000}"/>
  <bookViews>
    <workbookView xWindow="0" yWindow="0" windowWidth="19200" windowHeight="6810" xr2:uid="{21DE417D-C1C9-43B5-935F-D93EE5AFE642}"/>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3" i="1" l="1"/>
  <c r="A44" i="1" s="1"/>
  <c r="A45" i="1" s="1"/>
  <c r="A46" i="1" s="1"/>
  <c r="A47" i="1" s="1"/>
  <c r="A49" i="1" s="1"/>
  <c r="A50" i="1" s="1"/>
  <c r="A51" i="1" s="1"/>
  <c r="A52" i="1" s="1"/>
  <c r="A53" i="1" s="1"/>
  <c r="A54" i="1" s="1"/>
  <c r="A56" i="1" s="1"/>
  <c r="A57" i="1" s="1"/>
  <c r="A58" i="1" s="1"/>
  <c r="A59" i="1" s="1"/>
  <c r="A24" i="1"/>
  <c r="A13" i="1"/>
  <c r="A14" i="1" s="1"/>
  <c r="A15" i="1" s="1"/>
  <c r="A16" i="1" s="1"/>
  <c r="A17" i="1" s="1"/>
  <c r="A18" i="1" s="1"/>
  <c r="A19" i="1" s="1"/>
  <c r="A20" i="1" s="1"/>
  <c r="A21" i="1" s="1"/>
</calcChain>
</file>

<file path=xl/sharedStrings.xml><?xml version="1.0" encoding="utf-8"?>
<sst xmlns="http://schemas.openxmlformats.org/spreadsheetml/2006/main" count="104" uniqueCount="79">
  <si>
    <t>Description</t>
  </si>
  <si>
    <t>ASSETS - RESIDENT &amp; NON-RESIDENT</t>
  </si>
  <si>
    <t>Logic From CBS</t>
  </si>
  <si>
    <t>Highly Liquid Assets</t>
  </si>
  <si>
    <t>Cash, reserves and balances with Central Bank</t>
  </si>
  <si>
    <t>Central Bank CDs</t>
  </si>
  <si>
    <t>UAE Federal and Emirate Governments debt securities (0% risk weighted)</t>
  </si>
  <si>
    <t>Due from other banks/banking entities (BRF01 2 and 3)</t>
  </si>
  <si>
    <t>Interbank CDs held (from non resident banks only)</t>
  </si>
  <si>
    <t>Debt  Securities</t>
  </si>
  <si>
    <t>Foreign sovereign debt (rated AA- or higher)</t>
  </si>
  <si>
    <t>Foreign sovereign debt (rated A- to A+)</t>
  </si>
  <si>
    <t>Foreign sovereign debt (rated BBB- to BBB+)</t>
  </si>
  <si>
    <t>Foreign sovereign debt (Non rated or below BBB-)</t>
  </si>
  <si>
    <t>Corporate bonds/ Sukuks (Rated AA- or higher)</t>
  </si>
  <si>
    <t>Corporate bonds/ Sukuks (Rated A- to A+)</t>
  </si>
  <si>
    <t>Corporate bonds/ Sukuks (Rated BBB- to BBB+)</t>
  </si>
  <si>
    <t>Corporate bonds/ Sukuks (Non rated or below BBB- )</t>
  </si>
  <si>
    <t>Other investments</t>
  </si>
  <si>
    <t>Financial Institutions-Fixed Income Securities- Resident</t>
  </si>
  <si>
    <t>Financial Institutions- Fixed income securities- Non-Resident</t>
  </si>
  <si>
    <t>Investment in Equities- Quoted</t>
  </si>
  <si>
    <t>Investment in Equities- Unquoted</t>
  </si>
  <si>
    <t>Investment in subsidiaries, affiliates &amp; associates</t>
  </si>
  <si>
    <t>Net Fixed Assets (Item 9 of BRF 1)</t>
  </si>
  <si>
    <t>Loans and advances &amp; other assets</t>
  </si>
  <si>
    <t>Government and Public Sector</t>
  </si>
  <si>
    <t>GREs ( Govt ownership of more than 50% )</t>
  </si>
  <si>
    <t>Private Sector (Corporate)</t>
  </si>
  <si>
    <t>Non Banking Financial Institutions</t>
  </si>
  <si>
    <t>HNIs, SMEs and Individuals more than AED 20 Mln</t>
  </si>
  <si>
    <t>HNIs, SMEs and Individuals- Up to AED 20 Mln</t>
  </si>
  <si>
    <t>Trade Bills- Gov &amp; Public Sector Entities</t>
  </si>
  <si>
    <t>Trade Bills- Private Sector (Corporate)</t>
  </si>
  <si>
    <t>Non Performing Loans</t>
  </si>
  <si>
    <t>Other Assets1</t>
  </si>
  <si>
    <t>TOTAL ASSETS</t>
  </si>
  <si>
    <t xml:space="preserve">LIABILITIES- RESIDENT &amp; NON-RESIDENT </t>
  </si>
  <si>
    <t>Interbank, Gov and CB</t>
  </si>
  <si>
    <t>Deposits from and balances due to resident banks</t>
  </si>
  <si>
    <t>Interbank CDs issued (to non resident banks only)</t>
  </si>
  <si>
    <t>Deposits from and balances due to overseas banks</t>
  </si>
  <si>
    <t>Refinancing under Govt. Housing scheme</t>
  </si>
  <si>
    <t>Due to Central Bank</t>
  </si>
  <si>
    <t>Deposits</t>
  </si>
  <si>
    <t>Other Liabilities and Equity</t>
  </si>
  <si>
    <t>Capital Market instruments</t>
  </si>
  <si>
    <t>Other liabilities (refer note: 1)</t>
  </si>
  <si>
    <t>Provisions (Specific, interest in suspense, collective impairment provisions)</t>
  </si>
  <si>
    <t>Capital and Reserves</t>
  </si>
  <si>
    <t>TOTAL LIABILITIES AND EQUITY</t>
  </si>
  <si>
    <t>Nil</t>
  </si>
  <si>
    <t>Need clarification</t>
  </si>
  <si>
    <t>NIL</t>
  </si>
  <si>
    <t>KTP account should be included -A31013016,  A31031210, A34022024, A34022200, A66044200</t>
  </si>
  <si>
    <t>Sub Head GL Code - 26500 &amp; 21100,Sub Head GL Code - 22203  and also include the KTP accounts A22010043,A22022020</t>
  </si>
  <si>
    <t>sum from the  GL code 15501 and 25501</t>
  </si>
  <si>
    <t>Select all the account in these Legal Entity Type  - GOVTF, CGOVB, CB, GOVT, GOVTL ,GOVTE ,PSENO, PSEN,PSEC, PSECO</t>
  </si>
  <si>
    <t>No.</t>
  </si>
  <si>
    <t>If Legal Entity Type is - PSEC, PSECO</t>
  </si>
  <si>
    <t xml:space="preserve">The Logic for Categorisation shall be based on the: 
Sector code, Number of Employee and Turnover: 
a. If Sector Code is Services and Number of employee is more than 200 or Turnover is above 200 Mn. 
b. If Sector Code is Industrial and Number of employee is more than 250 or Turnover is above 250 Mn. 
c. If Sector Code is Trading and Number of employee is more than 200 or Turnover is above 250 Mn. </t>
  </si>
  <si>
    <t>NBFC,MAX</t>
  </si>
  <si>
    <t xml:space="preserve">If Constiution code:44101, 44102, 44103, 44104, 44105, 44106, 44107, 44108, 44109, 44110, 44111, 44112, 44113, 44114, 44115, 44116, 44199, 44201, 44202, 44203, 44204, 44205, 44206, 44207, 44208, 44209, 44210, 44211, 44212, 44213, 44214, 44215, 44216, 44217, 44299, 71005, HUFJT, INDL, INDVF, INDVM, NREIN, RESIN, and WPS ---If Customer is Individual and Net Worth is above AED 20 Mn </t>
  </si>
  <si>
    <t xml:space="preserve">If Constiution code:44101, 44102, 44103, 44104, 44105, 44106, 44107, 44108, 44109, 44110, 44111, 44112, 44113, 44114, 44115, 44116, 44199, 44201, 44202, 44203, 44204, 44205, 44206, 44207, 44208, 44209, 44210, 44211, 44212, 44213, 44214, 44215, 44216, 44217, 44299, 71005, HUFJT, INDL, INDVF, INDVM, NREIN, RESIN, and WPS ---If Customer is Individual and Net Worth is below and  AED 20 Mn </t>
  </si>
  <si>
    <t>IF GL Sub Head Code is - 24101,24102, 24116, 24117, 24122, 24146</t>
  </si>
  <si>
    <t>INCLUDE KTP ACCOUNT A22022018</t>
  </si>
  <si>
    <t>INCLUDE KTP ACCOUNT 'A31013016', 'A31031210'</t>
  </si>
  <si>
    <t>The is Exposure to Banks under Advances - If Purpose of Advances Code is 9001, 9002, 9003, 9004, 9005, 9007, 9009, 9034, 9035, 9036 and 9037  and NRE flag should be 'N' AND INCLUDE KTP ACCOUNT A22022008</t>
  </si>
  <si>
    <t>The is Exposure to Banks under Advances - If Purpose of Advances Code is 9001, 9002, 9003, 9004, 9005, 9007, 9009, 9034, 9035, 9036 and 9037  and NRE flag should be 'Y' AND INCLUDE KTP ACCOUNT A22022008</t>
  </si>
  <si>
    <t>INCLUDE THE KTP ACCOUNT A34022024</t>
  </si>
  <si>
    <t>INCLUDE THE KTP ACCOUNT A66044200</t>
  </si>
  <si>
    <t>INCLUDE THE KTP ACCOUNT A34022200</t>
  </si>
  <si>
    <t>GL Sub Head Code - 26101,26681 and KTP GL Code - A62011102, A62011117, A62011118, A62013218, A62013219, A62052000 AND INCLUDED THE GL CODE 2600. HAVE TO INCLUDE (</t>
  </si>
  <si>
    <t xml:space="preserve"> </t>
  </si>
  <si>
    <t xml:space="preserve">INCLUDE THE ACCOUNT DETAILS FROM CONSTITUTION_CODE IN 
('11507','11508','11510','11511','11512','11700','22399','22499','33106','33107','NBFC','11599','BFC','11506','33101','33103','33104','MXC','11501') AND 
GL_SUB_HEAD_CODE  IN  ('13101','13201','13206','13215','13216','13217','13220','13241','24301','24311','24312','24313','24319','24503','24337'
,'13601','13611','13631','13641') and schm_code in ('CA101','CA103','TD103') </t>
  </si>
  <si>
    <t>Placements/ Loans with and balances due from resident banks</t>
  </si>
  <si>
    <t>Placements/ Loans with and balances due from overseas banks</t>
  </si>
  <si>
    <r>
      <t>UAE Public sector enterprises debt/ Sukuks (</t>
    </r>
    <r>
      <rPr>
        <b/>
        <u/>
        <sz val="8"/>
        <rFont val="Arial"/>
        <family val="2"/>
      </rPr>
      <t>non commercial, 0% risk weighted</t>
    </r>
    <r>
      <rPr>
        <b/>
        <sz val="8"/>
        <rFont val="Arial"/>
        <family val="2"/>
      </rPr>
      <t>)</t>
    </r>
  </si>
  <si>
    <r>
      <t>Non-UAE Public sector enterprises debt/ Sukuks (</t>
    </r>
    <r>
      <rPr>
        <b/>
        <u/>
        <sz val="8"/>
        <rFont val="Arial"/>
        <family val="2"/>
      </rPr>
      <t>non commercial, 20% risk weighted</t>
    </r>
    <r>
      <rPr>
        <b/>
        <sz val="8"/>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</si>
</sst>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Calibri"/>
      <family val="2"/>
      <scheme val="minor"/>
    </font>
    <font>
      <sz val="11"/>
      <name val="Calibri"/>
      <family val="2"/>
      <scheme val="minor"/>
    </font>
    <font>
      <b/>
      <sz val="11"/>
      <name val="Calibri"/>
      <family val="2"/>
      <scheme val="minor"/>
    </font>
    <font>
      <sz val="12"/>
      <name val="Calibri"/>
      <family val="2"/>
      <scheme val="minor"/>
    </font>
    <font>
      <b/>
      <sz val="8"/>
      <name val="Arial"/>
      <family val="2"/>
    </font>
    <font>
      <b/>
      <u/>
      <sz val="8"/>
      <name val="Arial"/>
      <family val="2"/>
    </font>
    <font>
      <sz val="8"/>
      <name val="Arial"/>
      <family val="2"/>
    </font>
  </fonts>
  <fills count="6">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9"/>
        <bgColor indexed="64"/>
      </patternFill>
    </fill>
    <fill>
      <patternFill patternType="solid">
        <fgColor theme="0"/>
        <bgColor indexed="64"/>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s>
  <cellStyleXfs count="1">
    <xf numFmtId="0" fontId="0" fillId="0" borderId="0"/>
  </cellStyleXfs>
  <cellXfs count="16">
    <xf numFmtId="0" fontId="0" fillId="0" borderId="0" xfId="0"/>
    <xf numFmtId="0" fontId="1" fillId="0" borderId="0" xfId="0" applyFont="1"/>
    <xf numFmtId="0" fontId="1" fillId="5" borderId="0" xfId="0" applyFont="1" applyFill="1" applyAlignment="1">
      <alignment wrapText="1"/>
    </xf>
    <xf numFmtId="0" fontId="2" fillId="5" borderId="2" xfId="0" applyFont="1" applyFill="1" applyBorder="1" applyAlignment="1">
      <alignment wrapText="1"/>
    </xf>
    <xf numFmtId="0" fontId="1" fillId="5" borderId="2" xfId="0" applyFont="1" applyFill="1" applyBorder="1" applyAlignment="1">
      <alignment wrapText="1"/>
    </xf>
    <xf numFmtId="0" fontId="1" fillId="5" borderId="2" xfId="0" applyFont="1" applyFill="1" applyBorder="1" applyAlignment="1">
      <alignment horizontal="left" wrapText="1"/>
    </xf>
    <xf numFmtId="0" fontId="1" fillId="5" borderId="0" xfId="0" applyFont="1" applyFill="1"/>
    <xf numFmtId="0" fontId="3" fillId="5" borderId="2" xfId="0" applyFont="1" applyFill="1" applyBorder="1" applyAlignment="1">
      <alignment vertical="center"/>
    </xf>
    <xf numFmtId="0" fontId="3" fillId="5" borderId="2" xfId="0" applyFont="1" applyFill="1" applyBorder="1" applyAlignment="1">
      <alignment vertical="center" wrapText="1"/>
    </xf>
    <xf numFmtId="0" fontId="1" fillId="5" borderId="2" xfId="0" applyFont="1" applyFill="1" applyBorder="1"/>
    <xf numFmtId="164" fontId="4" fillId="5" borderId="3" xfId="0" applyNumberFormat="1" applyFont="1" applyFill="1" applyBorder="1"/>
    <xf numFmtId="164" fontId="4" fillId="2" borderId="1" xfId="0" applyNumberFormat="1" applyFont="1" applyFill="1" applyBorder="1"/>
    <xf numFmtId="164" fontId="6" fillId="4" borderId="1" xfId="0" applyNumberFormat="1" applyFont="1" applyFill="1" applyBorder="1"/>
    <xf numFmtId="164" fontId="6" fillId="2" borderId="1" xfId="0" applyNumberFormat="1" applyFont="1" applyFill="1" applyBorder="1"/>
    <xf numFmtId="164" fontId="6" fillId="3" borderId="1" xfId="0" applyNumberFormat="1" applyFont="1" applyFill="1" applyBorder="1"/>
    <xf numFmtId="164" fontId="4" fillId="4"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DF636-9912-4E64-9E81-3ECE1E9F9ABA}">
  <dimension ref="A1:C61"/>
  <sheetViews>
    <sheetView tabSelected="1" workbookViewId="0">
      <selection activeCell="C7" sqref="C7"/>
    </sheetView>
  </sheetViews>
  <sheetFormatPr defaultRowHeight="14.5" x14ac:dyDescent="0.35"/>
  <cols>
    <col min="1" max="1" width="6" style="1" customWidth="1"/>
    <col min="2" max="2" width="58.1796875" style="2" customWidth="1"/>
    <col min="3" max="3" width="41.7265625" style="9" customWidth="1"/>
  </cols>
  <sheetData>
    <row r="1" spans="1:3" x14ac:dyDescent="0.35">
      <c r="B1" s="6" t="s">
        <v>0</v>
      </c>
      <c r="C1" s="4"/>
    </row>
    <row r="2" spans="1:3" x14ac:dyDescent="0.35">
      <c r="A2" s="11" t="s">
        <v>58</v>
      </c>
      <c r="B2" s="10" t="s">
        <v>1</v>
      </c>
      <c r="C2" s="3" t="s">
        <v>2</v>
      </c>
    </row>
    <row r="3" spans="1:3" x14ac:dyDescent="0.35">
      <c r="A3" s="11"/>
      <c r="B3" s="10" t="s">
        <v>3</v>
      </c>
      <c r="C3" s="4"/>
    </row>
    <row r="4" spans="1:3" ht="43.5" x14ac:dyDescent="0.35">
      <c r="A4" s="12">
        <v>1</v>
      </c>
      <c r="B4" s="10" t="s">
        <v>4</v>
      </c>
      <c r="C4" s="4" t="s">
        <v>55</v>
      </c>
    </row>
    <row r="5" spans="1:3" x14ac:dyDescent="0.35">
      <c r="A5" s="12">
        <v>2</v>
      </c>
      <c r="B5" s="10" t="s">
        <v>5</v>
      </c>
      <c r="C5" s="5" t="s">
        <v>65</v>
      </c>
    </row>
    <row r="6" spans="1:3" ht="29" x14ac:dyDescent="0.35">
      <c r="A6" s="12">
        <v>3</v>
      </c>
      <c r="B6" s="10" t="s">
        <v>6</v>
      </c>
      <c r="C6" s="4" t="s">
        <v>66</v>
      </c>
    </row>
    <row r="7" spans="1:3" x14ac:dyDescent="0.35">
      <c r="A7" s="13"/>
      <c r="B7" s="10" t="s">
        <v>7</v>
      </c>
      <c r="C7" s="4" t="s">
        <v>52</v>
      </c>
    </row>
    <row r="8" spans="1:3" ht="72.5" x14ac:dyDescent="0.35">
      <c r="A8" s="12">
        <v>4</v>
      </c>
      <c r="B8" s="10" t="s">
        <v>75</v>
      </c>
      <c r="C8" s="4" t="s">
        <v>67</v>
      </c>
    </row>
    <row r="9" spans="1:3" x14ac:dyDescent="0.35">
      <c r="A9" s="12">
        <v>5</v>
      </c>
      <c r="B9" s="10" t="s">
        <v>8</v>
      </c>
      <c r="C9" s="4" t="s">
        <v>53</v>
      </c>
    </row>
    <row r="10" spans="1:3" ht="72.5" x14ac:dyDescent="0.35">
      <c r="A10" s="12">
        <v>6</v>
      </c>
      <c r="B10" s="10" t="s">
        <v>76</v>
      </c>
      <c r="C10" s="4" t="s">
        <v>68</v>
      </c>
    </row>
    <row r="11" spans="1:3" ht="29" x14ac:dyDescent="0.35">
      <c r="A11" s="13"/>
      <c r="B11" s="10" t="s">
        <v>9</v>
      </c>
      <c r="C11" s="4" t="s">
        <v>54</v>
      </c>
    </row>
    <row r="12" spans="1:3" x14ac:dyDescent="0.35">
      <c r="A12" s="12">
        <v>7</v>
      </c>
      <c r="B12" s="10" t="s">
        <v>10</v>
      </c>
      <c r="C12" s="4" t="s">
        <v>52</v>
      </c>
    </row>
    <row r="13" spans="1:3" x14ac:dyDescent="0.35">
      <c r="A13" s="12">
        <f>+A12+1</f>
        <v>8</v>
      </c>
      <c r="B13" s="10" t="s">
        <v>11</v>
      </c>
      <c r="C13" s="4" t="s">
        <v>52</v>
      </c>
    </row>
    <row r="14" spans="1:3" x14ac:dyDescent="0.35">
      <c r="A14" s="12">
        <f t="shared" ref="A14:A24" si="0">+A13+1</f>
        <v>9</v>
      </c>
      <c r="B14" s="10" t="s">
        <v>12</v>
      </c>
      <c r="C14" s="4" t="s">
        <v>52</v>
      </c>
    </row>
    <row r="15" spans="1:3" x14ac:dyDescent="0.35">
      <c r="A15" s="12">
        <f t="shared" si="0"/>
        <v>10</v>
      </c>
      <c r="B15" s="10" t="s">
        <v>13</v>
      </c>
      <c r="C15" s="4" t="s">
        <v>52</v>
      </c>
    </row>
    <row r="16" spans="1:3" x14ac:dyDescent="0.35">
      <c r="A16" s="12">
        <f t="shared" si="0"/>
        <v>11</v>
      </c>
      <c r="B16" s="10" t="s">
        <v>77</v>
      </c>
      <c r="C16" s="4" t="s">
        <v>52</v>
      </c>
    </row>
    <row r="17" spans="1:3" x14ac:dyDescent="0.35">
      <c r="A17" s="14">
        <f>+A16+1</f>
        <v>12</v>
      </c>
      <c r="B17" s="10" t="s">
        <v>78</v>
      </c>
      <c r="C17" s="4" t="s">
        <v>70</v>
      </c>
    </row>
    <row r="18" spans="1:3" x14ac:dyDescent="0.35">
      <c r="A18" s="12">
        <f t="shared" si="0"/>
        <v>13</v>
      </c>
      <c r="B18" s="10" t="s">
        <v>14</v>
      </c>
      <c r="C18" s="4" t="s">
        <v>69</v>
      </c>
    </row>
    <row r="19" spans="1:3" x14ac:dyDescent="0.35">
      <c r="A19" s="12">
        <f t="shared" si="0"/>
        <v>14</v>
      </c>
      <c r="B19" s="10" t="s">
        <v>15</v>
      </c>
      <c r="C19" s="4" t="s">
        <v>52</v>
      </c>
    </row>
    <row r="20" spans="1:3" x14ac:dyDescent="0.35">
      <c r="A20" s="12">
        <f t="shared" si="0"/>
        <v>15</v>
      </c>
      <c r="B20" s="10" t="s">
        <v>16</v>
      </c>
      <c r="C20" s="4" t="s">
        <v>52</v>
      </c>
    </row>
    <row r="21" spans="1:3" x14ac:dyDescent="0.35">
      <c r="A21" s="12">
        <f t="shared" si="0"/>
        <v>16</v>
      </c>
      <c r="B21" s="10" t="s">
        <v>17</v>
      </c>
      <c r="C21" s="4" t="s">
        <v>71</v>
      </c>
    </row>
    <row r="22" spans="1:3" x14ac:dyDescent="0.35">
      <c r="A22" s="13"/>
      <c r="B22" s="10" t="s">
        <v>18</v>
      </c>
      <c r="C22" s="4" t="s">
        <v>51</v>
      </c>
    </row>
    <row r="23" spans="1:3" x14ac:dyDescent="0.35">
      <c r="A23" s="12">
        <v>17</v>
      </c>
      <c r="B23" s="10" t="s">
        <v>19</v>
      </c>
      <c r="C23" s="4" t="s">
        <v>52</v>
      </c>
    </row>
    <row r="24" spans="1:3" x14ac:dyDescent="0.35">
      <c r="A24" s="12">
        <f t="shared" si="0"/>
        <v>18</v>
      </c>
      <c r="B24" s="10" t="s">
        <v>20</v>
      </c>
      <c r="C24" s="4" t="s">
        <v>52</v>
      </c>
    </row>
    <row r="25" spans="1:3" x14ac:dyDescent="0.35">
      <c r="A25" s="12">
        <v>18</v>
      </c>
      <c r="B25" s="10" t="s">
        <v>21</v>
      </c>
      <c r="C25" s="4" t="s">
        <v>52</v>
      </c>
    </row>
    <row r="26" spans="1:3" x14ac:dyDescent="0.35">
      <c r="A26" s="12">
        <v>19</v>
      </c>
      <c r="B26" s="10" t="s">
        <v>22</v>
      </c>
      <c r="C26" s="4" t="s">
        <v>52</v>
      </c>
    </row>
    <row r="27" spans="1:3" x14ac:dyDescent="0.35">
      <c r="A27" s="12">
        <v>20</v>
      </c>
      <c r="B27" s="10" t="s">
        <v>23</v>
      </c>
      <c r="C27" s="4" t="s">
        <v>52</v>
      </c>
    </row>
    <row r="28" spans="1:3" x14ac:dyDescent="0.35">
      <c r="A28" s="12">
        <v>21</v>
      </c>
      <c r="B28" s="10" t="s">
        <v>24</v>
      </c>
      <c r="C28" s="4" t="s">
        <v>56</v>
      </c>
    </row>
    <row r="29" spans="1:3" x14ac:dyDescent="0.35">
      <c r="A29" s="13"/>
      <c r="B29" s="10" t="s">
        <v>25</v>
      </c>
      <c r="C29" s="4"/>
    </row>
    <row r="30" spans="1:3" ht="43.5" x14ac:dyDescent="0.35">
      <c r="A30" s="12">
        <v>22</v>
      </c>
      <c r="B30" s="10" t="s">
        <v>26</v>
      </c>
      <c r="C30" s="4" t="s">
        <v>57</v>
      </c>
    </row>
    <row r="31" spans="1:3" ht="15.5" x14ac:dyDescent="0.35">
      <c r="A31" s="12">
        <v>23</v>
      </c>
      <c r="B31" s="10" t="s">
        <v>27</v>
      </c>
      <c r="C31" s="7" t="s">
        <v>59</v>
      </c>
    </row>
    <row r="32" spans="1:3" ht="217" x14ac:dyDescent="0.35">
      <c r="A32" s="12">
        <v>24</v>
      </c>
      <c r="B32" s="10" t="s">
        <v>28</v>
      </c>
      <c r="C32" s="8" t="s">
        <v>60</v>
      </c>
    </row>
    <row r="33" spans="1:3" x14ac:dyDescent="0.35">
      <c r="A33" s="12">
        <v>25</v>
      </c>
      <c r="B33" s="10" t="s">
        <v>29</v>
      </c>
      <c r="C33" s="4" t="s">
        <v>61</v>
      </c>
    </row>
    <row r="34" spans="1:3" ht="130.5" x14ac:dyDescent="0.35">
      <c r="A34" s="12">
        <v>26</v>
      </c>
      <c r="B34" s="10" t="s">
        <v>30</v>
      </c>
      <c r="C34" s="4" t="s">
        <v>62</v>
      </c>
    </row>
    <row r="35" spans="1:3" ht="145" x14ac:dyDescent="0.35">
      <c r="A35" s="12">
        <v>27</v>
      </c>
      <c r="B35" s="10" t="s">
        <v>31</v>
      </c>
      <c r="C35" s="4" t="s">
        <v>63</v>
      </c>
    </row>
    <row r="36" spans="1:3" x14ac:dyDescent="0.35">
      <c r="A36" s="14">
        <v>28</v>
      </c>
      <c r="B36" s="10" t="s">
        <v>32</v>
      </c>
      <c r="C36" s="4" t="s">
        <v>52</v>
      </c>
    </row>
    <row r="37" spans="1:3" ht="29" x14ac:dyDescent="0.35">
      <c r="A37" s="14">
        <v>29</v>
      </c>
      <c r="B37" s="10" t="s">
        <v>33</v>
      </c>
      <c r="C37" s="4" t="s">
        <v>64</v>
      </c>
    </row>
    <row r="38" spans="1:3" x14ac:dyDescent="0.35">
      <c r="A38" s="14">
        <v>30</v>
      </c>
      <c r="B38" s="10" t="s">
        <v>34</v>
      </c>
      <c r="C38" s="4" t="s">
        <v>52</v>
      </c>
    </row>
    <row r="39" spans="1:3" ht="72.5" x14ac:dyDescent="0.35">
      <c r="A39" s="14">
        <v>31</v>
      </c>
      <c r="B39" s="10" t="s">
        <v>35</v>
      </c>
      <c r="C39" s="4" t="s">
        <v>72</v>
      </c>
    </row>
    <row r="40" spans="1:3" x14ac:dyDescent="0.35">
      <c r="A40" s="11"/>
      <c r="B40" s="10" t="s">
        <v>36</v>
      </c>
      <c r="C40" s="4"/>
    </row>
    <row r="41" spans="1:3" x14ac:dyDescent="0.35">
      <c r="A41" s="11"/>
      <c r="B41" s="10" t="s">
        <v>37</v>
      </c>
      <c r="C41" s="4"/>
    </row>
    <row r="42" spans="1:3" x14ac:dyDescent="0.35">
      <c r="A42" s="13"/>
      <c r="B42" s="10" t="s">
        <v>38</v>
      </c>
      <c r="C42" s="4"/>
    </row>
    <row r="43" spans="1:3" x14ac:dyDescent="0.35">
      <c r="A43" s="14">
        <f>A39+1</f>
        <v>32</v>
      </c>
      <c r="B43" s="10" t="s">
        <v>39</v>
      </c>
      <c r="C43" s="4" t="s">
        <v>52</v>
      </c>
    </row>
    <row r="44" spans="1:3" x14ac:dyDescent="0.35">
      <c r="A44" s="14">
        <f>A43+1</f>
        <v>33</v>
      </c>
      <c r="B44" s="10" t="s">
        <v>40</v>
      </c>
      <c r="C44" s="4" t="s">
        <v>52</v>
      </c>
    </row>
    <row r="45" spans="1:3" x14ac:dyDescent="0.35">
      <c r="A45" s="14">
        <f>A44+1</f>
        <v>34</v>
      </c>
      <c r="B45" s="10" t="s">
        <v>41</v>
      </c>
      <c r="C45" s="4" t="s">
        <v>52</v>
      </c>
    </row>
    <row r="46" spans="1:3" x14ac:dyDescent="0.35">
      <c r="A46" s="14">
        <f>A45+1</f>
        <v>35</v>
      </c>
      <c r="B46" s="10" t="s">
        <v>42</v>
      </c>
      <c r="C46" s="4" t="s">
        <v>52</v>
      </c>
    </row>
    <row r="47" spans="1:3" x14ac:dyDescent="0.35">
      <c r="A47" s="14">
        <f>A46+1</f>
        <v>36</v>
      </c>
      <c r="B47" s="10" t="s">
        <v>43</v>
      </c>
      <c r="C47" s="4" t="s">
        <v>52</v>
      </c>
    </row>
    <row r="48" spans="1:3" x14ac:dyDescent="0.35">
      <c r="A48" s="13"/>
      <c r="B48" s="10" t="s">
        <v>44</v>
      </c>
      <c r="C48" s="4"/>
    </row>
    <row r="49" spans="1:3" x14ac:dyDescent="0.35">
      <c r="A49" s="14">
        <f>A47+1</f>
        <v>37</v>
      </c>
      <c r="B49" s="10" t="s">
        <v>26</v>
      </c>
      <c r="C49" s="4"/>
    </row>
    <row r="50" spans="1:3" x14ac:dyDescent="0.35">
      <c r="A50" s="14">
        <f>A49+1</f>
        <v>38</v>
      </c>
      <c r="B50" s="10" t="s">
        <v>27</v>
      </c>
      <c r="C50" s="4"/>
    </row>
    <row r="51" spans="1:3" x14ac:dyDescent="0.35">
      <c r="A51" s="14">
        <f>A50+1</f>
        <v>39</v>
      </c>
      <c r="B51" s="10" t="s">
        <v>28</v>
      </c>
      <c r="C51" s="4"/>
    </row>
    <row r="52" spans="1:3" ht="174" x14ac:dyDescent="0.35">
      <c r="A52" s="14">
        <f>A51+1</f>
        <v>40</v>
      </c>
      <c r="B52" s="10" t="s">
        <v>29</v>
      </c>
      <c r="C52" s="4" t="s">
        <v>74</v>
      </c>
    </row>
    <row r="53" spans="1:3" x14ac:dyDescent="0.35">
      <c r="A53" s="14">
        <f>A52+1</f>
        <v>41</v>
      </c>
      <c r="B53" s="10" t="s">
        <v>30</v>
      </c>
      <c r="C53" s="4"/>
    </row>
    <row r="54" spans="1:3" x14ac:dyDescent="0.35">
      <c r="A54" s="14">
        <f>A53+1</f>
        <v>42</v>
      </c>
      <c r="B54" s="10" t="s">
        <v>31</v>
      </c>
      <c r="C54" s="4"/>
    </row>
    <row r="55" spans="1:3" x14ac:dyDescent="0.35">
      <c r="A55" s="13"/>
      <c r="B55" s="10" t="s">
        <v>45</v>
      </c>
      <c r="C55" s="4"/>
    </row>
    <row r="56" spans="1:3" x14ac:dyDescent="0.35">
      <c r="A56" s="14">
        <f>A54+1</f>
        <v>43</v>
      </c>
      <c r="B56" s="10" t="s">
        <v>46</v>
      </c>
      <c r="C56" s="4" t="s">
        <v>73</v>
      </c>
    </row>
    <row r="57" spans="1:3" x14ac:dyDescent="0.35">
      <c r="A57" s="14">
        <f>A56+1</f>
        <v>44</v>
      </c>
      <c r="B57" s="10" t="s">
        <v>47</v>
      </c>
      <c r="C57" s="4"/>
    </row>
    <row r="58" spans="1:3" x14ac:dyDescent="0.35">
      <c r="A58" s="14">
        <f>A57+1</f>
        <v>45</v>
      </c>
      <c r="B58" s="10" t="s">
        <v>48</v>
      </c>
      <c r="C58" s="4"/>
    </row>
    <row r="59" spans="1:3" x14ac:dyDescent="0.35">
      <c r="A59" s="14">
        <f>A58+1</f>
        <v>46</v>
      </c>
    </row>
    <row r="60" spans="1:3" x14ac:dyDescent="0.35">
      <c r="A60" s="15" t="s">
        <v>49</v>
      </c>
    </row>
    <row r="61" spans="1:3" x14ac:dyDescent="0.35">
      <c r="A61" s="1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Amuthasenthuran s</dc:creator>
  <cp:lastModifiedBy>Amuthasenthuran s</cp:lastModifiedBy>
  <dcterms:created xsi:type="dcterms:W3CDTF">2023-11-02T12:50:31Z</dcterms:created>
  <dcterms:modified xsi:type="dcterms:W3CDTF">2023-11-21T06:18:04Z</dcterms:modified>
</cp:coreProperties>
</file>