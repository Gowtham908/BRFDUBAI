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RF\LOGIC\"/>
    </mc:Choice>
  </mc:AlternateContent>
  <xr:revisionPtr revIDLastSave="0" documentId="13_ncr:1_{302B0483-D254-4AFE-8B9D-1B97650C50C3}" xr6:coauthVersionLast="36" xr6:coauthVersionMax="36" xr10:uidLastSave="{00000000-0000-0000-0000-000000000000}"/>
  <bookViews>
    <workbookView xWindow="0" yWindow="0" windowWidth="19200" windowHeight="6810" xr2:uid="{D5F5F5D4-8BFB-469C-A93B-D1A906A6C2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9" i="1" l="1"/>
  <c r="F69" i="1"/>
  <c r="E69" i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55" i="1"/>
  <c r="G52" i="1"/>
  <c r="F52" i="1"/>
  <c r="E52" i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9" i="1"/>
  <c r="A38" i="1"/>
  <c r="G35" i="1"/>
  <c r="F35" i="1"/>
  <c r="E35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23" i="1"/>
  <c r="A22" i="1"/>
  <c r="A21" i="1"/>
  <c r="G18" i="1"/>
  <c r="F18" i="1"/>
  <c r="E18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<sst xmlns="http://schemas.openxmlformats.org/spreadsheetml/2006/main" count="362" uniqueCount="122">
  <si>
    <t>No.</t>
  </si>
  <si>
    <t xml:space="preserve">Borrower's name </t>
  </si>
  <si>
    <t>Group's name (if applicable)</t>
  </si>
  <si>
    <t>Emirate/ country where borrower is domiciled</t>
  </si>
  <si>
    <t xml:space="preserve"> Outstanding amount </t>
  </si>
  <si>
    <t>Specific Provisions</t>
  </si>
  <si>
    <t>Allocated provisions</t>
  </si>
  <si>
    <t>Legal case (yes/no)</t>
  </si>
  <si>
    <t>Remarks if any</t>
  </si>
  <si>
    <t>Top 15 watch list accounts</t>
  </si>
  <si>
    <t>VARDARAJ MANJAPPA SHETTY</t>
  </si>
  <si>
    <t>Ramee Group</t>
  </si>
  <si>
    <t>DUBAI</t>
  </si>
  <si>
    <t>NA</t>
  </si>
  <si>
    <t>RAMEE REAL ESTATES  LIMITED</t>
  </si>
  <si>
    <t>TCI SANMAR &amp; CHEMICALS S.</t>
  </si>
  <si>
    <t>Egypt</t>
  </si>
  <si>
    <t>GRENEW FZE</t>
  </si>
  <si>
    <t>ABU DHABI</t>
  </si>
  <si>
    <t>AMIT SETHI</t>
  </si>
  <si>
    <t>HAKEMALI SADRUDDIN MASANI</t>
  </si>
  <si>
    <t>UNIQUE PART TRADING LLC</t>
  </si>
  <si>
    <t>MAZARALI SAIYED</t>
  </si>
  <si>
    <t>SHARJAH</t>
  </si>
  <si>
    <t>BHAVESH RAVINDRA GOKAL</t>
  </si>
  <si>
    <t>AHMED MATAR MUHAYER MUBARAK ALHEMEIRI</t>
  </si>
  <si>
    <t>CHEMIE TECH DMCC</t>
  </si>
  <si>
    <t>GOLDEN STAR INT (ADV) F/ STUFF LLC</t>
  </si>
  <si>
    <t>EAGLE GREASE AND LUBRICANTS MANUF LLC</t>
  </si>
  <si>
    <t>HIREN DAMODAR ADHIYA</t>
  </si>
  <si>
    <t>ABDULAZIZ HASSAN ABDALLA ALNOMAN ALSHAMSI</t>
  </si>
  <si>
    <t>Total</t>
  </si>
  <si>
    <t>Top 15 sub-standard accounts</t>
  </si>
  <si>
    <t>AVENUE ADRESS CONTRACTING AND PROPERTY MANAGEMENT AND GENERAL MAINTENANCE LLC</t>
  </si>
  <si>
    <t>NO</t>
  </si>
  <si>
    <t>MANAZEL P J S C</t>
  </si>
  <si>
    <t>AL SHARQ AL AQSSA TRDG CO LLC</t>
  </si>
  <si>
    <t>AL KHANEZI ELECTRO MECHANICAL WORKS LLC</t>
  </si>
  <si>
    <t>DHARANI GLOBE FACILITIES MAMNGEMENT</t>
  </si>
  <si>
    <t>Top 15 doubtful accounts</t>
  </si>
  <si>
    <t>RAJESH BUSINESS AND LEISURE HOTELS PVT LTD</t>
  </si>
  <si>
    <t>INDIA</t>
  </si>
  <si>
    <t>YES</t>
  </si>
  <si>
    <t>NCLT-INDIA</t>
  </si>
  <si>
    <t>VELOCITY INTERNATIONAL LOGISTICS</t>
  </si>
  <si>
    <t>CIVIL SUIT FILED</t>
  </si>
  <si>
    <t>ACE METAL FZE</t>
  </si>
  <si>
    <t>PETCO ENERGY RMC FZC</t>
  </si>
  <si>
    <t xml:space="preserve">COMMERCIAL CASE FILE  </t>
  </si>
  <si>
    <t>BHATIA TR CO LLC</t>
  </si>
  <si>
    <t>AOL TECHNOLOGIES FZE</t>
  </si>
  <si>
    <t>THE GUARD PUBLIC SECURITY GUARDING SERVICES LLC</t>
  </si>
  <si>
    <t>KAPCO PETROLEUM INDUSTRIES FZC</t>
  </si>
  <si>
    <t>AOL FRP DIVISION</t>
  </si>
  <si>
    <t>ALI ZAAL SAEED BUDHARES ALMANSOORI</t>
  </si>
  <si>
    <t xml:space="preserve">MOULDS PETROCHEM FZE     </t>
  </si>
  <si>
    <t>BROOKS GENERAL TRADING CO LLC</t>
  </si>
  <si>
    <t>AL WAHDA CINEMA BRANCH -1 LLC</t>
  </si>
  <si>
    <t>EXIM GLOBAL DMCC</t>
  </si>
  <si>
    <t>COMMERCIAL &amp; CRIMINAL</t>
  </si>
  <si>
    <t>UNIVERSAL LIGHTING INDUSTRIES</t>
  </si>
  <si>
    <t>Top 15 loss accounts</t>
  </si>
  <si>
    <t>GVK COAL DEVELOPERS (SINGAPORE) PTE LTD</t>
  </si>
  <si>
    <t>SINGAPORE</t>
  </si>
  <si>
    <t>ENGLISH COURT</t>
  </si>
  <si>
    <t>UAE EXCHANGE CENTER LLC</t>
  </si>
  <si>
    <t>LANCO RESOURCES INTERNATIONAL PTE LTD</t>
  </si>
  <si>
    <t>AUSTRALIA</t>
  </si>
  <si>
    <t>ABAN HOLDINGS PTE LTD</t>
  </si>
  <si>
    <t>EMMSONS GULF DMCC</t>
  </si>
  <si>
    <t>INDONESIA</t>
  </si>
  <si>
    <t>DUBAI COURT</t>
  </si>
  <si>
    <t>UNIBETON READY MIX LLC</t>
  </si>
  <si>
    <t>TECHNOVAA INDUSTRIES</t>
  </si>
  <si>
    <t>AL NOOR VENTILATION EQUIPMENT</t>
  </si>
  <si>
    <t>RAK</t>
  </si>
  <si>
    <t>VARUN ASIA PTE LTD</t>
  </si>
  <si>
    <t>SINGAPORE COURT</t>
  </si>
  <si>
    <t>GULF PETROCHEM FZC</t>
  </si>
  <si>
    <t>commercial  SUIT FILED</t>
  </si>
  <si>
    <t>ROLTA INDIA LTD</t>
  </si>
  <si>
    <t>SHEFFIELD HOLDINGS LTD</t>
  </si>
  <si>
    <t>CIVIL &amp; CRIMINAL</t>
  </si>
  <si>
    <t>AMTEK AUTO LTD</t>
  </si>
  <si>
    <t>MEGA STAR TRADING COMPANY LLC</t>
  </si>
  <si>
    <t>Notes</t>
  </si>
  <si>
    <t>Reporting is done on an individual entity basis (borrower).</t>
  </si>
  <si>
    <t xml:space="preserve"> If an entity is part of a group, the name of the group will be indicated alongwith the name of entity concerned.</t>
  </si>
  <si>
    <t>FORM NO: BSD/BRF 32-CL ACCTS/MAR13</t>
  </si>
  <si>
    <t>OD003</t>
  </si>
  <si>
    <t>OD001</t>
  </si>
  <si>
    <t>TR101</t>
  </si>
  <si>
    <t>LA004</t>
  </si>
  <si>
    <t>LA106</t>
  </si>
  <si>
    <t>LA001</t>
  </si>
  <si>
    <t>FB104</t>
  </si>
  <si>
    <t>LA102</t>
  </si>
  <si>
    <t>LA110</t>
  </si>
  <si>
    <t>LA651</t>
  </si>
  <si>
    <t>CA101</t>
  </si>
  <si>
    <t>CA109</t>
  </si>
  <si>
    <t>LA008</t>
  </si>
  <si>
    <t>LA103</t>
  </si>
  <si>
    <t>FB103</t>
  </si>
  <si>
    <t>FB101</t>
  </si>
  <si>
    <t>LAA</t>
  </si>
  <si>
    <t>CAA</t>
  </si>
  <si>
    <t>ODA</t>
  </si>
  <si>
    <t>PCA</t>
  </si>
  <si>
    <t>FBA</t>
  </si>
  <si>
    <t>INDVM</t>
  </si>
  <si>
    <t>LLTCO</t>
  </si>
  <si>
    <t>FZE</t>
  </si>
  <si>
    <t>FGNCO</t>
  </si>
  <si>
    <t>FZC</t>
  </si>
  <si>
    <t>PVTCO</t>
  </si>
  <si>
    <t>DMCC</t>
  </si>
  <si>
    <t>PBPVT</t>
  </si>
  <si>
    <t xml:space="preserve">INCLUDING THE ACCOUNT OF SCHM_CODE ('LA110', 'LA102', 'LA004', 'CA101', 'OD001', 'CA109', 'LA001', 'LA008', 'LA106', 'TR101', 'LA103', 'FB103', 'FB101') AND schm_type in ('LAA', 'CAA', 'ODA', 'PCA', 'FBA') and GL_SUB_HEAD_CODE('24503', '24338', '24501', '13206', '24311', '24336', '24505', '24301', '24502', '24386', '24176', '24146', '24507', '24116', '24312') and also include the constitution code 'INDVM', '44101', 'LLTCO', 'FZE', 'FGNCO', 'FZC', 'PVTCO', '44116', 'INDVM', 'DMCC', '44108', 'PBPVT'
</t>
  </si>
  <si>
    <t>INCLUDING THE ACCOUNT OF SCHM_CODE ('LA110', 'LA102', 'LA004', 'CA101', 'OD001', 'CA109', 'LA001', 'LA008', 'LA106', 'TR101', 'LA103', 'FB103', 'FB101') AND schm_type in ('LAA', 'CAA', 'ODA', 'PCA', 'FBA') and GL_SUB_HEAD_CODE('24503', '24338', '24501', '13206', '24311', '24336', '24505', '24301', '24502', '24386', '24176', '24146', '24507', '24116', '24312') and also include the constitution code 'INDVM', '44101', 'LLTCO', 'FZE', 'FGNCO', 'FZC', 'PVTCO', '44116', 'INDVM', 'DMCC', '44108', 'PBPVT' AND ALSO COMPARE WITH CLASSIFICATION TABLE(ACDT) AS 21 AT SUB_CLASSIFICATION_SYSTEM COLUMN</t>
  </si>
  <si>
    <t>INCLUDING THE ACCOUNT OF SCHM_CODE ('LA110', 'LA102', 'LA004', 'CA101', 'OD001', 'CA109', 'LA001', 'LA008', 'LA106', 'TR101', 'LA103', 'FB103', 'FB101') AND schm_type in ('LAA', 'CAA', 'ODA', 'PCA', 'FBA') and GL_SUB_HEAD_CODE('24503', '24338', '24501', '13206', '24311', '24336', '24505', '24301', '24502', '24386', '24176', '24146', '24507', '24116', '24312') and also include the constitution code 'INDVM', '44101', 'LLTCO', 'FZE', 'FGNCO', 'FZC', 'PVTCO', '44116', 'INDVM', 'DMCC', '44108', 'PBPVT'AND ALSO COMPARE WITH LOAN_ASSET_CLASSIFICATION_TABLE(ACDT) AS 31,41,51 AT SUB_CLASSIFICATION_SYSTEM COLUMN</t>
  </si>
  <si>
    <t>INCLUDING THE ACCOUNT OF SCHM_CODE ('LA110', 'LA102', 'LA004', 'CA101', 'OD001', 'CA109', 'LA001', 'LA008', 'LA106', 'TR101', 'LA103', 'FB103', 'FB101') AND schm_type in ('LAA', 'CAA', 'ODA', 'PCA', 'FBA') and GL_SUB_HEAD_CODE('24503', '24338', '24501', '13206', '24311', '24336', '24505', '24301', '24502', '24386', '24176', '24146', '24507', '24116', '24312') and also include the constitution code 'INDVM', '44101', 'LLTCO', 'FZE', 'FGNCO', 'FZC', 'PVTCO', '44116', 'INDVM', 'DMCC', '44108', 'PBPVT' AND ALSO COMPARE WITH CLASSIFICATION TABLE(ACDT) AS 61 AT SUB_CLASSIFICATION_SYSTEM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</si>
</sst>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7">
    <xf numFmtId="0" fontId="0" fillId="0" borderId="0" xfId="0"/>
    <xf numFmtId="0" fontId="2" fillId="2" borderId="1" xfId="1" applyFont="1" applyFill="1" applyBorder="1">
      <alignment vertic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/>
    </xf>
    <xf numFmtId="0" fontId="4" fillId="3" borderId="1" xfId="1" applyFont="1" applyFill="1" applyBorder="1" applyAlignment="1" applyProtection="1">
      <alignment horizontal="center" wrapText="1"/>
      <protection locked="0"/>
    </xf>
    <xf numFmtId="0" fontId="4" fillId="3" borderId="1" xfId="1" applyFont="1" applyFill="1" applyBorder="1" applyAlignment="1" applyProtection="1">
      <alignment horizontal="center"/>
      <protection locked="0"/>
    </xf>
    <xf numFmtId="3" fontId="4" fillId="0" borderId="1" xfId="1" applyNumberFormat="1" applyFont="1" applyFill="1" applyBorder="1" applyAlignment="1" applyProtection="1">
      <alignment horizontal="left"/>
      <protection locked="0"/>
    </xf>
    <xf numFmtId="0" fontId="4" fillId="2" borderId="1" xfId="1" applyFont="1" applyFill="1" applyBorder="1">
      <alignment vertical="center"/>
    </xf>
    <xf numFmtId="0" fontId="2" fillId="2" borderId="1" xfId="1" applyFont="1" applyFill="1" applyBorder="1" applyAlignment="1"/>
    <xf numFmtId="3" fontId="4" fillId="2" borderId="1" xfId="1" applyNumberFormat="1" applyFont="1" applyFill="1" applyBorder="1" applyAlignment="1"/>
    <xf numFmtId="0" fontId="4" fillId="2" borderId="1" xfId="1" applyFont="1" applyFill="1" applyBorder="1" applyAlignment="1">
      <alignment vertical="center"/>
    </xf>
    <xf numFmtId="3" fontId="2" fillId="2" borderId="1" xfId="1" applyNumberFormat="1" applyFont="1" applyFill="1" applyBorder="1" applyAlignment="1">
      <alignment vertical="center"/>
    </xf>
    <xf numFmtId="0" fontId="4" fillId="3" borderId="1" xfId="1" applyFont="1" applyFill="1" applyBorder="1" applyAlignment="1" applyProtection="1">
      <alignment horizontal="left" wrapText="1"/>
      <protection locked="0"/>
    </xf>
    <xf numFmtId="0" fontId="4" fillId="3" borderId="1" xfId="1" applyFont="1" applyFill="1" applyBorder="1" applyAlignment="1" applyProtection="1">
      <alignment horizontal="left"/>
      <protection locked="0"/>
    </xf>
    <xf numFmtId="3" fontId="4" fillId="0" borderId="1" xfId="1" applyNumberFormat="1" applyFont="1" applyFill="1" applyBorder="1" applyAlignment="1" applyProtection="1">
      <alignment horizontal="right"/>
      <protection locked="0"/>
    </xf>
    <xf numFmtId="0" fontId="0" fillId="0" borderId="0" xfId="0" applyAlignment="1">
      <alignment wrapText="1"/>
    </xf>
    <xf numFmtId="0" fontId="2" fillId="2" borderId="1" xfId="1" applyFont="1" applyFill="1" applyBorder="1" applyAlignment="1">
      <alignment vertical="center"/>
    </xf>
    <xf numFmtId="0" fontId="3" fillId="2" borderId="1" xfId="0" applyFont="1" applyFill="1" applyBorder="1"/>
    <xf numFmtId="0" fontId="5" fillId="2" borderId="1" xfId="0" applyFont="1" applyFill="1" applyBorder="1"/>
    <xf numFmtId="0" fontId="4" fillId="3" borderId="2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2" borderId="3" xfId="1" applyFont="1" applyFill="1" applyBorder="1">
      <alignment vertical="center"/>
    </xf>
    <xf numFmtId="0" fontId="4" fillId="2" borderId="4" xfId="1" applyFont="1" applyFill="1" applyBorder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13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left" vertical="center"/>
    </xf>
    <xf numFmtId="0" fontId="2" fillId="3" borderId="4" xfId="1" applyFont="1" applyFill="1" applyBorder="1" applyAlignment="1">
      <alignment horizontal="left" vertical="center"/>
    </xf>
  </cellXfs>
  <cellStyles count="2">
    <cellStyle name="Normal" xfId="0" builtinId="0"/>
    <cellStyle name="Normal 6" xfId="1" xr:uid="{662B1EDE-958B-4B58-B0FF-F0D3328119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B07E-D808-4E7C-9149-5B16C93AB983}">
  <dimension ref="A1:J73"/>
  <sheetViews>
    <sheetView tabSelected="1" topLeftCell="A17" workbookViewId="0">
      <selection activeCell="J17" sqref="J17"/>
    </sheetView>
  </sheetViews>
  <sheetFormatPr defaultRowHeight="14.5" x14ac:dyDescent="0.35"/>
  <cols>
    <col min="1" max="1" width="3.1796875" bestFit="1" customWidth="1"/>
    <col min="2" max="2" width="35.1796875" bestFit="1" customWidth="1"/>
    <col min="3" max="3" width="9.7265625" bestFit="1" customWidth="1"/>
    <col min="4" max="4" width="9.26953125" bestFit="1" customWidth="1"/>
    <col min="5" max="5" width="8.453125" bestFit="1" customWidth="1"/>
    <col min="6" max="6" width="8.26953125" bestFit="1" customWidth="1"/>
    <col min="7" max="7" width="8.1796875" bestFit="1" customWidth="1"/>
    <col min="8" max="8" width="8.26953125" bestFit="1" customWidth="1"/>
    <col min="9" max="9" width="19.26953125" bestFit="1" customWidth="1"/>
    <col min="10" max="10" width="37.26953125" style="17" customWidth="1"/>
  </cols>
  <sheetData>
    <row r="1" spans="1:10" ht="52.5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10" ht="82" customHeight="1" x14ac:dyDescent="0.35">
      <c r="A2" s="18" t="s">
        <v>9</v>
      </c>
      <c r="B2" s="19"/>
      <c r="C2" s="19"/>
      <c r="D2" s="19"/>
      <c r="E2" s="19"/>
      <c r="F2" s="19"/>
      <c r="G2" s="19"/>
      <c r="H2" s="19"/>
      <c r="I2" s="4"/>
      <c r="J2" s="17" t="s">
        <v>118</v>
      </c>
    </row>
    <row r="3" spans="1:10" x14ac:dyDescent="0.35">
      <c r="A3" s="5">
        <v>1</v>
      </c>
      <c r="B3" s="6" t="s">
        <v>10</v>
      </c>
      <c r="C3" s="7" t="s">
        <v>11</v>
      </c>
      <c r="D3" s="7" t="s">
        <v>12</v>
      </c>
      <c r="E3" s="8">
        <v>241373</v>
      </c>
      <c r="F3" s="8">
        <v>0</v>
      </c>
      <c r="G3" s="8">
        <v>0</v>
      </c>
      <c r="H3" s="7" t="s">
        <v>13</v>
      </c>
      <c r="I3" s="7" t="s">
        <v>13</v>
      </c>
    </row>
    <row r="4" spans="1:10" x14ac:dyDescent="0.35">
      <c r="A4" s="5">
        <f>A3+1</f>
        <v>2</v>
      </c>
      <c r="B4" s="6" t="s">
        <v>14</v>
      </c>
      <c r="C4" s="7" t="s">
        <v>11</v>
      </c>
      <c r="D4" s="7" t="s">
        <v>12</v>
      </c>
      <c r="E4" s="8">
        <v>212826</v>
      </c>
      <c r="F4" s="8">
        <v>0</v>
      </c>
      <c r="G4" s="8">
        <v>0</v>
      </c>
      <c r="H4" s="7" t="s">
        <v>13</v>
      </c>
      <c r="I4" s="7" t="s">
        <v>13</v>
      </c>
    </row>
    <row r="5" spans="1:10" x14ac:dyDescent="0.35">
      <c r="A5" s="5">
        <f t="shared" ref="A5:A17" si="0">A4+1</f>
        <v>3</v>
      </c>
      <c r="B5" s="6" t="s">
        <v>15</v>
      </c>
      <c r="C5" s="7" t="s">
        <v>13</v>
      </c>
      <c r="D5" s="7" t="s">
        <v>16</v>
      </c>
      <c r="E5" s="8">
        <v>182817</v>
      </c>
      <c r="F5" s="8">
        <v>0</v>
      </c>
      <c r="G5" s="8">
        <v>0</v>
      </c>
      <c r="H5" s="7" t="s">
        <v>13</v>
      </c>
      <c r="I5" s="7" t="s">
        <v>13</v>
      </c>
    </row>
    <row r="6" spans="1:10" x14ac:dyDescent="0.35">
      <c r="A6" s="5">
        <f t="shared" si="0"/>
        <v>4</v>
      </c>
      <c r="B6" s="6" t="s">
        <v>17</v>
      </c>
      <c r="C6" s="7" t="s">
        <v>13</v>
      </c>
      <c r="D6" s="7" t="s">
        <v>18</v>
      </c>
      <c r="E6" s="8">
        <v>18663</v>
      </c>
      <c r="F6" s="8">
        <v>0</v>
      </c>
      <c r="G6" s="8">
        <v>0</v>
      </c>
      <c r="H6" s="7" t="s">
        <v>13</v>
      </c>
      <c r="I6" s="7" t="s">
        <v>13</v>
      </c>
    </row>
    <row r="7" spans="1:10" x14ac:dyDescent="0.35">
      <c r="A7" s="5">
        <f t="shared" si="0"/>
        <v>5</v>
      </c>
      <c r="B7" s="6" t="s">
        <v>19</v>
      </c>
      <c r="C7" s="7" t="s">
        <v>13</v>
      </c>
      <c r="D7" s="7" t="s">
        <v>12</v>
      </c>
      <c r="E7" s="8">
        <v>18192</v>
      </c>
      <c r="F7" s="8">
        <v>0</v>
      </c>
      <c r="G7" s="8">
        <v>0</v>
      </c>
      <c r="H7" s="7" t="s">
        <v>13</v>
      </c>
      <c r="I7" s="7" t="s">
        <v>13</v>
      </c>
    </row>
    <row r="8" spans="1:10" x14ac:dyDescent="0.35">
      <c r="A8" s="5">
        <f t="shared" si="0"/>
        <v>6</v>
      </c>
      <c r="B8" s="6" t="s">
        <v>20</v>
      </c>
      <c r="C8" s="7" t="s">
        <v>13</v>
      </c>
      <c r="D8" s="7" t="s">
        <v>12</v>
      </c>
      <c r="E8" s="8">
        <v>12181</v>
      </c>
      <c r="F8" s="8">
        <v>0</v>
      </c>
      <c r="G8" s="8">
        <v>0</v>
      </c>
      <c r="H8" s="7" t="s">
        <v>13</v>
      </c>
      <c r="I8" s="7" t="s">
        <v>13</v>
      </c>
    </row>
    <row r="9" spans="1:10" x14ac:dyDescent="0.35">
      <c r="A9" s="5">
        <f t="shared" si="0"/>
        <v>7</v>
      </c>
      <c r="B9" s="6" t="s">
        <v>21</v>
      </c>
      <c r="C9" s="7" t="s">
        <v>13</v>
      </c>
      <c r="D9" s="7" t="s">
        <v>12</v>
      </c>
      <c r="E9" s="8">
        <v>9627</v>
      </c>
      <c r="F9" s="8">
        <v>0</v>
      </c>
      <c r="G9" s="8">
        <v>0</v>
      </c>
      <c r="H9" s="7" t="s">
        <v>13</v>
      </c>
      <c r="I9" s="7" t="s">
        <v>13</v>
      </c>
    </row>
    <row r="10" spans="1:10" x14ac:dyDescent="0.35">
      <c r="A10" s="5">
        <f t="shared" si="0"/>
        <v>8</v>
      </c>
      <c r="B10" s="6" t="s">
        <v>22</v>
      </c>
      <c r="C10" s="7" t="s">
        <v>13</v>
      </c>
      <c r="D10" s="7" t="s">
        <v>23</v>
      </c>
      <c r="E10" s="8">
        <v>9584</v>
      </c>
      <c r="F10" s="8">
        <v>0</v>
      </c>
      <c r="G10" s="8">
        <v>0</v>
      </c>
      <c r="H10" s="7" t="s">
        <v>13</v>
      </c>
      <c r="I10" s="7" t="s">
        <v>13</v>
      </c>
    </row>
    <row r="11" spans="1:10" x14ac:dyDescent="0.35">
      <c r="A11" s="5">
        <f t="shared" si="0"/>
        <v>9</v>
      </c>
      <c r="B11" s="6" t="s">
        <v>24</v>
      </c>
      <c r="C11" s="7" t="s">
        <v>13</v>
      </c>
      <c r="D11" s="7" t="s">
        <v>12</v>
      </c>
      <c r="E11" s="8">
        <v>9031</v>
      </c>
      <c r="F11" s="8">
        <v>0</v>
      </c>
      <c r="G11" s="8">
        <v>0</v>
      </c>
      <c r="H11" s="7" t="s">
        <v>13</v>
      </c>
      <c r="I11" s="7" t="s">
        <v>13</v>
      </c>
    </row>
    <row r="12" spans="1:10" x14ac:dyDescent="0.35">
      <c r="A12" s="5">
        <f t="shared" si="0"/>
        <v>10</v>
      </c>
      <c r="B12" s="6" t="s">
        <v>25</v>
      </c>
      <c r="C12" s="7" t="s">
        <v>13</v>
      </c>
      <c r="D12" s="7" t="s">
        <v>12</v>
      </c>
      <c r="E12" s="8">
        <v>4682</v>
      </c>
      <c r="F12" s="8">
        <v>0</v>
      </c>
      <c r="G12" s="8">
        <v>0</v>
      </c>
      <c r="H12" s="7" t="s">
        <v>13</v>
      </c>
      <c r="I12" s="7" t="s">
        <v>13</v>
      </c>
    </row>
    <row r="13" spans="1:10" x14ac:dyDescent="0.35">
      <c r="A13" s="5">
        <f t="shared" si="0"/>
        <v>11</v>
      </c>
      <c r="B13" s="6" t="s">
        <v>26</v>
      </c>
      <c r="C13" s="7" t="s">
        <v>13</v>
      </c>
      <c r="D13" s="7" t="s">
        <v>23</v>
      </c>
      <c r="E13" s="8">
        <v>3073</v>
      </c>
      <c r="F13" s="8">
        <v>0</v>
      </c>
      <c r="G13" s="8">
        <v>0</v>
      </c>
      <c r="H13" s="7" t="s">
        <v>13</v>
      </c>
      <c r="I13" s="7" t="s">
        <v>13</v>
      </c>
    </row>
    <row r="14" spans="1:10" x14ac:dyDescent="0.35">
      <c r="A14" s="5">
        <f t="shared" si="0"/>
        <v>12</v>
      </c>
      <c r="B14" s="6" t="s">
        <v>27</v>
      </c>
      <c r="C14" s="7" t="s">
        <v>13</v>
      </c>
      <c r="D14" s="7" t="s">
        <v>12</v>
      </c>
      <c r="E14" s="8">
        <v>2829</v>
      </c>
      <c r="F14" s="8">
        <v>0</v>
      </c>
      <c r="G14" s="8">
        <v>0</v>
      </c>
      <c r="H14" s="7" t="s">
        <v>13</v>
      </c>
      <c r="I14" s="7" t="s">
        <v>13</v>
      </c>
    </row>
    <row r="15" spans="1:10" x14ac:dyDescent="0.35">
      <c r="A15" s="5">
        <f t="shared" si="0"/>
        <v>13</v>
      </c>
      <c r="B15" s="6" t="s">
        <v>28</v>
      </c>
      <c r="C15" s="7" t="s">
        <v>13</v>
      </c>
      <c r="D15" s="7" t="s">
        <v>23</v>
      </c>
      <c r="E15" s="8">
        <v>2647</v>
      </c>
      <c r="F15" s="8">
        <v>0</v>
      </c>
      <c r="G15" s="8">
        <v>0</v>
      </c>
      <c r="H15" s="7" t="s">
        <v>13</v>
      </c>
      <c r="I15" s="7" t="s">
        <v>13</v>
      </c>
    </row>
    <row r="16" spans="1:10" x14ac:dyDescent="0.35">
      <c r="A16" s="5">
        <f t="shared" si="0"/>
        <v>14</v>
      </c>
      <c r="B16" s="6" t="s">
        <v>29</v>
      </c>
      <c r="C16" s="7" t="s">
        <v>13</v>
      </c>
      <c r="D16" s="7" t="s">
        <v>23</v>
      </c>
      <c r="E16" s="8">
        <v>2091</v>
      </c>
      <c r="F16" s="8">
        <v>0</v>
      </c>
      <c r="G16" s="8">
        <v>0</v>
      </c>
      <c r="H16" s="7" t="s">
        <v>13</v>
      </c>
      <c r="I16" s="7" t="s">
        <v>13</v>
      </c>
    </row>
    <row r="17" spans="1:10" ht="21.5" x14ac:dyDescent="0.35">
      <c r="A17" s="5">
        <f t="shared" si="0"/>
        <v>15</v>
      </c>
      <c r="B17" s="6" t="s">
        <v>30</v>
      </c>
      <c r="C17" s="7" t="s">
        <v>13</v>
      </c>
      <c r="D17" s="7" t="s">
        <v>12</v>
      </c>
      <c r="E17" s="8">
        <v>1735</v>
      </c>
      <c r="F17" s="8">
        <v>0</v>
      </c>
      <c r="G17" s="8">
        <v>0</v>
      </c>
      <c r="H17" s="7" t="s">
        <v>13</v>
      </c>
      <c r="I17" s="7" t="s">
        <v>13</v>
      </c>
    </row>
    <row r="18" spans="1:10" x14ac:dyDescent="0.35">
      <c r="A18" s="9"/>
      <c r="B18" s="9"/>
      <c r="C18" s="9"/>
      <c r="D18" s="10" t="s">
        <v>31</v>
      </c>
      <c r="E18" s="11">
        <f>SUM(E3:E17)</f>
        <v>731351</v>
      </c>
      <c r="F18" s="11">
        <f>SUM(F3:F17)</f>
        <v>0</v>
      </c>
      <c r="G18" s="11">
        <f>SUM(G3:G17)</f>
        <v>0</v>
      </c>
      <c r="H18" s="12"/>
      <c r="I18" s="12"/>
    </row>
    <row r="19" spans="1:10" ht="217.5" x14ac:dyDescent="0.35">
      <c r="A19" s="18" t="s">
        <v>32</v>
      </c>
      <c r="B19" s="20"/>
      <c r="C19" s="20"/>
      <c r="D19" s="20"/>
      <c r="E19" s="20"/>
      <c r="F19" s="20"/>
      <c r="G19" s="20"/>
      <c r="H19" s="20"/>
      <c r="I19" s="12"/>
      <c r="J19" s="17" t="s">
        <v>119</v>
      </c>
    </row>
    <row r="20" spans="1:10" ht="31.5" x14ac:dyDescent="0.35">
      <c r="A20" s="5">
        <v>1</v>
      </c>
      <c r="B20" s="6" t="s">
        <v>33</v>
      </c>
      <c r="C20" s="7" t="s">
        <v>13</v>
      </c>
      <c r="D20" s="7" t="s">
        <v>18</v>
      </c>
      <c r="E20" s="8">
        <v>21234.589</v>
      </c>
      <c r="F20" s="8">
        <v>4000.0000019999998</v>
      </c>
      <c r="G20" s="8">
        <v>4000</v>
      </c>
      <c r="H20" s="7" t="s">
        <v>34</v>
      </c>
      <c r="I20" s="7" t="s">
        <v>13</v>
      </c>
    </row>
    <row r="21" spans="1:10" x14ac:dyDescent="0.35">
      <c r="A21" s="5">
        <f>A20+1</f>
        <v>2</v>
      </c>
      <c r="B21" s="6" t="s">
        <v>35</v>
      </c>
      <c r="C21" s="7" t="s">
        <v>13</v>
      </c>
      <c r="D21" s="7" t="s">
        <v>18</v>
      </c>
      <c r="E21" s="8">
        <v>16415.968270000001</v>
      </c>
      <c r="F21" s="8">
        <v>3188.3070539999999</v>
      </c>
      <c r="G21" s="8">
        <v>3188</v>
      </c>
      <c r="H21" s="7" t="s">
        <v>34</v>
      </c>
      <c r="I21" s="7" t="s">
        <v>13</v>
      </c>
    </row>
    <row r="22" spans="1:10" x14ac:dyDescent="0.35">
      <c r="A22" s="5">
        <f t="shared" ref="A22:A34" si="1">A21+1</f>
        <v>3</v>
      </c>
      <c r="B22" s="6" t="s">
        <v>36</v>
      </c>
      <c r="C22" s="7" t="s">
        <v>13</v>
      </c>
      <c r="D22" s="7" t="s">
        <v>18</v>
      </c>
      <c r="E22" s="8">
        <v>13168</v>
      </c>
      <c r="F22" s="8">
        <v>3083</v>
      </c>
      <c r="G22" s="8">
        <v>3083</v>
      </c>
      <c r="H22" s="7" t="s">
        <v>34</v>
      </c>
      <c r="I22" s="7" t="s">
        <v>13</v>
      </c>
    </row>
    <row r="23" spans="1:10" ht="21.5" x14ac:dyDescent="0.35">
      <c r="A23" s="5">
        <f t="shared" si="1"/>
        <v>4</v>
      </c>
      <c r="B23" s="6" t="s">
        <v>37</v>
      </c>
      <c r="C23" s="7" t="s">
        <v>13</v>
      </c>
      <c r="D23" s="7" t="s">
        <v>18</v>
      </c>
      <c r="E23" s="8">
        <v>481.14704999999998</v>
      </c>
      <c r="F23" s="8">
        <v>113</v>
      </c>
      <c r="G23" s="8">
        <v>113</v>
      </c>
      <c r="H23" s="7" t="s">
        <v>34</v>
      </c>
      <c r="I23" s="7" t="s">
        <v>13</v>
      </c>
    </row>
    <row r="24" spans="1:10" x14ac:dyDescent="0.35">
      <c r="A24" s="5">
        <f t="shared" si="1"/>
        <v>5</v>
      </c>
      <c r="B24" s="6" t="s">
        <v>38</v>
      </c>
      <c r="C24" s="7" t="s">
        <v>13</v>
      </c>
      <c r="D24" s="7" t="s">
        <v>12</v>
      </c>
      <c r="E24" s="8">
        <v>143</v>
      </c>
      <c r="F24" s="8">
        <v>35</v>
      </c>
      <c r="G24" s="8">
        <v>35</v>
      </c>
      <c r="H24" s="7" t="s">
        <v>34</v>
      </c>
      <c r="I24" s="7" t="s">
        <v>13</v>
      </c>
    </row>
    <row r="25" spans="1:10" x14ac:dyDescent="0.35">
      <c r="A25" s="5">
        <f t="shared" si="1"/>
        <v>6</v>
      </c>
      <c r="B25" s="6" t="s">
        <v>13</v>
      </c>
      <c r="C25" s="7" t="s">
        <v>13</v>
      </c>
      <c r="D25" s="7" t="s">
        <v>13</v>
      </c>
      <c r="E25" s="8">
        <v>0</v>
      </c>
      <c r="F25" s="8">
        <v>0</v>
      </c>
      <c r="G25" s="8">
        <v>0</v>
      </c>
      <c r="H25" s="7" t="s">
        <v>34</v>
      </c>
      <c r="I25" s="7" t="s">
        <v>13</v>
      </c>
    </row>
    <row r="26" spans="1:10" x14ac:dyDescent="0.35">
      <c r="A26" s="5">
        <f t="shared" si="1"/>
        <v>7</v>
      </c>
      <c r="B26" s="6" t="s">
        <v>13</v>
      </c>
      <c r="C26" s="7" t="s">
        <v>13</v>
      </c>
      <c r="D26" s="7" t="s">
        <v>13</v>
      </c>
      <c r="E26" s="8">
        <v>0</v>
      </c>
      <c r="F26" s="8">
        <v>0</v>
      </c>
      <c r="G26" s="8">
        <v>0</v>
      </c>
      <c r="H26" s="7" t="s">
        <v>34</v>
      </c>
      <c r="I26" s="7" t="s">
        <v>13</v>
      </c>
    </row>
    <row r="27" spans="1:10" x14ac:dyDescent="0.35">
      <c r="A27" s="5">
        <f t="shared" si="1"/>
        <v>8</v>
      </c>
      <c r="B27" s="6" t="s">
        <v>13</v>
      </c>
      <c r="C27" s="7" t="s">
        <v>13</v>
      </c>
      <c r="D27" s="7" t="s">
        <v>13</v>
      </c>
      <c r="E27" s="8">
        <v>0</v>
      </c>
      <c r="F27" s="8">
        <v>0</v>
      </c>
      <c r="G27" s="8">
        <v>0</v>
      </c>
      <c r="H27" s="7" t="s">
        <v>34</v>
      </c>
      <c r="I27" s="7" t="s">
        <v>13</v>
      </c>
    </row>
    <row r="28" spans="1:10" x14ac:dyDescent="0.35">
      <c r="A28" s="5">
        <f t="shared" si="1"/>
        <v>9</v>
      </c>
      <c r="B28" s="6" t="s">
        <v>13</v>
      </c>
      <c r="C28" s="7" t="s">
        <v>13</v>
      </c>
      <c r="D28" s="7" t="s">
        <v>13</v>
      </c>
      <c r="E28" s="8">
        <v>0</v>
      </c>
      <c r="F28" s="8">
        <v>0</v>
      </c>
      <c r="G28" s="8">
        <v>0</v>
      </c>
      <c r="H28" s="7" t="s">
        <v>34</v>
      </c>
      <c r="I28" s="7" t="s">
        <v>13</v>
      </c>
    </row>
    <row r="29" spans="1:10" x14ac:dyDescent="0.35">
      <c r="A29" s="5">
        <f t="shared" si="1"/>
        <v>10</v>
      </c>
      <c r="B29" s="6" t="s">
        <v>13</v>
      </c>
      <c r="C29" s="7" t="s">
        <v>13</v>
      </c>
      <c r="D29" s="7" t="s">
        <v>13</v>
      </c>
      <c r="E29" s="8">
        <v>0</v>
      </c>
      <c r="F29" s="8">
        <v>0</v>
      </c>
      <c r="G29" s="8">
        <v>0</v>
      </c>
      <c r="H29" s="7" t="s">
        <v>34</v>
      </c>
      <c r="I29" s="7" t="s">
        <v>13</v>
      </c>
    </row>
    <row r="30" spans="1:10" x14ac:dyDescent="0.35">
      <c r="A30" s="5">
        <f t="shared" si="1"/>
        <v>11</v>
      </c>
      <c r="B30" s="6" t="s">
        <v>13</v>
      </c>
      <c r="C30" s="7" t="s">
        <v>13</v>
      </c>
      <c r="D30" s="7" t="s">
        <v>13</v>
      </c>
      <c r="E30" s="8">
        <v>0</v>
      </c>
      <c r="F30" s="8">
        <v>0</v>
      </c>
      <c r="G30" s="8">
        <v>0</v>
      </c>
      <c r="H30" s="7" t="s">
        <v>34</v>
      </c>
      <c r="I30" s="7" t="s">
        <v>13</v>
      </c>
    </row>
    <row r="31" spans="1:10" x14ac:dyDescent="0.35">
      <c r="A31" s="5">
        <f t="shared" si="1"/>
        <v>12</v>
      </c>
      <c r="B31" s="6" t="s">
        <v>13</v>
      </c>
      <c r="C31" s="7" t="s">
        <v>13</v>
      </c>
      <c r="D31" s="7" t="s">
        <v>13</v>
      </c>
      <c r="E31" s="8">
        <v>0</v>
      </c>
      <c r="F31" s="8">
        <v>0</v>
      </c>
      <c r="G31" s="8">
        <v>0</v>
      </c>
      <c r="H31" s="7" t="s">
        <v>34</v>
      </c>
      <c r="I31" s="7" t="s">
        <v>13</v>
      </c>
    </row>
    <row r="32" spans="1:10" x14ac:dyDescent="0.35">
      <c r="A32" s="5">
        <f t="shared" si="1"/>
        <v>13</v>
      </c>
      <c r="B32" s="6" t="s">
        <v>13</v>
      </c>
      <c r="C32" s="7" t="s">
        <v>13</v>
      </c>
      <c r="D32" s="7" t="s">
        <v>13</v>
      </c>
      <c r="E32" s="8">
        <v>0</v>
      </c>
      <c r="F32" s="8">
        <v>0</v>
      </c>
      <c r="G32" s="8">
        <v>0</v>
      </c>
      <c r="H32" s="7" t="s">
        <v>34</v>
      </c>
      <c r="I32" s="7" t="s">
        <v>13</v>
      </c>
    </row>
    <row r="33" spans="1:10" x14ac:dyDescent="0.35">
      <c r="A33" s="5">
        <f t="shared" si="1"/>
        <v>14</v>
      </c>
      <c r="B33" s="6" t="s">
        <v>13</v>
      </c>
      <c r="C33" s="7" t="s">
        <v>13</v>
      </c>
      <c r="D33" s="7" t="s">
        <v>13</v>
      </c>
      <c r="E33" s="8">
        <v>0</v>
      </c>
      <c r="F33" s="8">
        <v>0</v>
      </c>
      <c r="G33" s="8">
        <v>0</v>
      </c>
      <c r="H33" s="7" t="s">
        <v>34</v>
      </c>
      <c r="I33" s="7" t="s">
        <v>13</v>
      </c>
    </row>
    <row r="34" spans="1:10" x14ac:dyDescent="0.35">
      <c r="A34" s="5">
        <f t="shared" si="1"/>
        <v>15</v>
      </c>
      <c r="B34" s="7" t="s">
        <v>13</v>
      </c>
      <c r="C34" s="7" t="s">
        <v>13</v>
      </c>
      <c r="D34" s="7" t="s">
        <v>13</v>
      </c>
      <c r="E34" s="8">
        <v>0</v>
      </c>
      <c r="F34" s="8">
        <v>0</v>
      </c>
      <c r="G34" s="8">
        <v>0</v>
      </c>
      <c r="H34" s="7" t="s">
        <v>34</v>
      </c>
      <c r="I34" s="7" t="s">
        <v>13</v>
      </c>
    </row>
    <row r="35" spans="1:10" x14ac:dyDescent="0.35">
      <c r="A35" s="1"/>
      <c r="B35" s="1"/>
      <c r="C35" s="9"/>
      <c r="D35" s="10" t="s">
        <v>31</v>
      </c>
      <c r="E35" s="13">
        <f>SUM(E20:E34)</f>
        <v>51442.704320000004</v>
      </c>
      <c r="F35" s="13">
        <f>SUM(F20:F34)</f>
        <v>10419.307056</v>
      </c>
      <c r="G35" s="13">
        <f>SUM(G20:G34)</f>
        <v>10419</v>
      </c>
      <c r="H35" s="10"/>
      <c r="I35" s="12"/>
    </row>
    <row r="36" spans="1:10" ht="232" x14ac:dyDescent="0.35">
      <c r="A36" s="18" t="s">
        <v>39</v>
      </c>
      <c r="B36" s="18"/>
      <c r="C36" s="18"/>
      <c r="D36" s="18"/>
      <c r="E36" s="18"/>
      <c r="F36" s="18"/>
      <c r="G36" s="18"/>
      <c r="H36" s="18"/>
      <c r="I36" s="12"/>
      <c r="J36" s="17" t="s">
        <v>120</v>
      </c>
    </row>
    <row r="37" spans="1:10" ht="21.5" x14ac:dyDescent="0.35">
      <c r="A37" s="5">
        <v>1</v>
      </c>
      <c r="B37" s="6" t="s">
        <v>40</v>
      </c>
      <c r="C37" s="6" t="s">
        <v>13</v>
      </c>
      <c r="D37" s="7" t="s">
        <v>41</v>
      </c>
      <c r="E37" s="8">
        <v>83214</v>
      </c>
      <c r="F37" s="8">
        <v>61994</v>
      </c>
      <c r="G37" s="8">
        <v>61994</v>
      </c>
      <c r="H37" s="7" t="s">
        <v>42</v>
      </c>
      <c r="I37" s="7" t="s">
        <v>43</v>
      </c>
    </row>
    <row r="38" spans="1:10" x14ac:dyDescent="0.35">
      <c r="A38" s="5">
        <f>A37+1</f>
        <v>2</v>
      </c>
      <c r="B38" s="6" t="s">
        <v>44</v>
      </c>
      <c r="C38" s="7" t="s">
        <v>13</v>
      </c>
      <c r="D38" s="7" t="s">
        <v>12</v>
      </c>
      <c r="E38" s="8">
        <v>78839</v>
      </c>
      <c r="F38" s="8">
        <v>52194</v>
      </c>
      <c r="G38" s="8">
        <v>52194</v>
      </c>
      <c r="H38" s="7" t="s">
        <v>42</v>
      </c>
      <c r="I38" s="7" t="s">
        <v>45</v>
      </c>
    </row>
    <row r="39" spans="1:10" x14ac:dyDescent="0.35">
      <c r="A39" s="5">
        <f t="shared" ref="A39:A51" si="2">A38+1</f>
        <v>3</v>
      </c>
      <c r="B39" s="6" t="s">
        <v>46</v>
      </c>
      <c r="C39" s="7" t="s">
        <v>13</v>
      </c>
      <c r="D39" s="7" t="s">
        <v>12</v>
      </c>
      <c r="E39" s="8">
        <v>27306</v>
      </c>
      <c r="F39" s="8">
        <v>22880</v>
      </c>
      <c r="G39" s="8">
        <v>22880</v>
      </c>
      <c r="H39" s="7" t="s">
        <v>42</v>
      </c>
      <c r="I39" s="7" t="s">
        <v>45</v>
      </c>
    </row>
    <row r="40" spans="1:10" x14ac:dyDescent="0.35">
      <c r="A40" s="5">
        <f t="shared" si="2"/>
        <v>4</v>
      </c>
      <c r="B40" s="6" t="s">
        <v>47</v>
      </c>
      <c r="C40" s="7" t="s">
        <v>13</v>
      </c>
      <c r="D40" s="7" t="s">
        <v>23</v>
      </c>
      <c r="E40" s="8">
        <v>23684</v>
      </c>
      <c r="F40" s="8">
        <v>7589</v>
      </c>
      <c r="G40" s="8">
        <v>7589</v>
      </c>
      <c r="H40" s="7" t="s">
        <v>42</v>
      </c>
      <c r="I40" s="7" t="s">
        <v>48</v>
      </c>
    </row>
    <row r="41" spans="1:10" x14ac:dyDescent="0.35">
      <c r="A41" s="5">
        <f t="shared" si="2"/>
        <v>5</v>
      </c>
      <c r="B41" s="6" t="s">
        <v>49</v>
      </c>
      <c r="C41" s="7" t="s">
        <v>13</v>
      </c>
      <c r="D41" s="7" t="s">
        <v>23</v>
      </c>
      <c r="E41" s="8">
        <v>23588</v>
      </c>
      <c r="F41" s="8">
        <v>17875</v>
      </c>
      <c r="G41" s="8">
        <v>17875</v>
      </c>
      <c r="H41" s="7" t="s">
        <v>42</v>
      </c>
      <c r="I41" s="7" t="s">
        <v>48</v>
      </c>
    </row>
    <row r="42" spans="1:10" x14ac:dyDescent="0.35">
      <c r="A42" s="5">
        <f t="shared" si="2"/>
        <v>6</v>
      </c>
      <c r="B42" s="6" t="s">
        <v>50</v>
      </c>
      <c r="C42" s="7" t="s">
        <v>13</v>
      </c>
      <c r="D42" s="7" t="s">
        <v>12</v>
      </c>
      <c r="E42" s="8">
        <v>22599</v>
      </c>
      <c r="F42" s="8">
        <v>9362</v>
      </c>
      <c r="G42" s="8">
        <v>9362</v>
      </c>
      <c r="H42" s="7" t="s">
        <v>42</v>
      </c>
      <c r="I42" s="7" t="s">
        <v>45</v>
      </c>
    </row>
    <row r="43" spans="1:10" ht="21.5" x14ac:dyDescent="0.35">
      <c r="A43" s="5">
        <f t="shared" si="2"/>
        <v>7</v>
      </c>
      <c r="B43" s="6" t="s">
        <v>51</v>
      </c>
      <c r="C43" s="7" t="s">
        <v>13</v>
      </c>
      <c r="D43" s="7" t="s">
        <v>18</v>
      </c>
      <c r="E43" s="8">
        <v>22532</v>
      </c>
      <c r="F43" s="8">
        <v>5314</v>
      </c>
      <c r="G43" s="8">
        <v>5314</v>
      </c>
      <c r="H43" s="7" t="s">
        <v>34</v>
      </c>
      <c r="I43" s="7" t="s">
        <v>13</v>
      </c>
    </row>
    <row r="44" spans="1:10" x14ac:dyDescent="0.35">
      <c r="A44" s="5">
        <f t="shared" si="2"/>
        <v>8</v>
      </c>
      <c r="B44" s="6" t="s">
        <v>52</v>
      </c>
      <c r="C44" s="7" t="s">
        <v>13</v>
      </c>
      <c r="D44" s="7" t="s">
        <v>23</v>
      </c>
      <c r="E44" s="8">
        <v>12260</v>
      </c>
      <c r="F44" s="8">
        <v>11172</v>
      </c>
      <c r="G44" s="8">
        <v>11172</v>
      </c>
      <c r="H44" s="7" t="s">
        <v>42</v>
      </c>
      <c r="I44" s="7" t="s">
        <v>48</v>
      </c>
    </row>
    <row r="45" spans="1:10" x14ac:dyDescent="0.35">
      <c r="A45" s="5">
        <f t="shared" si="2"/>
        <v>9</v>
      </c>
      <c r="B45" s="6" t="s">
        <v>53</v>
      </c>
      <c r="C45" s="7" t="s">
        <v>13</v>
      </c>
      <c r="D45" s="7" t="s">
        <v>12</v>
      </c>
      <c r="E45" s="8">
        <v>11911</v>
      </c>
      <c r="F45" s="8">
        <v>3662</v>
      </c>
      <c r="G45" s="8">
        <v>3662</v>
      </c>
      <c r="H45" s="7" t="s">
        <v>42</v>
      </c>
      <c r="I45" s="7" t="s">
        <v>45</v>
      </c>
    </row>
    <row r="46" spans="1:10" x14ac:dyDescent="0.35">
      <c r="A46" s="5">
        <f t="shared" si="2"/>
        <v>10</v>
      </c>
      <c r="B46" s="6" t="s">
        <v>54</v>
      </c>
      <c r="C46" s="7" t="s">
        <v>13</v>
      </c>
      <c r="D46" s="7" t="s">
        <v>18</v>
      </c>
      <c r="E46" s="8">
        <v>11176</v>
      </c>
      <c r="F46" s="8">
        <v>2684</v>
      </c>
      <c r="G46" s="8">
        <v>2684</v>
      </c>
      <c r="H46" s="7" t="s">
        <v>34</v>
      </c>
      <c r="I46" s="7" t="s">
        <v>13</v>
      </c>
    </row>
    <row r="47" spans="1:10" x14ac:dyDescent="0.35">
      <c r="A47" s="5">
        <f t="shared" si="2"/>
        <v>11</v>
      </c>
      <c r="B47" s="6" t="s">
        <v>55</v>
      </c>
      <c r="C47" s="7" t="s">
        <v>13</v>
      </c>
      <c r="D47" s="7" t="s">
        <v>23</v>
      </c>
      <c r="E47" s="8">
        <v>10955</v>
      </c>
      <c r="F47" s="8">
        <v>9393</v>
      </c>
      <c r="G47" s="8">
        <v>9393</v>
      </c>
      <c r="H47" s="7" t="s">
        <v>42</v>
      </c>
      <c r="I47" s="7" t="s">
        <v>48</v>
      </c>
    </row>
    <row r="48" spans="1:10" x14ac:dyDescent="0.35">
      <c r="A48" s="5">
        <f t="shared" si="2"/>
        <v>12</v>
      </c>
      <c r="B48" s="6" t="s">
        <v>56</v>
      </c>
      <c r="C48" s="7" t="s">
        <v>13</v>
      </c>
      <c r="D48" s="7" t="s">
        <v>12</v>
      </c>
      <c r="E48" s="8">
        <v>9454</v>
      </c>
      <c r="F48" s="8">
        <v>4814</v>
      </c>
      <c r="G48" s="8">
        <v>4814</v>
      </c>
      <c r="H48" s="7" t="s">
        <v>42</v>
      </c>
      <c r="I48" s="7" t="s">
        <v>45</v>
      </c>
    </row>
    <row r="49" spans="1:10" x14ac:dyDescent="0.35">
      <c r="A49" s="5">
        <f t="shared" si="2"/>
        <v>13</v>
      </c>
      <c r="B49" s="6" t="s">
        <v>57</v>
      </c>
      <c r="C49" s="7" t="s">
        <v>13</v>
      </c>
      <c r="D49" s="7" t="s">
        <v>18</v>
      </c>
      <c r="E49" s="8">
        <v>9233</v>
      </c>
      <c r="F49" s="8">
        <v>3565</v>
      </c>
      <c r="G49" s="8">
        <v>3565</v>
      </c>
      <c r="H49" s="7" t="s">
        <v>42</v>
      </c>
      <c r="I49" s="7" t="s">
        <v>45</v>
      </c>
    </row>
    <row r="50" spans="1:10" x14ac:dyDescent="0.35">
      <c r="A50" s="5">
        <f t="shared" si="2"/>
        <v>14</v>
      </c>
      <c r="B50" s="6" t="s">
        <v>58</v>
      </c>
      <c r="C50" s="7" t="s">
        <v>13</v>
      </c>
      <c r="D50" s="7" t="s">
        <v>12</v>
      </c>
      <c r="E50" s="8">
        <v>6876</v>
      </c>
      <c r="F50" s="8">
        <v>4338</v>
      </c>
      <c r="G50" s="8">
        <v>4338</v>
      </c>
      <c r="H50" s="7" t="s">
        <v>42</v>
      </c>
      <c r="I50" s="7" t="s">
        <v>59</v>
      </c>
    </row>
    <row r="51" spans="1:10" x14ac:dyDescent="0.35">
      <c r="A51" s="5">
        <f t="shared" si="2"/>
        <v>15</v>
      </c>
      <c r="B51" s="14" t="s">
        <v>60</v>
      </c>
      <c r="C51" s="7" t="s">
        <v>13</v>
      </c>
      <c r="D51" s="7" t="s">
        <v>12</v>
      </c>
      <c r="E51" s="8">
        <v>6458</v>
      </c>
      <c r="F51" s="8">
        <v>5077</v>
      </c>
      <c r="G51" s="8">
        <v>5077</v>
      </c>
      <c r="H51" s="7" t="s">
        <v>42</v>
      </c>
      <c r="I51" s="7" t="s">
        <v>45</v>
      </c>
    </row>
    <row r="52" spans="1:10" x14ac:dyDescent="0.35">
      <c r="A52" s="1"/>
      <c r="B52" s="1"/>
      <c r="C52" s="1"/>
      <c r="D52" s="10" t="s">
        <v>31</v>
      </c>
      <c r="E52" s="13">
        <f>SUM(E37:E51)</f>
        <v>360085</v>
      </c>
      <c r="F52" s="13">
        <f>SUM(F37:F51)</f>
        <v>221913</v>
      </c>
      <c r="G52" s="13">
        <f>SUM(G37:G51)</f>
        <v>221913</v>
      </c>
      <c r="H52" s="10"/>
      <c r="I52" s="12"/>
    </row>
    <row r="53" spans="1:10" ht="217.5" x14ac:dyDescent="0.35">
      <c r="A53" s="18" t="s">
        <v>61</v>
      </c>
      <c r="B53" s="20"/>
      <c r="C53" s="20"/>
      <c r="D53" s="20"/>
      <c r="E53" s="20"/>
      <c r="F53" s="20"/>
      <c r="G53" s="20"/>
      <c r="H53" s="20"/>
      <c r="I53" s="12"/>
      <c r="J53" s="17" t="s">
        <v>121</v>
      </c>
    </row>
    <row r="54" spans="1:10" x14ac:dyDescent="0.35">
      <c r="A54" s="5">
        <v>1</v>
      </c>
      <c r="B54" s="15" t="s">
        <v>62</v>
      </c>
      <c r="C54" s="7" t="s">
        <v>13</v>
      </c>
      <c r="D54" s="7" t="s">
        <v>63</v>
      </c>
      <c r="E54" s="16">
        <v>449123</v>
      </c>
      <c r="F54" s="16">
        <v>248202</v>
      </c>
      <c r="G54" s="16">
        <v>248202</v>
      </c>
      <c r="H54" s="7" t="s">
        <v>42</v>
      </c>
      <c r="I54" s="7" t="s">
        <v>64</v>
      </c>
    </row>
    <row r="55" spans="1:10" x14ac:dyDescent="0.35">
      <c r="A55" s="5">
        <f>A54+1</f>
        <v>2</v>
      </c>
      <c r="B55" s="14" t="s">
        <v>65</v>
      </c>
      <c r="C55" s="7" t="s">
        <v>13</v>
      </c>
      <c r="D55" s="7" t="s">
        <v>18</v>
      </c>
      <c r="E55" s="16">
        <v>445689</v>
      </c>
      <c r="F55" s="16">
        <v>342806</v>
      </c>
      <c r="G55" s="16">
        <v>342805.60639000003</v>
      </c>
      <c r="H55" s="7" t="s">
        <v>42</v>
      </c>
      <c r="I55" s="7" t="s">
        <v>45</v>
      </c>
    </row>
    <row r="56" spans="1:10" x14ac:dyDescent="0.35">
      <c r="A56" s="5">
        <f t="shared" ref="A56:A68" si="3">A55+1</f>
        <v>3</v>
      </c>
      <c r="B56" s="15" t="s">
        <v>66</v>
      </c>
      <c r="C56" s="7" t="s">
        <v>13</v>
      </c>
      <c r="D56" s="7" t="s">
        <v>67</v>
      </c>
      <c r="E56" s="16">
        <v>224409</v>
      </c>
      <c r="F56" s="16">
        <v>214503</v>
      </c>
      <c r="G56" s="16">
        <v>214503</v>
      </c>
      <c r="H56" s="7" t="s">
        <v>34</v>
      </c>
      <c r="I56" s="7" t="s">
        <v>13</v>
      </c>
    </row>
    <row r="57" spans="1:10" x14ac:dyDescent="0.35">
      <c r="A57" s="5">
        <f t="shared" si="3"/>
        <v>4</v>
      </c>
      <c r="B57" s="14" t="s">
        <v>68</v>
      </c>
      <c r="C57" s="7" t="s">
        <v>13</v>
      </c>
      <c r="D57" s="7" t="s">
        <v>63</v>
      </c>
      <c r="E57" s="16">
        <v>217209</v>
      </c>
      <c r="F57" s="16">
        <v>151175</v>
      </c>
      <c r="G57" s="16">
        <v>151175</v>
      </c>
      <c r="H57" s="7" t="s">
        <v>34</v>
      </c>
      <c r="I57" s="7" t="s">
        <v>13</v>
      </c>
    </row>
    <row r="58" spans="1:10" x14ac:dyDescent="0.35">
      <c r="A58" s="5">
        <f t="shared" si="3"/>
        <v>5</v>
      </c>
      <c r="B58" s="14" t="s">
        <v>69</v>
      </c>
      <c r="C58" s="7" t="s">
        <v>13</v>
      </c>
      <c r="D58" s="7" t="s">
        <v>12</v>
      </c>
      <c r="E58" s="16">
        <v>189580</v>
      </c>
      <c r="F58" s="16">
        <v>99718</v>
      </c>
      <c r="G58" s="16">
        <v>99718</v>
      </c>
      <c r="H58" s="7" t="s">
        <v>42</v>
      </c>
      <c r="I58" s="7" t="s">
        <v>45</v>
      </c>
    </row>
    <row r="59" spans="1:10" x14ac:dyDescent="0.35">
      <c r="A59" s="5">
        <f t="shared" si="3"/>
        <v>6</v>
      </c>
      <c r="B59" s="14" t="s">
        <v>69</v>
      </c>
      <c r="C59" s="7" t="s">
        <v>13</v>
      </c>
      <c r="D59" s="7" t="s">
        <v>70</v>
      </c>
      <c r="E59" s="16">
        <v>151191</v>
      </c>
      <c r="F59" s="16">
        <v>94596</v>
      </c>
      <c r="G59" s="16">
        <v>94596</v>
      </c>
      <c r="H59" s="7" t="s">
        <v>42</v>
      </c>
      <c r="I59" s="7" t="s">
        <v>71</v>
      </c>
    </row>
    <row r="60" spans="1:10" x14ac:dyDescent="0.35">
      <c r="A60" s="5">
        <f t="shared" si="3"/>
        <v>7</v>
      </c>
      <c r="B60" s="14" t="s">
        <v>72</v>
      </c>
      <c r="C60" s="7" t="s">
        <v>13</v>
      </c>
      <c r="D60" s="7" t="s">
        <v>18</v>
      </c>
      <c r="E60" s="16">
        <v>116512</v>
      </c>
      <c r="F60" s="16">
        <v>81312</v>
      </c>
      <c r="G60" s="16">
        <v>81312</v>
      </c>
      <c r="H60" s="7" t="s">
        <v>42</v>
      </c>
      <c r="I60" s="7" t="s">
        <v>45</v>
      </c>
    </row>
    <row r="61" spans="1:10" x14ac:dyDescent="0.35">
      <c r="A61" s="5">
        <f t="shared" si="3"/>
        <v>8</v>
      </c>
      <c r="B61" s="14" t="s">
        <v>73</v>
      </c>
      <c r="C61" s="7" t="s">
        <v>13</v>
      </c>
      <c r="D61" s="7" t="s">
        <v>12</v>
      </c>
      <c r="E61" s="16">
        <v>106680</v>
      </c>
      <c r="F61" s="16">
        <v>70649</v>
      </c>
      <c r="G61" s="16">
        <v>70649</v>
      </c>
      <c r="H61" s="7" t="s">
        <v>42</v>
      </c>
      <c r="I61" s="7" t="s">
        <v>45</v>
      </c>
    </row>
    <row r="62" spans="1:10" x14ac:dyDescent="0.35">
      <c r="A62" s="5">
        <f t="shared" si="3"/>
        <v>9</v>
      </c>
      <c r="B62" s="14" t="s">
        <v>74</v>
      </c>
      <c r="C62" s="7" t="s">
        <v>13</v>
      </c>
      <c r="D62" s="7" t="s">
        <v>75</v>
      </c>
      <c r="E62" s="16">
        <v>73830</v>
      </c>
      <c r="F62" s="16">
        <v>21041</v>
      </c>
      <c r="G62" s="16">
        <v>21041</v>
      </c>
      <c r="H62" s="7" t="s">
        <v>42</v>
      </c>
      <c r="I62" s="7" t="s">
        <v>45</v>
      </c>
    </row>
    <row r="63" spans="1:10" x14ac:dyDescent="0.35">
      <c r="A63" s="5">
        <f t="shared" si="3"/>
        <v>10</v>
      </c>
      <c r="B63" s="14" t="s">
        <v>76</v>
      </c>
      <c r="C63" s="7" t="s">
        <v>13</v>
      </c>
      <c r="D63" s="7" t="s">
        <v>63</v>
      </c>
      <c r="E63" s="16">
        <v>73600</v>
      </c>
      <c r="F63" s="16">
        <v>38973</v>
      </c>
      <c r="G63" s="16">
        <v>38973</v>
      </c>
      <c r="H63" s="7" t="s">
        <v>42</v>
      </c>
      <c r="I63" s="7" t="s">
        <v>77</v>
      </c>
    </row>
    <row r="64" spans="1:10" x14ac:dyDescent="0.35">
      <c r="A64" s="5">
        <f t="shared" si="3"/>
        <v>11</v>
      </c>
      <c r="B64" s="14" t="s">
        <v>78</v>
      </c>
      <c r="C64" s="7" t="s">
        <v>13</v>
      </c>
      <c r="D64" s="7" t="s">
        <v>23</v>
      </c>
      <c r="E64" s="16">
        <v>63808</v>
      </c>
      <c r="F64" s="16">
        <v>60378</v>
      </c>
      <c r="G64" s="16">
        <v>60378</v>
      </c>
      <c r="H64" s="7" t="s">
        <v>42</v>
      </c>
      <c r="I64" s="7" t="s">
        <v>79</v>
      </c>
    </row>
    <row r="65" spans="1:9" x14ac:dyDescent="0.35">
      <c r="A65" s="5">
        <f t="shared" si="3"/>
        <v>12</v>
      </c>
      <c r="B65" s="14" t="s">
        <v>80</v>
      </c>
      <c r="C65" s="7" t="s">
        <v>13</v>
      </c>
      <c r="D65" s="7" t="s">
        <v>41</v>
      </c>
      <c r="E65" s="16">
        <v>63791</v>
      </c>
      <c r="F65" s="16">
        <v>44741</v>
      </c>
      <c r="G65" s="16">
        <v>44741</v>
      </c>
      <c r="H65" s="7" t="s">
        <v>42</v>
      </c>
      <c r="I65" s="7" t="s">
        <v>43</v>
      </c>
    </row>
    <row r="66" spans="1:9" x14ac:dyDescent="0.35">
      <c r="A66" s="5">
        <f t="shared" si="3"/>
        <v>13</v>
      </c>
      <c r="B66" s="14" t="s">
        <v>81</v>
      </c>
      <c r="C66" s="7" t="s">
        <v>13</v>
      </c>
      <c r="D66" s="7" t="s">
        <v>12</v>
      </c>
      <c r="E66" s="16">
        <v>62958</v>
      </c>
      <c r="F66" s="16">
        <v>45386</v>
      </c>
      <c r="G66" s="16">
        <v>45386</v>
      </c>
      <c r="H66" s="7" t="s">
        <v>42</v>
      </c>
      <c r="I66" s="7" t="s">
        <v>82</v>
      </c>
    </row>
    <row r="67" spans="1:9" x14ac:dyDescent="0.35">
      <c r="A67" s="5">
        <f t="shared" si="3"/>
        <v>14</v>
      </c>
      <c r="B67" s="14" t="s">
        <v>83</v>
      </c>
      <c r="C67" s="7" t="s">
        <v>13</v>
      </c>
      <c r="D67" s="7" t="s">
        <v>41</v>
      </c>
      <c r="E67" s="16">
        <v>61524</v>
      </c>
      <c r="F67" s="16">
        <v>35072</v>
      </c>
      <c r="G67" s="16">
        <v>35072</v>
      </c>
      <c r="H67" s="7" t="s">
        <v>42</v>
      </c>
      <c r="I67" s="7" t="s">
        <v>43</v>
      </c>
    </row>
    <row r="68" spans="1:9" x14ac:dyDescent="0.35">
      <c r="A68" s="5">
        <f t="shared" si="3"/>
        <v>15</v>
      </c>
      <c r="B68" s="14" t="s">
        <v>84</v>
      </c>
      <c r="C68" s="7" t="s">
        <v>13</v>
      </c>
      <c r="D68" s="7" t="s">
        <v>12</v>
      </c>
      <c r="E68" s="16">
        <v>61447</v>
      </c>
      <c r="F68" s="16">
        <v>41935</v>
      </c>
      <c r="G68" s="16">
        <v>41935</v>
      </c>
      <c r="H68" s="7" t="s">
        <v>42</v>
      </c>
      <c r="I68" s="7" t="s">
        <v>45</v>
      </c>
    </row>
    <row r="69" spans="1:9" x14ac:dyDescent="0.35">
      <c r="A69" s="1"/>
      <c r="B69" s="1"/>
      <c r="C69" s="1"/>
      <c r="D69" s="10" t="s">
        <v>31</v>
      </c>
      <c r="E69" s="13">
        <f>SUM(E54:E68)</f>
        <v>2361351</v>
      </c>
      <c r="F69" s="13">
        <f>SUM(F54:F68)</f>
        <v>1590487</v>
      </c>
      <c r="G69" s="13">
        <f>SUM(G54:G68)</f>
        <v>1590486.6063900001</v>
      </c>
      <c r="H69" s="10"/>
      <c r="I69" s="12"/>
    </row>
    <row r="70" spans="1:9" x14ac:dyDescent="0.35">
      <c r="A70" s="21"/>
      <c r="B70" s="24" t="s">
        <v>85</v>
      </c>
      <c r="C70" s="25"/>
      <c r="D70" s="26"/>
      <c r="E70" s="27"/>
      <c r="F70" s="27"/>
      <c r="G70" s="27"/>
      <c r="H70" s="27"/>
      <c r="I70" s="28"/>
    </row>
    <row r="71" spans="1:9" x14ac:dyDescent="0.35">
      <c r="A71" s="22"/>
      <c r="B71" s="24" t="s">
        <v>86</v>
      </c>
      <c r="C71" s="25"/>
      <c r="D71" s="29"/>
      <c r="E71" s="30"/>
      <c r="F71" s="30"/>
      <c r="G71" s="30"/>
      <c r="H71" s="30"/>
      <c r="I71" s="31"/>
    </row>
    <row r="72" spans="1:9" x14ac:dyDescent="0.35">
      <c r="A72" s="22"/>
      <c r="B72" s="24" t="s">
        <v>87</v>
      </c>
      <c r="C72" s="25"/>
      <c r="D72" s="29"/>
      <c r="E72" s="30"/>
      <c r="F72" s="30"/>
      <c r="G72" s="30"/>
      <c r="H72" s="30"/>
      <c r="I72" s="31"/>
    </row>
    <row r="73" spans="1:9" x14ac:dyDescent="0.35">
      <c r="A73" s="23"/>
      <c r="B73" s="35" t="s">
        <v>88</v>
      </c>
      <c r="C73" s="36"/>
      <c r="D73" s="32"/>
      <c r="E73" s="33"/>
      <c r="F73" s="33"/>
      <c r="G73" s="33"/>
      <c r="H73" s="33"/>
      <c r="I73" s="34"/>
    </row>
  </sheetData>
  <mergeCells count="10">
    <mergeCell ref="A2:H2"/>
    <mergeCell ref="A19:H19"/>
    <mergeCell ref="A36:H36"/>
    <mergeCell ref="A53:H53"/>
    <mergeCell ref="A70:A73"/>
    <mergeCell ref="B70:C70"/>
    <mergeCell ref="D70:I73"/>
    <mergeCell ref="B71:C71"/>
    <mergeCell ref="B72:C72"/>
    <mergeCell ref="B73:C73"/>
  </mergeCells>
  <dataValidations count="1">
    <dataValidation type="whole" operator="greaterThanOrEqual" allowBlank="1" showInputMessage="1" showErrorMessage="1" error="Please insert a valid data!" sqref="E3:G17 E20:G34 E37:G51 E54:G68" xr:uid="{045A0443-789A-415B-8585-F84C4D8410F1}">
      <formula1>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D50B-251E-424E-82C3-3390B415D778}">
  <dimension ref="C1:W15"/>
  <sheetViews>
    <sheetView workbookViewId="0">
      <selection activeCell="F1" sqref="F1:F12"/>
    </sheetView>
  </sheetViews>
  <sheetFormatPr defaultRowHeight="14.5" x14ac:dyDescent="0.35"/>
  <cols>
    <col min="5" max="5" width="20" bestFit="1" customWidth="1"/>
  </cols>
  <sheetData>
    <row r="1" spans="3:23" x14ac:dyDescent="0.35">
      <c r="C1" t="s">
        <v>97</v>
      </c>
      <c r="D1" t="s">
        <v>105</v>
      </c>
      <c r="E1">
        <v>24503</v>
      </c>
      <c r="F1" t="s">
        <v>110</v>
      </c>
      <c r="I1" t="s">
        <v>89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</row>
    <row r="2" spans="3:23" x14ac:dyDescent="0.35">
      <c r="C2" t="s">
        <v>96</v>
      </c>
      <c r="D2" t="s">
        <v>106</v>
      </c>
      <c r="E2">
        <v>24338</v>
      </c>
      <c r="F2">
        <v>44101</v>
      </c>
      <c r="I2">
        <v>24312</v>
      </c>
      <c r="J2">
        <v>24311</v>
      </c>
      <c r="K2">
        <v>24301</v>
      </c>
      <c r="L2">
        <v>24501</v>
      </c>
      <c r="M2">
        <v>24503</v>
      </c>
      <c r="N2">
        <v>24503</v>
      </c>
      <c r="O2">
        <v>24501</v>
      </c>
      <c r="P2">
        <v>24311</v>
      </c>
      <c r="Q2">
        <v>24503</v>
      </c>
      <c r="R2">
        <v>24501</v>
      </c>
      <c r="S2">
        <v>24503</v>
      </c>
      <c r="T2">
        <v>24116</v>
      </c>
      <c r="U2">
        <v>24338</v>
      </c>
      <c r="V2">
        <v>24311</v>
      </c>
      <c r="W2">
        <v>24507</v>
      </c>
    </row>
    <row r="3" spans="3:23" x14ac:dyDescent="0.35">
      <c r="C3" t="s">
        <v>92</v>
      </c>
      <c r="D3" t="s">
        <v>107</v>
      </c>
      <c r="E3">
        <v>24501</v>
      </c>
      <c r="F3" t="s">
        <v>111</v>
      </c>
    </row>
    <row r="4" spans="3:23" x14ac:dyDescent="0.35">
      <c r="C4" t="s">
        <v>99</v>
      </c>
      <c r="D4" t="s">
        <v>108</v>
      </c>
      <c r="E4">
        <v>13206</v>
      </c>
      <c r="F4" t="s">
        <v>112</v>
      </c>
    </row>
    <row r="5" spans="3:23" x14ac:dyDescent="0.35">
      <c r="C5" t="s">
        <v>90</v>
      </c>
      <c r="D5" t="s">
        <v>109</v>
      </c>
      <c r="E5">
        <v>24311</v>
      </c>
      <c r="F5" t="s">
        <v>113</v>
      </c>
    </row>
    <row r="6" spans="3:23" x14ac:dyDescent="0.35">
      <c r="C6" t="s">
        <v>100</v>
      </c>
      <c r="E6">
        <v>24336</v>
      </c>
      <c r="F6" t="s">
        <v>114</v>
      </c>
    </row>
    <row r="7" spans="3:23" x14ac:dyDescent="0.35">
      <c r="C7" t="s">
        <v>94</v>
      </c>
      <c r="E7">
        <v>24505</v>
      </c>
      <c r="F7" t="s">
        <v>115</v>
      </c>
    </row>
    <row r="8" spans="3:23" x14ac:dyDescent="0.35">
      <c r="C8" t="s">
        <v>101</v>
      </c>
      <c r="E8">
        <v>24301</v>
      </c>
      <c r="F8">
        <v>44116</v>
      </c>
    </row>
    <row r="9" spans="3:23" x14ac:dyDescent="0.35">
      <c r="C9" t="s">
        <v>93</v>
      </c>
      <c r="E9">
        <v>24502</v>
      </c>
      <c r="F9" t="s">
        <v>110</v>
      </c>
    </row>
    <row r="10" spans="3:23" x14ac:dyDescent="0.35">
      <c r="C10" t="s">
        <v>91</v>
      </c>
      <c r="E10">
        <v>24386</v>
      </c>
      <c r="F10" t="s">
        <v>116</v>
      </c>
    </row>
    <row r="11" spans="3:23" x14ac:dyDescent="0.35">
      <c r="C11" t="s">
        <v>102</v>
      </c>
      <c r="E11">
        <v>24176</v>
      </c>
      <c r="F11">
        <v>44108</v>
      </c>
    </row>
    <row r="12" spans="3:23" x14ac:dyDescent="0.35">
      <c r="C12" t="s">
        <v>103</v>
      </c>
      <c r="E12">
        <v>24146</v>
      </c>
      <c r="F12" t="s">
        <v>117</v>
      </c>
    </row>
    <row r="13" spans="3:23" x14ac:dyDescent="0.35">
      <c r="C13" t="s">
        <v>104</v>
      </c>
      <c r="E13">
        <v>24507</v>
      </c>
    </row>
    <row r="14" spans="3:23" x14ac:dyDescent="0.35">
      <c r="E14">
        <v>24116</v>
      </c>
    </row>
    <row r="15" spans="3:23" x14ac:dyDescent="0.35">
      <c r="E15">
        <v>24312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Amuthasenthuran s</dc:creator>
  <cp:lastModifiedBy>Amuthasenthuran s</cp:lastModifiedBy>
  <dcterms:created xsi:type="dcterms:W3CDTF">2023-12-02T11:59:05Z</dcterms:created>
  <dcterms:modified xsi:type="dcterms:W3CDTF">2024-01-03T07:37:33Z</dcterms:modified>
</cp:coreProperties>
</file>