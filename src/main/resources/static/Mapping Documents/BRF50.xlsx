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RF\LOGIC\"/>
    </mc:Choice>
  </mc:AlternateContent>
  <xr:revisionPtr revIDLastSave="0" documentId="13_ncr:1_{E2CA4106-1B3D-4CB7-B038-F1E1519B356D}" xr6:coauthVersionLast="36" xr6:coauthVersionMax="36" xr10:uidLastSave="{00000000-0000-0000-0000-000000000000}"/>
  <bookViews>
    <workbookView xWindow="0" yWindow="0" windowWidth="19200" windowHeight="6810" xr2:uid="{99751AD5-2F42-44E6-880B-491FFFD530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1" l="1"/>
  <c r="D46" i="1"/>
  <c r="E43" i="1"/>
  <c r="D43" i="1"/>
  <c r="E42" i="1"/>
  <c r="D42" i="1"/>
  <c r="E37" i="1"/>
  <c r="D37" i="1"/>
  <c r="E36" i="1"/>
  <c r="D36" i="1"/>
  <c r="E34" i="1"/>
  <c r="D34" i="1"/>
  <c r="E31" i="1"/>
  <c r="D31" i="1"/>
  <c r="E28" i="1"/>
  <c r="D28" i="1"/>
  <c r="E27" i="1"/>
  <c r="D27" i="1"/>
  <c r="E24" i="1"/>
  <c r="D24" i="1"/>
  <c r="E21" i="1"/>
  <c r="D21" i="1"/>
  <c r="E20" i="1"/>
  <c r="D20" i="1"/>
  <c r="E18" i="1"/>
  <c r="D18" i="1"/>
  <c r="E11" i="1"/>
  <c r="D11" i="1"/>
  <c r="E8" i="1"/>
  <c r="D8" i="1"/>
  <c r="E5" i="1"/>
  <c r="D5" i="1"/>
  <c r="E4" i="1"/>
  <c r="D4" i="1"/>
</calcChain>
</file>

<file path=xl/sharedStrings.xml><?xml version="1.0" encoding="utf-8"?>
<sst xmlns="http://schemas.openxmlformats.org/spreadsheetml/2006/main" count="83" uniqueCount="59">
  <si>
    <t>Total in All Currencies (in AED '000)</t>
  </si>
  <si>
    <t>BRF 2 Reference</t>
  </si>
  <si>
    <t>Monthly Average Amount Outstanding</t>
  </si>
  <si>
    <t>Total Monthly Interest Expense</t>
  </si>
  <si>
    <t>Demand/Saving (CASA) Deposits</t>
  </si>
  <si>
    <t>GOVERNMENT SECTOR</t>
  </si>
  <si>
    <t>Demand</t>
  </si>
  <si>
    <t>Savings</t>
  </si>
  <si>
    <t>GREs (Govt ownership of more than 50%)</t>
  </si>
  <si>
    <t xml:space="preserve">PRIVATE SECTOR </t>
  </si>
  <si>
    <t>Corporate</t>
  </si>
  <si>
    <t>16.1.1</t>
  </si>
  <si>
    <t>16.1.2</t>
  </si>
  <si>
    <t xml:space="preserve">Individuals </t>
  </si>
  <si>
    <t>16.2.1</t>
  </si>
  <si>
    <t>16.2.2</t>
  </si>
  <si>
    <t>NON BANKING FINANCIAL INSTITUTIONS</t>
  </si>
  <si>
    <t>Time Including CDs/Structured Products</t>
  </si>
  <si>
    <t>Time including CDs/ structured products</t>
  </si>
  <si>
    <t>Commercial prepayments (Margin deposits)</t>
  </si>
  <si>
    <t>16.1.3</t>
  </si>
  <si>
    <t>16.1.4</t>
  </si>
  <si>
    <t>16.2.3</t>
  </si>
  <si>
    <t>16.2.4</t>
  </si>
  <si>
    <t>Time</t>
  </si>
  <si>
    <t>Interbank Funding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</si>
  <si>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</si>
  <si>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</si>
  <si>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</si>
  <si>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</si>
  <si>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Borrowings under repurchase agreement</t>
  </si>
  <si>
    <t>Capital Market Funding</t>
  </si>
  <si>
    <t>TERM BORROWINGS</t>
  </si>
  <si>
    <t>Capital Market Funding (BRF 36 section A)</t>
  </si>
  <si>
    <t>Other term borrowings (BRF 36 section B)</t>
  </si>
  <si>
    <t>OTHER LIABILITIES</t>
  </si>
  <si>
    <t>Subordinated borrowings/ deposits</t>
  </si>
  <si>
    <t>FORM NO: BSD/BRF50-FUNDEDCOSTS/NOV2021</t>
  </si>
  <si>
    <t>Out of which if Sub head GL Code - 13217, 13220, 13421And constitution code -  CGPSU, SGPSU,  QGOVT, 11401, 11403, 11404, 11405, 11406, 11407, 11408, 11409</t>
  </si>
  <si>
    <t>If Constitution code is equal to - 
11501, 11502, 11503, 11504, 11505, 11506, 11509, 11599, 11601, 11602, 11603, 11604, 11605, 11606, 11607, 11608, 11699, 22101, 22201, 22202, 22301, 22302, 22303, 22304, 22305, 22401, 22402, 22403, 22404, 33101, 33102, 33103, 33104, 33199, 33201, 33202, 33203, 33204, 33299, 45507, 56500, 56600, 56601, 56700, 61001, 61002, 61003, 61004, 61006, 61007, 61008, 61010, 61011, 61012, 61013, 71001, 71002, 71004, 71008, 71009, 71010, 71011, ., ASSOC, BFC, BUEBC, CLUBS, COOPB, COOPE, EDTRU, FGNBK, FGNCO, FGNSO, FORNA, FZC, FZCLL, FZE, FZELL, GEMS, HUFJT, INSTU, JLC, JNTLG, JVC, LLTCO, LSAA, MDBS, MXC, NFLLC, NGOGE, NGOOT, NGOSM, NGOSW, NPO, NPOSA, OFC, OPLLC, PBCLI, PBCNL, PBPVT, PCLBG, PETRO, PJSC, PROPF, PROPM, PROPR, PRTNF, PRTNR, PUBTR, PVJSC, PVTCO, PVTTR, REALE, REGSO, RFC, RRB, SCC, SGOVT, SHGMA, SHGOT, SHGWE, SHGWO, SOCIE, SPC, TRUST, ULTCO, DMCC, CC, SPLLC, SA, ESTB, REAL</t>
  </si>
  <si>
    <t>Out of which if Sub head Gl Code - 13101,13201, 13206, 13215, 13216, 13217, 13220,13241, 24301, 24311,24312, 24313, 24319, 24503, 24337-add these acc A13201001,13246001,13291001, AND SCHM_CODE -'CA101', 'CA102', 'CA103', 'CA106', 'CA107', 'CA108', 'CA109', 'CA110', 'CA111', 'CA112', 'LA101', 'LA106', 'OD001', 'OD002', 'OD003', 'OD028', 'OD651', 'SB105', 'SB107', 'TD115'</t>
  </si>
  <si>
    <t>SHCMCODE-'SB101', 'SB102', 'SB103', 'SB106', 'SB110', 'SB201', 'SB203', 'SB303' AND Out of which if Sub head GL Code - 13421</t>
  </si>
  <si>
    <t>If Constitution code is equal to - 
44101, 44102, 44103, 44104, 44105, 44106, 44107, 44108, 44109, 44110, 44111, 44112, 44113, 44114, 44115, 44116, 44199, 44201, 44202, 44203, 44204, 44205, 44206, 44207, 44208, 44209, 44210, 44211, 44212, 44213, 44214, 44215, 44216, 44217, 44299, 71005, INDL, INDVF, INDVM, NREIN, RESIN, WPS</t>
  </si>
  <si>
    <t>Out of which if Sub head Gl Code - 13101,13201, 13206, 13215, 13216, 13217, 13220,13241, 24301, 24311,24312, 24313, 24319, 24503, 24337-AND SCHM_CODE-'CA101', 'CA102', 'CA103', 'CA106', 'CA107', 'CA108', 'CA109', 'CA110', 'CA111', 'CA112', 'LA101', 'LA106', 'OD001', 'OD002', 'OD003', 'OD028', 'OD651', 'SB105', 'SB107', 'TD115'</t>
  </si>
  <si>
    <t>If Constitution code is equal to - 
11507, 11508, 11510, 11511, 11512, 11700, 22399, 22499, 33106, 33107, NBFC,11599,BFC,11506,33101,33103,33104,MXC,11501</t>
  </si>
  <si>
    <t>Out of which if Sub head Gl Code - 13101,13201, 13206, 13215, 13216, 13217, 13220,13241, 24301, 24311,24312, 24313, 24319, 24503, 24337 AND SCHM_CODE-'CA101', 'CA102', 'CA103', 'CA106', 'CA107', 'CA108', 'CA109', 'CA110', 'CA111', 'CA112', 'LA101', 'LA106', 'OD001', 'OD002', 'OD003', 'OD028', 'OD651', 'SB105', 'SB107', 'TD115'</t>
  </si>
  <si>
    <t>Out of which if Sub head Gl Code - 13101,13201, 13206, 13215, 13216, 13217, 13220,13241, 24301, 24311,24312, 24313, 24319, 24503, 24337 and constitution code -SGOVT AND SCHM_CODE-'CA101', 'CA102', 'CA103', 'CA106', 'CA107', 'CA108', 'CA109', 'CA110', 'CA111', 'CA112', 'LA101', 'LA106', 'OD001', 'OD002', 'OD003', 'OD028', 'OD651', 'SB105', 'SB107', 'TD115'</t>
  </si>
  <si>
    <t>Out of which if Sub head Gl Code - 13101,13201, 13206, 13215, 13216, 13217, 13220,13241, 24301, 24311,24312, 24313, 24319, 24503, 24337 And constitution code -  CGPSU, SGPSU,  QGOVT, 11401, 11403, 11404, 11405, 11406, 11407, 11408, 11409 AND SCHM_CODE-'CA101', 'CA102', 'CA103', 'CA106', 'CA107', 'CA108', 'CA109', 'CA110', 'CA111', 'CA112', 'LA101', 'LA106', 'OD001', 'OD002', 'OD003', 'OD028', 'OD651', 'SB105', 'SB107', 'TD115'</t>
  </si>
  <si>
    <t>Out of which if Sub head GL Code - 13217, 13220, 13421 AND constitution code -SGOVT AND SHCMCODE-'SB101', 'SB102', 'SB103', 'SB106', 'SB110', 'SB201', 'SB203', 'SB303'</t>
  </si>
  <si>
    <t>NIL</t>
  </si>
  <si>
    <t>Out of which if Sub head GL Code - 13241, 13601, 13611, 13631, 13641 and constitution code -SGOVT AND SCHM_CODE-'TD101', 'TD102', 'TD103', 'TD105', 'TD106', 'TD108', 'TD109', 'TD112', 'TD115', 'TD301'</t>
  </si>
  <si>
    <t>Out of which if Sub head GL Code - 13241, 13601, 13611, 13631, 13641 And constitution code -  CGPSU, SGPSU,  QGOVT, 11401, 11403, 11404, 11405, 11406, 11407, 11408, 11409 AND SCHM_CODE-'TD101', 'TD102', 'TD103', 'TD105', 'TD106', 'TD108', 'TD109', 'TD112', 'TD115', 'TD301'</t>
  </si>
  <si>
    <t>Out of which if Sub head GL Code - 13601, 13611, 13631, 13641 AND If Constitution code is equal to - 
11501, 11502, 11503, 11504, 11505, 11506, 11509, 11599, 11601, 11602, 11603, 11604, 11605, 11606, 11607, 11608, 11699, 22101, 22201, 22202, 22301, 22302, 22303, 22304, 22305, 22401, 22402, 22403, 22404, 33101, 33102, 33103, 33104, 33199, 33201, 33202, 33203, 33204, 33299, 45507, 56500, 56600, 56601, 56700, 61001, 61002, 61003, 61004, 61006, 61007, 61008, 61010, 61011, 61012, 61013, 71001, 71002, 71004, 71008, 71009, 71010, 71011, ., ASSOC, BFC, BUEBC, CLUBS, COOPB, COOPE, EDTRU, FGNBK, FGNCO, FGNSO, FORNA, FZC, FZCLL, FZE, FZELL, GEMS, HUFJT, INSTU, JLC, JNTLG, JVC, LLTCO, LSAA, MDBS, MXC, NFLLC, NGOGE, NGOOT, NGOSM, NGOSW, NPO, NPOSA, OFC, OPLLC, PBCLI, PBCNL, PBPVT, PCLBG, PETRO, PJSC, PROPF, PROPM, PROPR, PRTNF, PRTNR, PUBTR, PVJSC, PVTCO, PVTTR, REALE, REGSO, RFC, RRB, SCC, SGOVT, SHGMA, SHGOT, SHGWE, SHGWO, SOCIE, SPC, TRUST, ULTCO, DMCC, CC, SPLLC, SA, ESTB, REAL AND SCHM_CODE-'TD101', 'TD102', 'TD103', 'TD105', 'TD106', 'TD108', 'TD109', 'TD112', 'TD115', 'TD301'</t>
  </si>
  <si>
    <t>Out of which if Sub head GL Code -  13601, 13611, 13631, 13641 AND If Constitution code is equal to - 
44101, 44102, 44103, 44104, 44105, 44106, 44107, 44108, 44109, 44110, 44111, 44112, 44113, 44114, 44115, 44116, 44199, 44201, 44202, 44203, 44204, 44205, 44206, 44207, 44208, 44209, 44210, 44211, 44212, 44213, 44214, 44215, 44216, 44217, 44299, 71005, INDL, INDVF, INDVM, NREIN, RESIN, WPS  AND SCHM_CODE-'TD101', 'TD102', 'TD103', 'TD105', 'TD106', 'TD108', 'TD109', 'TD112', 'TD115', 'TD301'</t>
  </si>
  <si>
    <t>Out of which if Sub head GL Code - 13241, 13601, 13611, 13631, 13641 AND AND SCHM_CODE-'TD101', 'TD102', 'TD103', 'TD105', 'TD106', 'TD108', 'TD109', 'TD112', 'TD115', 'TD301'</t>
  </si>
  <si>
    <t>INCLUDE THE KTP ACCOUNTS-'A22010009', 'A22010004', 'A22010022', 'A22010029', 'A22010032', 'A22010040', 'A22010046', 'A22010054', 'A22010059', 'A22010060', 'A22010061', 'A22010078', 'A22010081'</t>
  </si>
  <si>
    <t>INCLUDE THE KTP ACCOUNTS-'L33130004', 'L33130004', 'L33130003', 'L33130010', 'L33130010', 'L33130011', 'L33130011'</t>
  </si>
  <si>
    <t>The closing day balances for a 31-day month are totalled, and the sum is divided by 31 to get the average</t>
  </si>
  <si>
    <t>using interest fullrate column from brf_interest_detail table with the sum of each day’s closing balance / Number of days in the month( Interest expense = principle xrate of interest / number of days in the month (time)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</si>
</sst>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6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 applyProtection="1">
      <alignment wrapText="1"/>
    </xf>
    <xf numFmtId="0" fontId="1" fillId="2" borderId="2" xfId="0" applyFont="1" applyFill="1" applyBorder="1" applyAlignment="1" applyProtection="1">
      <alignment wrapText="1"/>
    </xf>
    <xf numFmtId="0" fontId="1" fillId="2" borderId="3" xfId="0" applyFont="1" applyFill="1" applyBorder="1" applyAlignment="1" applyProtection="1">
      <alignment wrapText="1"/>
    </xf>
    <xf numFmtId="0" fontId="1" fillId="2" borderId="5" xfId="0" applyFont="1" applyFill="1" applyBorder="1" applyAlignment="1" applyProtection="1">
      <alignment horizontal="left" wrapText="1"/>
    </xf>
    <xf numFmtId="0" fontId="1" fillId="2" borderId="8" xfId="0" applyFont="1" applyFill="1" applyBorder="1" applyAlignment="1" applyProtection="1">
      <alignment horizontal="left" wrapText="1"/>
    </xf>
    <xf numFmtId="3" fontId="1" fillId="2" borderId="8" xfId="0" applyNumberFormat="1" applyFont="1" applyFill="1" applyBorder="1" applyAlignment="1" applyProtection="1">
      <alignment wrapText="1"/>
    </xf>
    <xf numFmtId="3" fontId="1" fillId="2" borderId="8" xfId="0" applyNumberFormat="1" applyFont="1" applyFill="1" applyBorder="1" applyAlignment="1" applyProtection="1">
      <alignment horizontal="right" wrapText="1"/>
    </xf>
    <xf numFmtId="0" fontId="1" fillId="3" borderId="8" xfId="0" applyFont="1" applyFill="1" applyBorder="1" applyAlignment="1" applyProtection="1">
      <alignment horizontal="left" wrapText="1"/>
    </xf>
    <xf numFmtId="164" fontId="1" fillId="3" borderId="8" xfId="0" applyNumberFormat="1" applyFont="1" applyFill="1" applyBorder="1" applyAlignment="1" applyProtection="1">
      <alignment horizontal="right" wrapText="1"/>
    </xf>
    <xf numFmtId="3" fontId="1" fillId="3" borderId="8" xfId="0" applyNumberFormat="1" applyFont="1" applyFill="1" applyBorder="1" applyAlignment="1" applyProtection="1">
      <alignment wrapText="1"/>
      <protection locked="0"/>
    </xf>
    <xf numFmtId="0" fontId="1" fillId="2" borderId="8" xfId="0" applyFont="1" applyFill="1" applyBorder="1" applyAlignment="1" applyProtection="1">
      <alignment horizontal="right" wrapText="1"/>
    </xf>
    <xf numFmtId="0" fontId="1" fillId="4" borderId="8" xfId="0" applyFont="1" applyFill="1" applyBorder="1" applyAlignment="1" applyProtection="1">
      <alignment horizontal="left" wrapText="1"/>
    </xf>
    <xf numFmtId="3" fontId="1" fillId="3" borderId="8" xfId="0" applyNumberFormat="1" applyFont="1" applyFill="1" applyBorder="1" applyAlignment="1" applyProtection="1">
      <alignment horizontal="right" wrapText="1"/>
    </xf>
    <xf numFmtId="0" fontId="1" fillId="5" borderId="8" xfId="0" applyFont="1" applyFill="1" applyBorder="1" applyAlignment="1" applyProtection="1">
      <alignment horizontal="left" wrapText="1"/>
    </xf>
    <xf numFmtId="165" fontId="1" fillId="5" borderId="8" xfId="0" applyNumberFormat="1" applyFont="1" applyFill="1" applyBorder="1" applyAlignment="1" applyProtection="1">
      <alignment horizontal="right" wrapText="1"/>
    </xf>
    <xf numFmtId="3" fontId="1" fillId="4" borderId="8" xfId="0" applyNumberFormat="1" applyFont="1" applyFill="1" applyBorder="1" applyAlignment="1" applyProtection="1">
      <alignment horizontal="left" wrapText="1"/>
    </xf>
    <xf numFmtId="3" fontId="1" fillId="5" borderId="8" xfId="0" applyNumberFormat="1" applyFont="1" applyFill="1" applyBorder="1" applyAlignment="1" applyProtection="1">
      <alignment wrapText="1"/>
    </xf>
    <xf numFmtId="0" fontId="1" fillId="3" borderId="12" xfId="0" applyFont="1" applyFill="1" applyBorder="1" applyAlignment="1" applyProtection="1">
      <alignment horizontal="left" wrapText="1"/>
    </xf>
    <xf numFmtId="164" fontId="1" fillId="3" borderId="12" xfId="0" applyNumberFormat="1" applyFont="1" applyFill="1" applyBorder="1" applyAlignment="1" applyProtection="1">
      <alignment horizontal="right" wrapText="1"/>
    </xf>
    <xf numFmtId="3" fontId="1" fillId="3" borderId="12" xfId="0" applyNumberFormat="1" applyFont="1" applyFill="1" applyBorder="1" applyAlignment="1" applyProtection="1">
      <alignment wrapText="1"/>
      <protection locked="0"/>
    </xf>
    <xf numFmtId="0" fontId="3" fillId="5" borderId="13" xfId="0" applyFont="1" applyFill="1" applyBorder="1" applyProtection="1"/>
    <xf numFmtId="0" fontId="0" fillId="5" borderId="13" xfId="0" applyFill="1" applyBorder="1" applyProtection="1"/>
    <xf numFmtId="3" fontId="4" fillId="5" borderId="13" xfId="0" applyNumberFormat="1" applyFont="1" applyFill="1" applyBorder="1" applyAlignment="1" applyProtection="1"/>
    <xf numFmtId="3" fontId="1" fillId="2" borderId="5" xfId="0" applyNumberFormat="1" applyFont="1" applyFill="1" applyBorder="1" applyAlignment="1" applyProtection="1">
      <alignment horizontal="right" wrapText="1"/>
    </xf>
    <xf numFmtId="3" fontId="1" fillId="2" borderId="5" xfId="0" applyNumberFormat="1" applyFont="1" applyFill="1" applyBorder="1" applyAlignment="1" applyProtection="1">
      <alignment wrapText="1"/>
    </xf>
    <xf numFmtId="3" fontId="5" fillId="4" borderId="8" xfId="0" applyNumberFormat="1" applyFont="1" applyFill="1" applyBorder="1" applyAlignment="1" applyProtection="1">
      <alignment wrapText="1"/>
    </xf>
    <xf numFmtId="165" fontId="1" fillId="5" borderId="8" xfId="0" applyNumberFormat="1" applyFont="1" applyFill="1" applyBorder="1" applyAlignment="1" applyProtection="1">
      <alignment horizontal="left" wrapText="1"/>
    </xf>
    <xf numFmtId="3" fontId="1" fillId="5" borderId="13" xfId="0" applyNumberFormat="1" applyFont="1" applyFill="1" applyBorder="1" applyAlignment="1" applyProtection="1">
      <alignment wrapText="1"/>
    </xf>
    <xf numFmtId="0" fontId="1" fillId="5" borderId="13" xfId="0" applyFont="1" applyFill="1" applyBorder="1" applyAlignment="1" applyProtection="1">
      <alignment horizontal="right" wrapText="1"/>
    </xf>
    <xf numFmtId="0" fontId="1" fillId="5" borderId="13" xfId="0" applyFont="1" applyFill="1" applyBorder="1" applyAlignment="1" applyProtection="1">
      <alignment horizontal="left" wrapText="1"/>
    </xf>
    <xf numFmtId="0" fontId="1" fillId="0" borderId="13" xfId="0" applyFont="1" applyFill="1" applyBorder="1" applyAlignment="1" applyProtection="1">
      <alignment horizontal="left" wrapText="1"/>
    </xf>
    <xf numFmtId="3" fontId="1" fillId="2" borderId="13" xfId="0" applyNumberFormat="1" applyFont="1" applyFill="1" applyBorder="1" applyAlignment="1" applyProtection="1">
      <alignment horizontal="right" wrapText="1"/>
    </xf>
    <xf numFmtId="0" fontId="1" fillId="2" borderId="13" xfId="0" applyFont="1" applyFill="1" applyBorder="1" applyAlignment="1" applyProtection="1">
      <alignment horizontal="left" wrapText="1"/>
    </xf>
    <xf numFmtId="3" fontId="1" fillId="2" borderId="13" xfId="0" applyNumberFormat="1" applyFont="1" applyFill="1" applyBorder="1" applyAlignment="1" applyProtection="1">
      <alignment wrapText="1"/>
    </xf>
    <xf numFmtId="0" fontId="1" fillId="3" borderId="13" xfId="0" applyFont="1" applyFill="1" applyBorder="1" applyAlignment="1" applyProtection="1">
      <alignment horizontal="left" wrapText="1"/>
    </xf>
    <xf numFmtId="164" fontId="1" fillId="3" borderId="13" xfId="0" applyNumberFormat="1" applyFont="1" applyFill="1" applyBorder="1" applyAlignment="1" applyProtection="1">
      <alignment horizontal="right" wrapText="1"/>
    </xf>
    <xf numFmtId="0" fontId="1" fillId="3" borderId="14" xfId="0" applyFont="1" applyFill="1" applyBorder="1" applyAlignment="1" applyProtection="1">
      <alignment horizontal="left" wrapText="1"/>
    </xf>
    <xf numFmtId="164" fontId="1" fillId="3" borderId="14" xfId="0" applyNumberFormat="1" applyFont="1" applyFill="1" applyBorder="1" applyAlignment="1" applyProtection="1">
      <alignment horizontal="right" wrapText="1"/>
    </xf>
    <xf numFmtId="3" fontId="1" fillId="6" borderId="14" xfId="0" applyNumberFormat="1" applyFont="1" applyFill="1" applyBorder="1" applyAlignment="1" applyProtection="1">
      <alignment wrapText="1"/>
      <protection locked="0"/>
    </xf>
    <xf numFmtId="3" fontId="1" fillId="3" borderId="14" xfId="0" applyNumberFormat="1" applyFont="1" applyFill="1" applyBorder="1" applyAlignment="1" applyProtection="1">
      <alignment wrapText="1"/>
      <protection locked="0"/>
    </xf>
    <xf numFmtId="0" fontId="0" fillId="5" borderId="2" xfId="0" applyFill="1" applyBorder="1" applyProtection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3" fontId="4" fillId="5" borderId="13" xfId="0" applyNumberFormat="1" applyFont="1" applyFill="1" applyBorder="1" applyAlignment="1" applyProtection="1">
      <alignment wrapText="1"/>
    </xf>
    <xf numFmtId="0" fontId="0" fillId="5" borderId="3" xfId="0" applyFill="1" applyBorder="1" applyAlignment="1" applyProtection="1">
      <alignment wrapText="1"/>
    </xf>
    <xf numFmtId="0" fontId="2" fillId="5" borderId="1" xfId="0" applyFont="1" applyFill="1" applyBorder="1" applyAlignment="1" applyProtection="1">
      <alignment horizontal="left" wrapText="1"/>
    </xf>
    <xf numFmtId="0" fontId="2" fillId="5" borderId="2" xfId="0" applyFont="1" applyFill="1" applyBorder="1" applyAlignment="1" applyProtection="1">
      <alignment horizontal="left" wrapText="1"/>
    </xf>
    <xf numFmtId="0" fontId="1" fillId="2" borderId="4" xfId="0" applyFont="1" applyFill="1" applyBorder="1" applyAlignment="1" applyProtection="1">
      <alignment horizontal="center" wrapText="1"/>
    </xf>
    <xf numFmtId="0" fontId="1" fillId="2" borderId="5" xfId="0" applyFont="1" applyFill="1" applyBorder="1" applyAlignment="1" applyProtection="1">
      <alignment horizontal="center" wrapText="1"/>
    </xf>
    <xf numFmtId="0" fontId="1" fillId="2" borderId="6" xfId="0" applyFont="1" applyFill="1" applyBorder="1" applyAlignment="1" applyProtection="1">
      <alignment horizontal="left" wrapText="1"/>
    </xf>
    <xf numFmtId="0" fontId="1" fillId="2" borderId="7" xfId="0" applyFont="1" applyFill="1" applyBorder="1" applyAlignment="1" applyProtection="1">
      <alignment horizontal="left" wrapText="1"/>
    </xf>
    <xf numFmtId="0" fontId="2" fillId="2" borderId="9" xfId="0" applyFont="1" applyFill="1" applyBorder="1" applyAlignment="1" applyProtection="1">
      <alignment horizontal="left" wrapText="1"/>
    </xf>
    <xf numFmtId="0" fontId="2" fillId="2" borderId="10" xfId="0" applyFont="1" applyFill="1" applyBorder="1" applyAlignment="1" applyProtection="1">
      <alignment horizontal="left" wrapText="1"/>
    </xf>
    <xf numFmtId="0" fontId="2" fillId="2" borderId="11" xfId="0" applyFont="1" applyFill="1" applyBorder="1" applyAlignment="1" applyProtection="1">
      <alignment horizontal="left" wrapText="1"/>
    </xf>
    <xf numFmtId="0" fontId="2" fillId="5" borderId="3" xfId="0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C080-7CB4-4832-8D4B-43091D225886}">
  <dimension ref="A1:F48"/>
  <sheetViews>
    <sheetView tabSelected="1" topLeftCell="A10" workbookViewId="0">
      <selection activeCell="E6" sqref="E6"/>
    </sheetView>
  </sheetViews>
  <sheetFormatPr defaultColWidth="37" defaultRowHeight="14.5" x14ac:dyDescent="0.35"/>
  <cols>
    <col min="1" max="1" width="18" customWidth="1"/>
    <col min="2" max="2" width="4.81640625" bestFit="1" customWidth="1"/>
    <col min="3" max="3" width="34.36328125" bestFit="1" customWidth="1"/>
    <col min="4" max="4" width="24.6328125" bestFit="1" customWidth="1"/>
    <col min="5" max="5" width="51.7265625" style="43" customWidth="1"/>
    <col min="6" max="6" width="64.1796875" style="43" customWidth="1"/>
  </cols>
  <sheetData>
    <row r="1" spans="1:6" ht="58" x14ac:dyDescent="0.35">
      <c r="D1" s="43" t="s">
        <v>57</v>
      </c>
      <c r="E1" s="43" t="s">
        <v>58</v>
      </c>
    </row>
    <row r="2" spans="1:6" x14ac:dyDescent="0.35">
      <c r="A2" s="1"/>
      <c r="B2" s="2"/>
      <c r="C2" s="3"/>
      <c r="D2" s="48" t="s">
        <v>0</v>
      </c>
      <c r="E2" s="49"/>
    </row>
    <row r="3" spans="1:6" x14ac:dyDescent="0.35">
      <c r="A3" s="50" t="s">
        <v>1</v>
      </c>
      <c r="B3" s="51"/>
      <c r="C3" s="4"/>
      <c r="D3" s="5" t="s">
        <v>2</v>
      </c>
      <c r="E3" s="5" t="s">
        <v>3</v>
      </c>
    </row>
    <row r="4" spans="1:6" x14ac:dyDescent="0.35">
      <c r="A4" s="52" t="s">
        <v>4</v>
      </c>
      <c r="B4" s="53"/>
      <c r="C4" s="54"/>
      <c r="D4" s="6">
        <f>D5+D8+D11+D18</f>
        <v>6987494</v>
      </c>
      <c r="E4" s="6">
        <f>E5+E8+E11+E18</f>
        <v>977</v>
      </c>
    </row>
    <row r="5" spans="1:6" x14ac:dyDescent="0.35">
      <c r="A5" s="7">
        <v>14</v>
      </c>
      <c r="B5" s="5"/>
      <c r="C5" s="5" t="s">
        <v>5</v>
      </c>
      <c r="D5" s="6">
        <f>SUM(D6:D7)</f>
        <v>0</v>
      </c>
      <c r="E5" s="6">
        <f>SUM(E6:E7)</f>
        <v>0</v>
      </c>
    </row>
    <row r="6" spans="1:6" ht="87" x14ac:dyDescent="0.35">
      <c r="A6" s="8"/>
      <c r="B6" s="9">
        <v>14.1</v>
      </c>
      <c r="C6" s="8" t="s">
        <v>6</v>
      </c>
      <c r="D6" s="10">
        <v>0</v>
      </c>
      <c r="E6" s="10">
        <v>0</v>
      </c>
      <c r="F6" s="42" t="s">
        <v>46</v>
      </c>
    </row>
    <row r="7" spans="1:6" ht="43.5" x14ac:dyDescent="0.35">
      <c r="A7" s="8"/>
      <c r="B7" s="9">
        <v>14.2</v>
      </c>
      <c r="C7" s="8" t="s">
        <v>7</v>
      </c>
      <c r="D7" s="10">
        <v>0</v>
      </c>
      <c r="E7" s="10">
        <v>0</v>
      </c>
      <c r="F7" s="43" t="s">
        <v>48</v>
      </c>
    </row>
    <row r="8" spans="1:6" x14ac:dyDescent="0.35">
      <c r="A8" s="7">
        <v>15</v>
      </c>
      <c r="B8" s="5"/>
      <c r="C8" s="5" t="s">
        <v>8</v>
      </c>
      <c r="D8" s="6">
        <f>SUM(D9:D10)</f>
        <v>0</v>
      </c>
      <c r="E8" s="6">
        <f>SUM(E9:E10)</f>
        <v>0</v>
      </c>
    </row>
    <row r="9" spans="1:6" ht="101.5" x14ac:dyDescent="0.35">
      <c r="A9" s="8"/>
      <c r="B9" s="9">
        <v>15.1</v>
      </c>
      <c r="C9" s="8" t="s">
        <v>6</v>
      </c>
      <c r="D9" s="10">
        <v>0</v>
      </c>
      <c r="E9" s="10">
        <v>0</v>
      </c>
      <c r="F9" s="43" t="s">
        <v>47</v>
      </c>
    </row>
    <row r="10" spans="1:6" ht="43.5" x14ac:dyDescent="0.35">
      <c r="A10" s="8"/>
      <c r="B10" s="9">
        <v>15.2</v>
      </c>
      <c r="C10" s="8" t="s">
        <v>7</v>
      </c>
      <c r="D10" s="10">
        <v>0</v>
      </c>
      <c r="E10" s="10">
        <v>0</v>
      </c>
      <c r="F10" s="43" t="s">
        <v>38</v>
      </c>
    </row>
    <row r="11" spans="1:6" x14ac:dyDescent="0.35">
      <c r="A11" s="7">
        <v>16</v>
      </c>
      <c r="B11" s="5"/>
      <c r="C11" s="5" t="s">
        <v>9</v>
      </c>
      <c r="D11" s="6">
        <f>SUM(D13:D17)</f>
        <v>6835703</v>
      </c>
      <c r="E11" s="6">
        <f>SUM(E13:E17)</f>
        <v>956</v>
      </c>
    </row>
    <row r="12" spans="1:6" ht="203" x14ac:dyDescent="0.35">
      <c r="A12" s="7"/>
      <c r="B12" s="11">
        <v>16.100000000000001</v>
      </c>
      <c r="C12" s="12" t="s">
        <v>10</v>
      </c>
      <c r="D12" s="6"/>
      <c r="E12" s="6"/>
      <c r="F12" s="43" t="s">
        <v>39</v>
      </c>
    </row>
    <row r="13" spans="1:6" ht="87" x14ac:dyDescent="0.35">
      <c r="A13" s="8"/>
      <c r="B13" s="13" t="s">
        <v>11</v>
      </c>
      <c r="C13" s="8" t="s">
        <v>6</v>
      </c>
      <c r="D13" s="10">
        <v>5356603</v>
      </c>
      <c r="E13" s="10">
        <v>739</v>
      </c>
      <c r="F13" s="43" t="s">
        <v>40</v>
      </c>
    </row>
    <row r="14" spans="1:6" ht="29" x14ac:dyDescent="0.35">
      <c r="A14" s="8"/>
      <c r="B14" s="13" t="s">
        <v>12</v>
      </c>
      <c r="C14" s="8" t="s">
        <v>7</v>
      </c>
      <c r="D14" s="10">
        <v>6947</v>
      </c>
      <c r="E14" s="10">
        <v>1</v>
      </c>
      <c r="F14" s="43" t="s">
        <v>41</v>
      </c>
    </row>
    <row r="15" spans="1:6" ht="87" x14ac:dyDescent="0.35">
      <c r="A15" s="14"/>
      <c r="B15" s="15">
        <v>16.2</v>
      </c>
      <c r="C15" s="16" t="s">
        <v>13</v>
      </c>
      <c r="D15" s="17"/>
      <c r="E15" s="17"/>
      <c r="F15" s="43" t="s">
        <v>42</v>
      </c>
    </row>
    <row r="16" spans="1:6" ht="72.5" x14ac:dyDescent="0.35">
      <c r="A16" s="8"/>
      <c r="B16" s="13" t="s">
        <v>14</v>
      </c>
      <c r="C16" s="8" t="s">
        <v>6</v>
      </c>
      <c r="D16" s="10">
        <v>1054321</v>
      </c>
      <c r="E16" s="10">
        <v>145</v>
      </c>
      <c r="F16" s="43" t="s">
        <v>43</v>
      </c>
    </row>
    <row r="17" spans="1:6" ht="29" x14ac:dyDescent="0.35">
      <c r="A17" s="8"/>
      <c r="B17" s="13" t="s">
        <v>15</v>
      </c>
      <c r="C17" s="8" t="s">
        <v>7</v>
      </c>
      <c r="D17" s="10">
        <v>417832</v>
      </c>
      <c r="E17" s="10">
        <v>71</v>
      </c>
      <c r="F17" s="43" t="s">
        <v>41</v>
      </c>
    </row>
    <row r="18" spans="1:6" ht="43.5" x14ac:dyDescent="0.35">
      <c r="A18" s="7">
        <v>17</v>
      </c>
      <c r="B18" s="5"/>
      <c r="C18" s="5" t="s">
        <v>16</v>
      </c>
      <c r="D18" s="6">
        <f>D19</f>
        <v>151791</v>
      </c>
      <c r="E18" s="6">
        <f>E19</f>
        <v>21</v>
      </c>
      <c r="F18" s="43" t="s">
        <v>44</v>
      </c>
    </row>
    <row r="19" spans="1:6" ht="72.5" x14ac:dyDescent="0.35">
      <c r="A19" s="18"/>
      <c r="B19" s="19">
        <v>17.2</v>
      </c>
      <c r="C19" s="18" t="s">
        <v>6</v>
      </c>
      <c r="D19" s="20">
        <v>151791</v>
      </c>
      <c r="E19" s="20">
        <v>21</v>
      </c>
      <c r="F19" s="43" t="s">
        <v>45</v>
      </c>
    </row>
    <row r="20" spans="1:6" x14ac:dyDescent="0.35">
      <c r="A20" s="21" t="s">
        <v>17</v>
      </c>
      <c r="B20" s="22"/>
      <c r="C20" s="22"/>
      <c r="D20" s="23">
        <f>D21+D24+D27+D34</f>
        <v>8529038</v>
      </c>
      <c r="E20" s="44">
        <f>E21+E24+E27+E34</f>
        <v>31218</v>
      </c>
    </row>
    <row r="21" spans="1:6" x14ac:dyDescent="0.35">
      <c r="A21" s="24">
        <v>14</v>
      </c>
      <c r="B21" s="4"/>
      <c r="C21" s="4" t="s">
        <v>5</v>
      </c>
      <c r="D21" s="25">
        <f>SUM(D22:D23)</f>
        <v>0</v>
      </c>
      <c r="E21" s="25">
        <f>SUM(E22:E23)</f>
        <v>0</v>
      </c>
    </row>
    <row r="22" spans="1:6" ht="43.5" x14ac:dyDescent="0.35">
      <c r="A22" s="8"/>
      <c r="B22" s="9">
        <v>14.3</v>
      </c>
      <c r="C22" s="8" t="s">
        <v>18</v>
      </c>
      <c r="D22" s="10">
        <v>0</v>
      </c>
      <c r="E22" s="10">
        <v>0</v>
      </c>
      <c r="F22" s="43" t="s">
        <v>50</v>
      </c>
    </row>
    <row r="23" spans="1:6" x14ac:dyDescent="0.35">
      <c r="A23" s="8"/>
      <c r="B23" s="9">
        <v>14.4</v>
      </c>
      <c r="C23" s="8" t="s">
        <v>19</v>
      </c>
      <c r="D23" s="10">
        <v>0</v>
      </c>
      <c r="E23" s="10">
        <v>0</v>
      </c>
      <c r="F23" s="43" t="s">
        <v>49</v>
      </c>
    </row>
    <row r="24" spans="1:6" x14ac:dyDescent="0.35">
      <c r="A24" s="7">
        <v>15</v>
      </c>
      <c r="B24" s="5"/>
      <c r="C24" s="5" t="s">
        <v>8</v>
      </c>
      <c r="D24" s="6">
        <f>SUM(D25:D26)</f>
        <v>0</v>
      </c>
      <c r="E24" s="6">
        <f>SUM(E25:E26)</f>
        <v>0</v>
      </c>
    </row>
    <row r="25" spans="1:6" ht="58" x14ac:dyDescent="0.35">
      <c r="A25" s="8"/>
      <c r="B25" s="9">
        <v>15.3</v>
      </c>
      <c r="C25" s="8" t="s">
        <v>18</v>
      </c>
      <c r="D25" s="10">
        <v>0</v>
      </c>
      <c r="E25" s="10">
        <v>0</v>
      </c>
      <c r="F25" s="43" t="s">
        <v>51</v>
      </c>
    </row>
    <row r="26" spans="1:6" x14ac:dyDescent="0.35">
      <c r="A26" s="8"/>
      <c r="B26" s="9">
        <v>15.4</v>
      </c>
      <c r="C26" s="8" t="s">
        <v>19</v>
      </c>
      <c r="D26" s="10">
        <v>0</v>
      </c>
      <c r="E26" s="10">
        <v>0</v>
      </c>
    </row>
    <row r="27" spans="1:6" x14ac:dyDescent="0.35">
      <c r="A27" s="7">
        <v>16</v>
      </c>
      <c r="B27" s="5"/>
      <c r="C27" s="5" t="s">
        <v>9</v>
      </c>
      <c r="D27" s="26">
        <f>SUM(D28,D31)</f>
        <v>7976847</v>
      </c>
      <c r="E27" s="26">
        <f>SUM(E28,E31)</f>
        <v>29192</v>
      </c>
    </row>
    <row r="28" spans="1:6" x14ac:dyDescent="0.35">
      <c r="A28" s="7"/>
      <c r="B28" s="5">
        <v>16.100000000000001</v>
      </c>
      <c r="C28" s="12" t="s">
        <v>10</v>
      </c>
      <c r="D28" s="6">
        <f>SUM(D29:D30)</f>
        <v>4896884</v>
      </c>
      <c r="E28" s="6">
        <f>SUM(E29:E30)</f>
        <v>17892</v>
      </c>
    </row>
    <row r="29" spans="1:6" ht="246.5" x14ac:dyDescent="0.35">
      <c r="A29" s="8"/>
      <c r="B29" s="13" t="s">
        <v>20</v>
      </c>
      <c r="C29" s="8" t="s">
        <v>18</v>
      </c>
      <c r="D29" s="10">
        <v>4877038</v>
      </c>
      <c r="E29" s="10">
        <v>17892</v>
      </c>
      <c r="F29" s="43" t="s">
        <v>52</v>
      </c>
    </row>
    <row r="30" spans="1:6" x14ac:dyDescent="0.35">
      <c r="A30" s="8"/>
      <c r="B30" s="13" t="s">
        <v>21</v>
      </c>
      <c r="C30" s="8" t="s">
        <v>19</v>
      </c>
      <c r="D30" s="10">
        <v>19846</v>
      </c>
      <c r="E30" s="10">
        <v>0</v>
      </c>
    </row>
    <row r="31" spans="1:6" x14ac:dyDescent="0.35">
      <c r="A31" s="14"/>
      <c r="B31" s="27">
        <v>16.2</v>
      </c>
      <c r="C31" s="12" t="s">
        <v>13</v>
      </c>
      <c r="D31" s="17">
        <f>SUM(D32:D33)</f>
        <v>3079963</v>
      </c>
      <c r="E31" s="17">
        <f>SUM(E32:E33)</f>
        <v>11300</v>
      </c>
    </row>
    <row r="32" spans="1:6" ht="116" x14ac:dyDescent="0.35">
      <c r="A32" s="8"/>
      <c r="B32" s="13" t="s">
        <v>22</v>
      </c>
      <c r="C32" s="8" t="s">
        <v>18</v>
      </c>
      <c r="D32" s="10">
        <v>3079963</v>
      </c>
      <c r="E32" s="10">
        <v>11300</v>
      </c>
      <c r="F32" s="43" t="s">
        <v>53</v>
      </c>
    </row>
    <row r="33" spans="1:6" x14ac:dyDescent="0.35">
      <c r="A33" s="8"/>
      <c r="B33" s="13" t="s">
        <v>23</v>
      </c>
      <c r="C33" s="8" t="s">
        <v>19</v>
      </c>
      <c r="D33" s="10">
        <v>0</v>
      </c>
      <c r="E33" s="10">
        <v>0</v>
      </c>
      <c r="F33" s="43" t="s">
        <v>49</v>
      </c>
    </row>
    <row r="34" spans="1:6" ht="43.5" x14ac:dyDescent="0.35">
      <c r="A34" s="7">
        <v>17</v>
      </c>
      <c r="B34" s="5"/>
      <c r="C34" s="5" t="s">
        <v>16</v>
      </c>
      <c r="D34" s="6">
        <f>D35</f>
        <v>552191</v>
      </c>
      <c r="E34" s="6">
        <f>E35</f>
        <v>2026</v>
      </c>
      <c r="F34" s="43" t="s">
        <v>44</v>
      </c>
    </row>
    <row r="35" spans="1:6" ht="43.5" x14ac:dyDescent="0.35">
      <c r="A35" s="18"/>
      <c r="B35" s="19">
        <v>17.3</v>
      </c>
      <c r="C35" s="18" t="s">
        <v>24</v>
      </c>
      <c r="D35" s="20">
        <v>552191</v>
      </c>
      <c r="E35" s="20">
        <v>2026</v>
      </c>
      <c r="F35" s="43" t="s">
        <v>54</v>
      </c>
    </row>
    <row r="36" spans="1:6" x14ac:dyDescent="0.35">
      <c r="A36" s="46" t="s">
        <v>25</v>
      </c>
      <c r="B36" s="47"/>
      <c r="C36" s="55"/>
      <c r="D36" s="28">
        <f>D37</f>
        <v>101808</v>
      </c>
      <c r="E36" s="28">
        <f>E37</f>
        <v>280</v>
      </c>
    </row>
    <row r="37" spans="1:6" x14ac:dyDescent="0.35">
      <c r="A37" s="29">
        <v>22</v>
      </c>
      <c r="B37" s="30"/>
      <c r="C37" s="30" t="s">
        <v>26</v>
      </c>
      <c r="D37" s="28">
        <f>SUM(D38:D41)</f>
        <v>101808</v>
      </c>
      <c r="E37" s="28">
        <f>SUM(E38:E41)</f>
        <v>280</v>
      </c>
    </row>
    <row r="38" spans="1:6" ht="43.5" x14ac:dyDescent="0.35">
      <c r="A38" s="31"/>
      <c r="B38" s="31">
        <v>22.1</v>
      </c>
      <c r="C38" s="31" t="s">
        <v>27</v>
      </c>
      <c r="D38" s="10">
        <v>18798</v>
      </c>
      <c r="E38" s="10">
        <v>0</v>
      </c>
      <c r="F38" s="43" t="s">
        <v>55</v>
      </c>
    </row>
    <row r="39" spans="1:6" ht="29" x14ac:dyDescent="0.35">
      <c r="A39" s="31"/>
      <c r="B39" s="31">
        <v>22.2</v>
      </c>
      <c r="C39" s="31" t="s">
        <v>28</v>
      </c>
      <c r="D39" s="10">
        <v>83010</v>
      </c>
      <c r="E39" s="10">
        <v>280</v>
      </c>
      <c r="F39" s="43" t="s">
        <v>56</v>
      </c>
    </row>
    <row r="40" spans="1:6" x14ac:dyDescent="0.35">
      <c r="A40" s="31"/>
      <c r="B40" s="31">
        <v>22.3</v>
      </c>
      <c r="C40" s="31" t="s">
        <v>29</v>
      </c>
      <c r="D40" s="10">
        <v>0</v>
      </c>
      <c r="E40" s="10">
        <v>0</v>
      </c>
      <c r="F40" s="43" t="s">
        <v>49</v>
      </c>
    </row>
    <row r="41" spans="1:6" x14ac:dyDescent="0.35">
      <c r="A41" s="31"/>
      <c r="B41" s="31">
        <v>22.4</v>
      </c>
      <c r="C41" s="31" t="s">
        <v>30</v>
      </c>
      <c r="D41" s="10">
        <v>0</v>
      </c>
      <c r="E41" s="10">
        <v>0</v>
      </c>
      <c r="F41" s="43" t="s">
        <v>49</v>
      </c>
    </row>
    <row r="42" spans="1:6" x14ac:dyDescent="0.35">
      <c r="A42" s="46" t="s">
        <v>31</v>
      </c>
      <c r="B42" s="47"/>
      <c r="C42" s="55"/>
      <c r="D42" s="28">
        <f>D43+D46</f>
        <v>0</v>
      </c>
      <c r="E42" s="28">
        <f>E43+E46</f>
        <v>0</v>
      </c>
    </row>
    <row r="43" spans="1:6" x14ac:dyDescent="0.35">
      <c r="A43" s="32">
        <v>23</v>
      </c>
      <c r="B43" s="33"/>
      <c r="C43" s="33" t="s">
        <v>32</v>
      </c>
      <c r="D43" s="34">
        <f>SUM(D44:D45)</f>
        <v>0</v>
      </c>
      <c r="E43" s="34">
        <f>SUM(E44:E45)</f>
        <v>0</v>
      </c>
    </row>
    <row r="44" spans="1:6" x14ac:dyDescent="0.35">
      <c r="A44" s="35"/>
      <c r="B44" s="36">
        <v>23.1</v>
      </c>
      <c r="C44" s="35" t="s">
        <v>33</v>
      </c>
      <c r="D44" s="10">
        <v>0</v>
      </c>
      <c r="E44" s="10">
        <v>0</v>
      </c>
    </row>
    <row r="45" spans="1:6" x14ac:dyDescent="0.35">
      <c r="A45" s="35"/>
      <c r="B45" s="36">
        <v>23.2</v>
      </c>
      <c r="C45" s="35" t="s">
        <v>34</v>
      </c>
      <c r="D45" s="10">
        <v>0</v>
      </c>
      <c r="E45" s="10">
        <v>0</v>
      </c>
    </row>
    <row r="46" spans="1:6" x14ac:dyDescent="0.35">
      <c r="A46" s="32">
        <v>26</v>
      </c>
      <c r="B46" s="33"/>
      <c r="C46" s="33" t="s">
        <v>35</v>
      </c>
      <c r="D46" s="34">
        <f>D47</f>
        <v>0</v>
      </c>
      <c r="E46" s="34">
        <f>E47</f>
        <v>0</v>
      </c>
    </row>
    <row r="47" spans="1:6" x14ac:dyDescent="0.35">
      <c r="A47" s="37"/>
      <c r="B47" s="38">
        <v>26.7</v>
      </c>
      <c r="C47" s="37" t="s">
        <v>36</v>
      </c>
      <c r="D47" s="39">
        <v>0</v>
      </c>
      <c r="E47" s="40">
        <v>0</v>
      </c>
    </row>
    <row r="48" spans="1:6" x14ac:dyDescent="0.35">
      <c r="A48" s="46" t="s">
        <v>37</v>
      </c>
      <c r="B48" s="47"/>
      <c r="C48" s="47"/>
      <c r="D48" s="41"/>
      <c r="E48" s="45"/>
    </row>
  </sheetData>
  <mergeCells count="6">
    <mergeCell ref="A48:C48"/>
    <mergeCell ref="D2:E2"/>
    <mergeCell ref="A3:B3"/>
    <mergeCell ref="A4:C4"/>
    <mergeCell ref="A36:C36"/>
    <mergeCell ref="A42:C42"/>
  </mergeCells>
  <dataValidations count="1">
    <dataValidation type="whole" allowBlank="1" showInputMessage="1" showErrorMessage="1" sqref="D4:E47" xr:uid="{0CED0EBE-1D25-4E1C-97D4-5AAE7F4798BA}">
      <formula1>-1000000000</formula1>
      <formula2>1000000000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Amuthasenthuran s</dc:creator>
  <cp:lastModifiedBy>Amuthasenthuran s</cp:lastModifiedBy>
  <dcterms:created xsi:type="dcterms:W3CDTF">2023-12-03T06:14:45Z</dcterms:created>
  <dcterms:modified xsi:type="dcterms:W3CDTF">2024-01-15T08:21:36Z</dcterms:modified>
</cp:coreProperties>
</file>