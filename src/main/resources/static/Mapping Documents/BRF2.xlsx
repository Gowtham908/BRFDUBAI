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 activeTab="1"/>
  </bookViews>
  <sheets>
    <sheet name="Sheet1" sheetId="1" r:id="rId1"/>
    <sheet name="MAPPING_DOCUMENT" sheetId="2" r:id="rId2"/>
  </sheets>
  <calcPr calcId="144525"/>
</workbook>
</file>

<file path=xl/sharedStrings.xml><?xml version="1.0" encoding="utf-8"?>
<sst xmlns="http://schemas.openxmlformats.org/spreadsheetml/2006/main" count="393" uniqueCount="248">
  <si>
    <t xml:space="preserve">                                       BANKING AND MONETARY STATISTICS-  LIABILITIES &amp; CAPITAL- BRF 2 (AED IN 000)</t>
  </si>
  <si>
    <t>ID:</t>
  </si>
  <si>
    <t>2-2-2-0</t>
  </si>
  <si>
    <t>BANK</t>
  </si>
  <si>
    <t>Bank of Baroda</t>
  </si>
  <si>
    <t>As On</t>
  </si>
  <si>
    <t>30/06/2023</t>
  </si>
  <si>
    <t>UAE OPERATIONS</t>
  </si>
  <si>
    <t xml:space="preserve">         RESIDENT</t>
  </si>
  <si>
    <t xml:space="preserve"> NON-RESIDENT</t>
  </si>
  <si>
    <t>TOTAL</t>
  </si>
  <si>
    <t>AED</t>
  </si>
  <si>
    <t>FCY</t>
  </si>
  <si>
    <t>No</t>
  </si>
  <si>
    <t>LIABILITIES</t>
  </si>
  <si>
    <t>Nos</t>
  </si>
  <si>
    <t>Amount</t>
  </si>
  <si>
    <t>GOVERNMENT SECTOR</t>
  </si>
  <si>
    <t>Demand</t>
  </si>
  <si>
    <t>Savings</t>
  </si>
  <si>
    <t>Time including CDs/ structured products</t>
  </si>
  <si>
    <t>Commercial prepayments (Margin deposits)</t>
  </si>
  <si>
    <t>GREs (Govt ownership of more than 50%)</t>
  </si>
  <si>
    <t xml:space="preserve">PRIVATE SECTOR </t>
  </si>
  <si>
    <t>Corporate</t>
  </si>
  <si>
    <t>16.1.1</t>
  </si>
  <si>
    <t>16.1.2</t>
  </si>
  <si>
    <t>16.1.3</t>
  </si>
  <si>
    <t>16.1.4</t>
  </si>
  <si>
    <t>Individuals</t>
  </si>
  <si>
    <t>16.2.1</t>
  </si>
  <si>
    <t>16.2.2</t>
  </si>
  <si>
    <t>16.2.3</t>
  </si>
  <si>
    <t>16.2.4</t>
  </si>
  <si>
    <t>NON BANKING FINANCIAL INSTITUTIONS</t>
  </si>
  <si>
    <t>Money at call and short notice</t>
  </si>
  <si>
    <t>Time</t>
  </si>
  <si>
    <t>Borrowings under repurchase agreement</t>
  </si>
  <si>
    <t>REFINANCING</t>
  </si>
  <si>
    <t>Under various housing loan schemes of Federal and Emirate Governments</t>
  </si>
  <si>
    <t>BANKERS DRAFT/ CASHIER ORDER</t>
  </si>
  <si>
    <t>DUE TO CENTRAL BANK</t>
  </si>
  <si>
    <t>Against CD</t>
  </si>
  <si>
    <t>Against other securities</t>
  </si>
  <si>
    <t>Other Balances</t>
  </si>
  <si>
    <t>DUE TO HEAD OFFICE/ OWN BRANCHES/BANKING SUBSIDIARIES(GROSS)</t>
  </si>
  <si>
    <t>Due to Head Office/Branches of foreign banks</t>
  </si>
  <si>
    <t>Due to overseas branches of national banks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</si>
  <si>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</si>
  <si>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</si>
  <si>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</si>
  <si>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</si>
  <si>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TERM BORROWINGS</t>
  </si>
  <si>
    <t>Capital Market Funding (BRF 36 section A)</t>
  </si>
  <si>
    <t>Other term borrowings (BRF 36 section B)</t>
  </si>
  <si>
    <t>NET INTER-BRANCH TRANSACTIONS (EXCL 21.1 AND 21.2)</t>
  </si>
  <si>
    <t>PROVISIONS &amp; INTEREST IN SUSPENSE*</t>
  </si>
  <si>
    <t>Specific provision for loans &amp; advances (IFRS 9 Stage 3)</t>
  </si>
  <si>
    <t xml:space="preserve">Collective Provisions </t>
  </si>
  <si>
    <t>25.2.1</t>
  </si>
  <si>
    <t>Collective impairment expected</t>
  </si>
  <si>
    <t>25.2.2</t>
  </si>
  <si>
    <t xml:space="preserve">Other unallocated  provisions for impaired assets (Stage 2 unallocated cases) </t>
  </si>
  <si>
    <t>25.2.3</t>
  </si>
  <si>
    <t>General Provision as per Circular 28/2010 (Stage 1 +Stage2 excl. 25.2.2.)</t>
  </si>
  <si>
    <t>Interest in suspense</t>
  </si>
  <si>
    <t>Provision for investments &amp; impairment of non-financial assets</t>
  </si>
  <si>
    <t>Staff benefits (pension, ESB etc)</t>
  </si>
  <si>
    <t>Other Provisions</t>
  </si>
  <si>
    <t>OTHER LIABILITIES</t>
  </si>
  <si>
    <t>Interest payable on deposits/ other liabilities</t>
  </si>
  <si>
    <t>Income tax liability</t>
  </si>
  <si>
    <t xml:space="preserve">Accounts payable and sundry creditors </t>
  </si>
  <si>
    <t>Income (interest &amp; fees) received in advance</t>
  </si>
  <si>
    <t>Interest free deposits from H.O. for provision</t>
  </si>
  <si>
    <t>Loans from H.O towards excess in Large Exposures</t>
  </si>
  <si>
    <t>Subordinated borrowings/ deposits</t>
  </si>
  <si>
    <t>Acceptances</t>
  </si>
  <si>
    <t>All other borrowings</t>
  </si>
  <si>
    <t>NEGATIVE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</si>
  <si>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</si>
  <si>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</si>
  <si>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</si>
  <si>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</si>
  <si>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</si>
  <si>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</si>
  <si>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</si>
  <si>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CAPITAL &amp; RESERVES</t>
  </si>
  <si>
    <t>Paid-up Capital</t>
  </si>
  <si>
    <t>28.1.1</t>
  </si>
  <si>
    <t>Share capital</t>
  </si>
  <si>
    <t>28.1.2</t>
  </si>
  <si>
    <t xml:space="preserve">Treasury shares held </t>
  </si>
  <si>
    <t>Reserve Funds</t>
  </si>
  <si>
    <t>28.2.1</t>
  </si>
  <si>
    <t>Statutory/ legal reserves</t>
  </si>
  <si>
    <t>28.2.2</t>
  </si>
  <si>
    <t>Asset Revaluation Reserve</t>
  </si>
  <si>
    <t>28.2.3</t>
  </si>
  <si>
    <t xml:space="preserve">Accumulated other comprehensive income </t>
  </si>
  <si>
    <t>28.2.4</t>
  </si>
  <si>
    <r>
      <t>Other reserves (</t>
    </r>
    <r>
      <rPr>
        <sz val="8"/>
        <color indexed="10"/>
        <rFont val="Arial"/>
        <family val="2"/>
        <charset val="0"/>
      </rPr>
      <t>incl. IFRS 9 reserves</t>
    </r>
    <r>
      <rPr>
        <sz val="8"/>
        <color indexed="8"/>
        <rFont val="Arial"/>
        <family val="2"/>
        <charset val="0"/>
      </rPr>
      <t>)</t>
    </r>
  </si>
  <si>
    <t>28.2.5</t>
  </si>
  <si>
    <t xml:space="preserve">Retained earnings </t>
  </si>
  <si>
    <t>28.2.6</t>
  </si>
  <si>
    <t>Current year's profit/ (loss) (BRF-4)</t>
  </si>
  <si>
    <t>Instruments such as Perpetual Notes</t>
  </si>
  <si>
    <t>TOTAL LIABILITIES, CAPITAL &amp; RESERVES</t>
  </si>
  <si>
    <t xml:space="preserve"> *MOVEMENT IN PROVISIONS AND INTEREST IN SUSPENSE</t>
  </si>
  <si>
    <t>Specific Provision</t>
  </si>
  <si>
    <t>Collective Provisions</t>
  </si>
  <si>
    <t>Interest/ Profit in suspense</t>
  </si>
  <si>
    <t>Total</t>
  </si>
  <si>
    <t xml:space="preserve">Collective impairment expected </t>
  </si>
  <si>
    <t xml:space="preserve">Other unallocated  provisions for impaired assets </t>
  </si>
  <si>
    <t>General Provision as per Circular 28/2010</t>
  </si>
  <si>
    <t>Balance as at 31st Dec of previous year</t>
  </si>
  <si>
    <t>Add:  Amount provided (Income Statt)</t>
  </si>
  <si>
    <t>Less:  Amount written off</t>
  </si>
  <si>
    <t>Less:  Written back to Income Statt</t>
  </si>
  <si>
    <t>Balance on the reporting date</t>
  </si>
  <si>
    <t>MEMORANDUM ACCOUNT</t>
  </si>
  <si>
    <t>Break down of IFRS 9 Impairment Reserve included in other reserves 28.2.4</t>
  </si>
  <si>
    <t>Impairment Reserve : Specific</t>
  </si>
  <si>
    <t>Impairment Reserve : General</t>
  </si>
  <si>
    <t xml:space="preserve">Total Impairment Reserve (IFRS 9) </t>
  </si>
  <si>
    <t>Note:  All the figures should be reported on cumulative basis</t>
  </si>
  <si>
    <t xml:space="preserve">  1  To be reported as per IFRS  </t>
  </si>
  <si>
    <t>2. To be reported as General Provision in accordance with Central Bank Circular No 28/2010</t>
  </si>
  <si>
    <t>Form No: BSD/BRF 2- LIAB/ NOV 18</t>
  </si>
  <si>
    <t>ROW101</t>
  </si>
  <si>
    <t>CONSTITUTION_CODE  IN  ('SGOVT')AND GLSH_CODE IN ('13101','13201', '13206', '13215', '13216', '13217', '13220','13241', '24301', '24311','24312', '24313', 
'24319', '24503', '24337')and  sol_id in ('9001','9002','9003','9004','9005','9008') ;</t>
  </si>
  <si>
    <t>ROW102</t>
  </si>
  <si>
    <t>CONSTITUTION_CODE  IN  ('SGOVT')AND GLSH_CODE IN ('13217', '13220', '13421') and  sol_id in ('9001','9002','9003','9004','9005','9008');</t>
  </si>
  <si>
    <t>ROW103</t>
  </si>
  <si>
    <t>CONSTITUTION_CODE  IN  ('SGOVT')AND GLSH_CODE IN ('13241', '13601', '13611', '13631', '13641') and  sol_id in ('9001','9002','9003','9004','9005','9008') ;</t>
  </si>
  <si>
    <t>ROW104</t>
  </si>
  <si>
    <t>ROW105</t>
  </si>
  <si>
    <t>ROW106</t>
  </si>
  <si>
    <t>ROW107</t>
  </si>
  <si>
    <t>constitution_code in ('CGPSU', 'SGPSU',  'QGOVT', '11401', '11403', '11404', '11405', '11406', '11407', '11408','11409') 
and GLSH_CODE in ('13217', '13220', '13421') and  sol_id in ('9001','9002','9003','9004','9005','9008');</t>
  </si>
  <si>
    <t>ROW108</t>
  </si>
  <si>
    <t>constitution_code in ('CGPSU', 'SGPSU',  'QGOVT', '11401', '11403', '11404', '11405', '11406', '11407', '11408','11409') 
and GLSH_CODE in ('13241', '13601', '13611', '13631', '13641') and  sol_id in ('9001','9002','9003','9004','9005','9008');</t>
  </si>
  <si>
    <t>ROW109</t>
  </si>
  <si>
    <t>ROW110</t>
  </si>
  <si>
    <t>ROW111</t>
  </si>
  <si>
    <t>ROW112</t>
  </si>
  <si>
    <t>NVL(constitution_code,0) in ('11409','11501','11502','11503','11504','11505','11506','11509','11599','11601','11602','11603',
  '11604','11605','11606','11607','11608','11699','22101','22201','22202','22301','22302','22303','22304','22305','22401','22402','22403','22404',
  '33101','33102', '33103','33104','33199','33201','33202','33203','33204','33299','45507','56500','56600','56601','56700','61001','61002','61003',
  '61004','61006','61007','61008','61010','61011','61012','61013','71001','71002','71004','71008','71009','71010','71011', '.', 'ASSOC','BFC','BFC ','BFC  ','BUEBC',
  'CLUBS','COOPB','COOPE','EDTRU','FGNBK','FGNCO','FGNSO','FGNSO ','FORNA','FZC','FZC ','FZC  ','FZCLL','FZE','FZE ','FZE  ','FZELL','GEMS','HUFJT','INSTU','JLC','JNTLG','JVC','LLTCO',
  'LSAA','MDBS','MXC','NFLLC','NGOGE','NGOOT','NGOSM','NGOSW','NPO','NPOSA','OFC','OFC ','OFC  ', 'OPLLC','PBCLI','PBCNL','PBPVT','PCLBG','PETRO','PJSC','PJSC ','PROPF',
  'PROPM','PROPR','PRTNF','PRTNR','PUBTR','PVJSC','PVTCO','PVTTR','REALE','REGSO','RFC','RFC ','RFC  ','RRB','SCC','SGOVT','SHGMA','SHGOT','SHGWE','SHGWO','SOCIE',
  'SPC','TRUST','ULTCO','DMCC','CC','SPLLC','SA','ESTB','REAL','','GOENT','GOVCO','GOVT','11700','0','FZLLC','BUC','11511','FZLLC ','BUC ')
        and  sol_id in ('9001','9002','9003','9004','9005','9008')
  and GLSH_CODE in ('13101','13201', '13206', '13215', '13216', '13217', '13220','13241', '24301', '24311','24312', '24313', '24319', '24503','24337','24626','13222')
  and SCHM_CODE IN ('CA101','CA102','CA103','CA106','CA107','CA108','CA109','CA110','CA111','CA112','LA101','LA106','OD001','OD002','OD003','OD028','OD651','SB105','SB107',
'TD115') AND ACCT_BALANCE_LC&gt;=0 ; &gt;&gt;BACID IN ('13201001','13246001','13291001') and  sol_id in ('9001','9002','9003','9004','9005','9008') ;</t>
  </si>
  <si>
    <t>ROW113</t>
  </si>
  <si>
    <t xml:space="preserve"> NVL(constitution_code,0) in ('11501','11502','11503','11504','11505','11506','11509','11599','11601','11602','11603',
  '11604','11605','11606','11607','11608','11699','22101','22201','22202','22301','22302','22303','22304','22305','22401','22402','22403','22404',
  '33101','33102', '33103','33104','33199','33201','33202','33203','33204','33299','45507','56500','56600','56601','56700','61001','61002','61003',
  '61004','61006','61007','61008','61010','61011','61012','61013','71001','71002','71004','71008','71009','71010','71011', '.', 'ASSOC','BFC','BFC ','BFC  ','BUEBC',
  'CLUBS','COOPB','COOPE','EDTRU','FGNBK','FGNCO','FGNSO','FORNA','FZC','FZC ','FZC  ','FZCLL','FZE','FZE ','FZE  ','FZELL','GEMS','HUFJT','INSTU','JLC','JNTLG','JVC','LLTCO',
  'LSAA','MDBS','MXC','NFLLC','NGOGE','NGOOT','NGOSM','NGOSW','NPO','NPOSA','OFC','OFC ','OFC  ','OPLLC','PBCLI','PBCNL','PBPVT','PCLBG','PETRO','PJSC','PJSC ','PROPF',
  'PROPM','PROPR','PRTNF','PRTNR','PUBTR','PVJSC','PVTCO','PVTTR','REALE','REGSO','RFC','RFC ','RFC  ','RRB','SCC','SGOVT','SHGMA','SHGOT','SHGWE','SHGWO','SOCIE',
  'SPC','TRUST','ULTCO','DMCC','CC', 'SPLLC','SA','ESTB','REAL','GOENT','GOVCO','GOVT','11700','0')
  and GLSH_CODE in ('13421') and  sol_id in ('9001','9002','9003','9004','9005','9008')  AND ACCT_BALANCE_LC&gt;=0
  and SCHM_CODE IN ('SB101','SB102','SB103','SB106','SB110','SB201','SB203','SB303') ;</t>
  </si>
  <si>
    <t>ROW114</t>
  </si>
  <si>
    <t xml:space="preserve">  NVL(constitution_code,0) in ('11501','11502','11503','11504','11505','11506','11509','11599','11601','11602','11603',
  '11604','11605','11606','11607','11608','11699','22101','22201','22202','22301','22302','22303','22304','22305','22401','22402','22403','22404',
  '33101','33102', '33103','33104','33199','33201','33202','33203','33204','33299','45507','56500','56600','56601','56700','61001','61002','61003',
  '61004','61006','61007','61008','61010','61011','61012','61013','71001','71002','71004','71008','71009','71010','71011', '.', 'ASSOC','BFC','BFC ','BFC  ','BUEBC',
  'CLUBS','COOPB','COOPE','EDTRU','FGNBK','FGNCO','FGNSO','FORNA','FZC','FZC ','FZC  ','FZCLL','FZE','FZE ','FZE  ','FZELL','GEMS','HUFJT','INSTU','JLC','JNTLG','JVC','LLTCO',
  'LSAA','MDBS','MXC','MXC  ','','NFLLC','NGOGE','NGOOT','NGOSM','NGOSW','NPO','NPOSA','OFC','OFC ','OFC  ', 'OPLLC','PBCLI','PBCNL','PBPVT','PCLBG','PETRO','PJSC','PJSC ','PROPF',
  'PROPM','PROPR','PRTNF','PRTNR','PUBTR','PVJSC','PVTCO','PVTTR','REALE','REGSO','RFC','RFC ','RFC  ','RRB','SCC','SGOVT','SHGMA','SHGOT','SHGWE','SHGWO','SOCIE',
  'SPC','TRUST','ULTCO','DMCC','CC', 'SPLLC','SA','ESTB','REAL','GOENT','GOVCO','GOVT','11700','0') 
  and GLSH_CODE in ( '13601', '13611', '13631', '13641') and  sol_id in ('9001','9002','9003','9004','9005','9008')
  and SCHM_CODE IN ('TD101','TD102','TD103','TD105','TD106','TD108','TD109','TD112','TD115','TD301') AND ACCT_BALANCE_LC&gt;=0;  &gt;&gt;SCHM_CODE='TD103' AND GLSH_CODE='13601'  AND constitution_code IS NULL ;</t>
  </si>
  <si>
    <t>ROW115</t>
  </si>
  <si>
    <t>BACID IN ('15182006','15182001','13601004','13601003','13601002') and  sol_id in ('9001','9002','9003','9004','9005','9008') AND ACCT_BALANCE_LC&gt;0;</t>
  </si>
  <si>
    <t>ROW116</t>
  </si>
  <si>
    <t>ROW117</t>
  </si>
  <si>
    <t>NVL(constitution_code,0) in ('44101','44102','44103','44104','44105','44106','44107','44108','44109',
  '44110','44111','44112','44113','44114','44115','44116','44199','44201','44202','44203','44204','44205','44206','44207','44208','44209',
  '44210','44211','44212','44213','44214','44215','44216', '44217', '44299','71005','INDL','INDL ','INDVF','INDVM','NREIN','WPS','RESIN')
  and GLSH_CODE in ('13101','13201', '13206', '13215', '13216', '13217', '13220','13241', '24301', '24311','24312', '24313', '24319', '24503','24337','24626','13222')
  and SCHM_CODE IN ('CA101','CA102','CA103','CA106','CA107','CA108','CA109','CA110','CA111','CA112','LA101','LA106','OD001','OD002','OD003','OD028','OD651','SB105','SB107','TD115','0') 
       AND ACCT_BALANCE_LC&gt;=0 and  sol_id in ('9001','9002','9003','9004','9005','9008');</t>
  </si>
  <si>
    <t>ROW118</t>
  </si>
  <si>
    <t>constitution_code in ('44101','44102','44103','44104','44105','44106','44107','44108','44109',
  '44110','44111','44112','44113','44114','44115','44116','44199','44201','44202','44203','44204','44205','44206','44207','44208','44209',
  '44210','44211','44212','44213','44214','44215','44216', '44217', '44299','71005','INDL','INDL ','INDVF','INDVM','NREIN','WPS','RESIN','NBFC','NBFC ')
  and GLSH_CODE in ('13421') AND SCHM_CODE IN ('SB101','SB102','SB103','SB106','SB110','SB201','SB203','SB303')  AND ACCT_BALANCE_LC&gt;=0 and  sol_id in ('9001','9002','9003','9004','9005','9008');</t>
  </si>
  <si>
    <t>ROW119</t>
  </si>
  <si>
    <t>constitution_code in ('44101','44102','44103','44104','44105','44106','44107','44108','44109',
  '44110','44111','44112','44113','44114','44115','44116','44199','44201','44202','44203','44204','44205','44206','44207','44208','44209',
  '44210','44211','44212','44213','44214','44215','44216', '44217', '44299','71005','INDL','INDL ','INDVF','INDVM','NREIN','WPS','RESIN')
  and GLSH_CODE in ('13601','13611','13631','13641') AND SCHM_CODE IN ('TD101','TD102','TD103','TD105','TD106','TD108','TD109','TD112','TD115','TD301')
        and  sol_id in ('9001','9002','9003','9004','9005','9008')
  and  ACCT_BALANCE_LC&gt;=0 ;</t>
  </si>
  <si>
    <t>ROW120</t>
  </si>
  <si>
    <t>ROW121</t>
  </si>
  <si>
    <t>ROW122</t>
  </si>
  <si>
    <t>ROW123</t>
  </si>
  <si>
    <t>NVL(constitution_code,0) in ('11501', '11506', '11507','11599','NBFC','NBFC ',
  '33107','33101','33103','33104','MXC','MXC  ','0')and GLSH_CODE 
        in ('13101','13201', '13206', '13215', '13216', '13217', '13220','13241', '24301', '24311','24312', '24313', '24319', '24503','24337','24626','13222') 
        and SCHM_CODE IN ('CA101','CA102','CA103','CA106','CA107','CA108','CA109','CA110','CA111','CA112','LA101','LA106','OD001','OD002','OD003','OD028','OD651','SB105','SB107',
'TD115') and  sol_id in ('9001','9002','9003','9004','9005','9008') and  ACCT_BALANCE_LC&gt;=0;</t>
  </si>
  <si>
    <t>ROW124</t>
  </si>
  <si>
    <t>constitution_code in ('11501', '11506', '11507','11599','NBFC','NBFC ',
  '33107','33101','33103','33104','MXC','MXC  ')and GLSH_CODE in ('13601','13611','13631','13641')  and  sol_id in ('9001','9002','9003','9004','9005','9008')
        and SCHM_CODE IN ('TD101','TD102','TD103','TD105','TD106','TD108','TD109','TD112','TD115','TD301') and  ACCT_BALANCE_LC&gt;0 ;</t>
  </si>
  <si>
    <t>ROW125</t>
  </si>
  <si>
    <t>ROW126</t>
  </si>
  <si>
    <t>ROW127</t>
  </si>
  <si>
    <t>ROW128</t>
  </si>
  <si>
    <t>GLSH_CODE IN('15106') and  sol_id in ('9001','9002','9003','9004','9005','9008');</t>
  </si>
  <si>
    <t>ROW129</t>
  </si>
  <si>
    <t>ROW130</t>
  </si>
  <si>
    <t>ROW131</t>
  </si>
  <si>
    <t>ROW132</t>
  </si>
  <si>
    <t>ROW133</t>
  </si>
  <si>
    <t>ROW134</t>
  </si>
  <si>
    <t xml:space="preserve">&gt;&gt; FORACID IN ('L52250000', 'L52260000') ;
COMMIT;
&gt;&gt; FORACID IN ('A61111001','A61111002','A61111003','A61160000','A61111004','A61150000') AND  ACCT_BALANCE_LC&gt;0 ;
&gt;&gt;glsh_code='31104' and  sol_id in ('9001','9002','9003','9004','9005','9008') AND REPORT_DATE=V_REPORT_DATE AND ACCT_BALANCE_LC&gt;0;
</t>
  </si>
  <si>
    <t>ROW135</t>
  </si>
  <si>
    <t>ROW136</t>
  </si>
  <si>
    <t>ROW137</t>
  </si>
  <si>
    <t>FORACID IN ('A22010009','A22010004','A22010022','A22010029','A22010032','A22010040','A22010046','A22010054','A22010059','A22010060','A22010061','A22010078','A22010081')
AND ACCT_BALANCE_LC&gt;0 ;</t>
  </si>
  <si>
    <t>ROW138</t>
  </si>
  <si>
    <t>&gt;&gt;FORACID IN ('L33130004','L33130003','L33130010','L33130011');
&gt;&gt;FORACID IN ('L33130011') ;</t>
  </si>
  <si>
    <t>ROW139</t>
  </si>
  <si>
    <t>ROW140</t>
  </si>
  <si>
    <t>ROW141</t>
  </si>
  <si>
    <t>ROW142</t>
  </si>
  <si>
    <t>ROW143</t>
  </si>
  <si>
    <t>ROW144</t>
  </si>
  <si>
    <t>&gt;&gt;FORACID IN ('S81001001','S81001002','S81001004','S81001007','S81001010','S81001008','S81001011','S81001013','S81001017','S81001018','S81001020','S81002005',
'S81002025','S81002081','S81002082','S81002083','S81004002','S81004006','S81004010','S81004011');
&gt;&gt;glsh_code IN ('31106','81011','82001','82011','82041','82061','82071','82081')
and sol_id in('9001' ,'9002' ,'9003' ,'9004' ,'9005' ,'9008');
&gt;&gt;glsh_code IN ('31101')
and sol_id in('9001' ,'9002' ,'9003' ,'9004' ,'9005' ,'9008');
&gt;&gt;FORACID IN ('90031681081034','90030181081034');</t>
  </si>
  <si>
    <t>ROW145</t>
  </si>
  <si>
    <t>ROW146</t>
  </si>
  <si>
    <t>GLSH_CODE IN ('15171','15181') AND BACID IN ('15171001','15181296') and  sol_id in ('9001','9002','9003','9004','9005','9008');</t>
  </si>
  <si>
    <t>ROW147</t>
  </si>
  <si>
    <t>ROW148</t>
  </si>
  <si>
    <t>ROW149</t>
  </si>
  <si>
    <t>ROW150</t>
  </si>
  <si>
    <t>GLSH_CODE IN ('15171') AND BACID IN ('15171006') and  sol_id in ('9001','9002','9003','9004','9005','9008');</t>
  </si>
  <si>
    <t>ROW151</t>
  </si>
  <si>
    <t>GLSH_CODE IN ('15151') AND BACID IN ('15151001') and  sol_id in ('9001','9002','9003','9004','9005','9008') ;</t>
  </si>
  <si>
    <t>ROW152</t>
  </si>
  <si>
    <t>FORACID IN ('L54083000', 'L54083020', 'L54083010','L54083100');</t>
  </si>
  <si>
    <t>ROW153</t>
  </si>
  <si>
    <t xml:space="preserve">GLSH_CODE IN ('15161') AND BACID IN ('15161007', '15161010') and  sol_id in ('9001','9002','9003','9004','9005','9008') ;
</t>
  </si>
  <si>
    <t>ROW154</t>
  </si>
  <si>
    <t>GLSH_CODE IN ('15181','15126','15171','15161') and  sol_id in ('9001','9002','9003','9004','9005','9008')
      AND BACID IN ('15181379','15126007','15161012','15171004','15161018') AND ACCT_BALANCE_LC&gt;0;</t>
  </si>
  <si>
    <t>ROW155</t>
  </si>
  <si>
    <t>ROW156</t>
  </si>
  <si>
    <t>FORACID IN ('90030115126001','90030115126003','90010715126001','90021615101001','90021615111001','90021615111002','90020715111002','90020315111001','90020315111002','90020215111001','90020215111002','90011615126004','90011615126003',
'90011615126001','90010115126003','90010115126001','90010115111001','90010115111002','90010215111001','90010215111002','90010315111001','90010315111002','90010715111002','90011615111001','90011615111002','90011615101001','90020115111001','90020115111002',
'90021615126001','90021615126003','90021615126004','90020715126001','90020315126001','90020315126003','90020215126001','90041615101001','90041615111001','90041615111002','90040715111002','90040315111001','90040315111002','90040215111001','90040215111002','90020115126001','90020115126003','90040115111001','90040115111002','00001615126001','00001615126003','00001615126004','00001615101001','00001615111001','90041615126001','90041615126003','90041615126004','90040715126001','90040315126001','90040315126003','90040215126001','90040115126001','90040115126003','00000715111002','00000315126003','00000115126003','90031615101001','90031615111001','90031615111002','90030715111002','90030315111001','90030315111002','90030215111001','90030215111002','00000715126001','90030115111001','90030115111002','00000115126001','00000215126001','00000315126001','00000115111001','00000215111001','00000315111001','00000115111002','00001615111002','00000215111002','00000315111002','90010215126001','90010315126003','90010315126001','90031615126001','90031615126003','90031615126004','90030715126001','90030315126001','90030315126003','90030215126001','00001615111006','90051615101001','90051615111001','90051615111002','90050715111002','90050315111001','90050315111002','90050215111001','90050215111002','90050115111001','90050115111002','90051615126001','90051615126003','90051615126004','90050715126001','90050315126001','90050315126003','90050215126001','90050115126001','90050115126003','90011615111006','90021615111006','90031615111006','90041615111006','90051615111006','90091615126003','90091615126004','90091615101001','90091615111001','90091615111002','90091615126001','00000115111006','90040115111006','90010115111006','90020115111006','90030115111006','90050115111006','90091615111006','90080115111006','90080315126003','90080215126001','90080215111001','90080215111002','90081615126004','90081615111006','90081615111001','90081615111002','90081615101001','90080115126003','90080115126001','90080115111001','90080115111002','90081615126003','90081615126001','90080315126001','90080315111001','90080315111002')
and  sol_id in ('9001','9002','9003','9004','9005','9008');&gt;&gt; FORACID IN ('L53110004','L53110010','L53110011','L53123104
','L53132000','L53110001','L53125200');</t>
  </si>
  <si>
    <t>ROW157</t>
  </si>
  <si>
    <t>BACID IN ('15161001') and  sol_id in ('9001','9002','9003','9004','9005','9008');</t>
  </si>
  <si>
    <t>ROW158</t>
  </si>
  <si>
    <t>bacid IN ('15131003','15131004','15146003','15181005','15181009','15181044','15181057','15181063','15181118','15181134','15181211','15181219',
'15181232','15181250','15181295','15181325','15181326','15181451','15181637','15181638','15181828','26671014','31101073') AND   sol_id in ('9001','9002','9003','9004','9005','9008');
&gt;&gt;glsh_code IN ('26551', '26681', '81041' ) AND ACCT_BALANCE_LC&gt;0 and  sol_id in ('9001','9002','9003','9004','9005','9008');
&gt;&gt;FORACID IN ('A62013203') AND ACCT_BALANCE_LC&gt;0;
&gt;&gt;FORACID IN ('L54273100');</t>
  </si>
  <si>
    <t>ROW159</t>
  </si>
  <si>
    <t>ROW160</t>
  </si>
  <si>
    <t>ROW161</t>
  </si>
  <si>
    <t>ROW162</t>
  </si>
  <si>
    <t>ROW163</t>
  </si>
  <si>
    <t>ROW164</t>
  </si>
  <si>
    <t>ROW165</t>
  </si>
  <si>
    <t>ROW166</t>
  </si>
  <si>
    <t>ROW167</t>
  </si>
  <si>
    <t>ROW168</t>
  </si>
  <si>
    <t>ROW169</t>
  </si>
  <si>
    <t>ROW170</t>
  </si>
  <si>
    <t>ROW171</t>
  </si>
  <si>
    <t>ROW172</t>
  </si>
  <si>
    <t>ROW173</t>
  </si>
  <si>
    <t>ROW174</t>
  </si>
  <si>
    <t>ROW175</t>
  </si>
  <si>
    <t>FORACID IN ('90031615181124','00001615181124','90021615181124','90041615181124','90011615181124','90051615181124','90091615181124','90081615181124') and  sol_id in ('9001','9002','9003','9004','9005','9008');</t>
  </si>
  <si>
    <t>ROW176</t>
  </si>
  <si>
    <t>ROW177</t>
  </si>
  <si>
    <t>ROW178</t>
  </si>
  <si>
    <t>FORACID IN ('90011612421001','90051612421001','00001612421001','90021612421001','90031612421001','90041612421001','90081612421001') and  sol_id in ('9001','9002','9003','9004','9005','9008');</t>
  </si>
  <si>
    <t>ROW179</t>
  </si>
  <si>
    <t>ROW180</t>
  </si>
  <si>
    <t>ROW181</t>
  </si>
  <si>
    <t>ROW182</t>
  </si>
  <si>
    <t>FORACID IN ('90031615181123','00001615181123','90021615181123','90041615181123','90011615181123','90051615181123','90091615181123','90081615181123') and  sol_id in ('9001','9002','9003','9004','9005','9008');</t>
  </si>
  <si>
    <t>ROW183</t>
  </si>
  <si>
    <t>FORACID IN ('L55000000');</t>
  </si>
  <si>
    <t>ROW184</t>
  </si>
  <si>
    <t>ROW185</t>
  </si>
  <si>
    <t>ROW186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</si>
</sst>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##"/>
  </numFmts>
  <fonts count="33">
    <font>
      <sz val="11"/>
      <color theme="1"/>
      <name val="Calibri"/>
      <charset val="134"/>
      <scheme val="minor"/>
    </font>
    <font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color theme="1"/>
      <name val="Calibri"/>
      <family val="2"/>
      <charset val="0"/>
      <scheme val="minor"/>
    </font>
    <font>
      <b/>
      <sz val="9"/>
      <name val="Arial"/>
      <family val="2"/>
      <charset val="0"/>
    </font>
    <font>
      <sz val="8"/>
      <color indexed="9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family val="2"/>
      <charset val="0"/>
    </font>
    <font>
      <sz val="11"/>
      <color indexed="8"/>
      <name val="Calibri"/>
      <family val="2"/>
      <charset val="0"/>
    </font>
    <font>
      <sz val="8"/>
      <color indexed="10"/>
      <name val="Arial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11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</cellStyleXfs>
  <cellXfs count="6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3" fontId="1" fillId="3" borderId="1" xfId="0" applyNumberFormat="1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1" fontId="2" fillId="3" borderId="2" xfId="5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left" wrapText="1"/>
    </xf>
    <xf numFmtId="178" fontId="1" fillId="4" borderId="1" xfId="0" applyNumberFormat="1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left" wrapText="1"/>
    </xf>
    <xf numFmtId="1" fontId="3" fillId="0" borderId="2" xfId="51" applyNumberFormat="1" applyFont="1" applyFill="1" applyBorder="1" applyAlignment="1" applyProtection="1">
      <alignment horizontal="right" wrapText="1"/>
      <protection locked="0"/>
    </xf>
    <xf numFmtId="3" fontId="1" fillId="4" borderId="1" xfId="0" applyNumberFormat="1" applyFont="1" applyFill="1" applyBorder="1" applyAlignment="1">
      <alignment horizontal="right" wrapText="1"/>
    </xf>
    <xf numFmtId="1" fontId="3" fillId="0" borderId="2" xfId="51" applyNumberFormat="1" applyFont="1" applyFill="1" applyBorder="1" applyAlignment="1" applyProtection="1">
      <alignment wrapText="1"/>
      <protection locked="0"/>
    </xf>
    <xf numFmtId="1" fontId="3" fillId="3" borderId="2" xfId="51" applyNumberFormat="1" applyFont="1" applyFill="1" applyBorder="1" applyAlignment="1">
      <alignment wrapText="1"/>
    </xf>
    <xf numFmtId="1" fontId="2" fillId="0" borderId="2" xfId="50" applyNumberFormat="1" applyFont="1" applyFill="1" applyBorder="1" applyAlignment="1" applyProtection="1">
      <alignment wrapText="1"/>
      <protection locked="0"/>
    </xf>
    <xf numFmtId="1" fontId="2" fillId="3" borderId="2" xfId="50" applyNumberFormat="1" applyFont="1" applyFill="1" applyBorder="1" applyAlignment="1">
      <alignment wrapText="1"/>
    </xf>
    <xf numFmtId="1" fontId="2" fillId="0" borderId="2" xfId="52" applyNumberFormat="1" applyFont="1" applyFill="1" applyBorder="1" applyProtection="1">
      <protection locked="0"/>
    </xf>
    <xf numFmtId="1" fontId="2" fillId="0" borderId="2" xfId="50" applyNumberFormat="1" applyFont="1" applyFill="1" applyBorder="1" applyAlignment="1" applyProtection="1">
      <alignment horizontal="right" wrapText="1"/>
      <protection locked="0"/>
    </xf>
    <xf numFmtId="1" fontId="2" fillId="5" borderId="2" xfId="50" applyNumberFormat="1" applyFont="1" applyFill="1" applyBorder="1" applyAlignment="1" applyProtection="1">
      <alignment horizontal="right" wrapText="1"/>
    </xf>
    <xf numFmtId="1" fontId="2" fillId="3" borderId="2" xfId="50" applyNumberFormat="1" applyFont="1" applyFill="1" applyBorder="1" applyAlignment="1">
      <alignment horizontal="right"/>
    </xf>
    <xf numFmtId="1" fontId="2" fillId="3" borderId="2" xfId="52" applyNumberFormat="1" applyFont="1" applyFill="1" applyBorder="1" applyAlignment="1">
      <alignment horizontal="right"/>
    </xf>
    <xf numFmtId="1" fontId="2" fillId="3" borderId="2" xfId="52" applyNumberFormat="1" applyFont="1" applyFill="1" applyBorder="1"/>
    <xf numFmtId="1" fontId="3" fillId="3" borderId="2" xfId="52" applyNumberFormat="1" applyFont="1" applyFill="1" applyBorder="1"/>
    <xf numFmtId="0" fontId="1" fillId="5" borderId="1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3" fontId="4" fillId="4" borderId="1" xfId="0" applyNumberFormat="1" applyFont="1" applyFill="1" applyBorder="1" applyAlignment="1">
      <alignment horizontal="right" wrapText="1"/>
    </xf>
    <xf numFmtId="1" fontId="2" fillId="3" borderId="2" xfId="49" applyNumberFormat="1" applyFont="1" applyFill="1" applyBorder="1"/>
    <xf numFmtId="1" fontId="3" fillId="3" borderId="2" xfId="51" applyNumberFormat="1" applyFont="1" applyFill="1" applyBorder="1" applyAlignment="1">
      <alignment shrinkToFit="1"/>
    </xf>
    <xf numFmtId="1" fontId="3" fillId="0" borderId="2" xfId="52" applyNumberFormat="1" applyFont="1" applyBorder="1" applyAlignment="1" applyProtection="1">
      <alignment horizontal="right"/>
      <protection locked="0"/>
    </xf>
    <xf numFmtId="1" fontId="3" fillId="3" borderId="2" xfId="52" applyNumberFormat="1" applyFont="1" applyFill="1" applyBorder="1" applyAlignment="1">
      <alignment horizontal="right"/>
    </xf>
    <xf numFmtId="1" fontId="1" fillId="3" borderId="2" xfId="51" applyNumberFormat="1" applyFont="1" applyFill="1" applyBorder="1" applyAlignment="1">
      <alignment wrapText="1"/>
    </xf>
    <xf numFmtId="1" fontId="4" fillId="3" borderId="2" xfId="50" applyNumberFormat="1" applyFont="1" applyFill="1" applyBorder="1" applyAlignment="1">
      <alignment horizontal="right" wrapText="1"/>
    </xf>
    <xf numFmtId="1" fontId="3" fillId="3" borderId="2" xfId="51" applyNumberFormat="1" applyFont="1" applyFill="1" applyBorder="1" applyAlignment="1"/>
    <xf numFmtId="1" fontId="2" fillId="3" borderId="2" xfId="49" applyNumberFormat="1" applyFont="1" applyFill="1" applyBorder="1" applyAlignment="1">
      <alignment horizontal="right"/>
    </xf>
    <xf numFmtId="1" fontId="2" fillId="0" borderId="2" xfId="49" applyNumberFormat="1" applyFont="1" applyFill="1" applyBorder="1" applyProtection="1">
      <protection locked="0"/>
    </xf>
    <xf numFmtId="1" fontId="3" fillId="0" borderId="2" xfId="52" applyNumberFormat="1" applyFont="1" applyFill="1" applyBorder="1" applyProtection="1">
      <protection locked="0"/>
    </xf>
    <xf numFmtId="1" fontId="2" fillId="0" borderId="2" xfId="49" applyNumberFormat="1" applyFont="1" applyBorder="1" applyAlignment="1" applyProtection="1">
      <alignment horizontal="right"/>
      <protection locked="0"/>
    </xf>
    <xf numFmtId="1" fontId="4" fillId="0" borderId="2" xfId="49" applyNumberFormat="1" applyFont="1" applyBorder="1" applyAlignment="1" applyProtection="1">
      <alignment horizontal="right"/>
      <protection locked="0"/>
    </xf>
    <xf numFmtId="1" fontId="4" fillId="3" borderId="2" xfId="49" applyNumberFormat="1" applyFont="1" applyFill="1" applyBorder="1" applyAlignment="1">
      <alignment horizontal="right"/>
    </xf>
    <xf numFmtId="1" fontId="3" fillId="3" borderId="2" xfId="50" applyNumberFormat="1" applyFont="1" applyFill="1" applyBorder="1" applyAlignment="1">
      <alignment wrapText="1"/>
    </xf>
    <xf numFmtId="1" fontId="3" fillId="3" borderId="2" xfId="53" applyNumberFormat="1" applyFont="1" applyFill="1" applyBorder="1"/>
    <xf numFmtId="0" fontId="5" fillId="0" borderId="0" xfId="0" applyFont="1" applyFill="1" applyBorder="1" applyAlignment="1"/>
    <xf numFmtId="0" fontId="6" fillId="3" borderId="2" xfId="54" applyFont="1" applyFill="1" applyBorder="1" applyAlignment="1">
      <alignment horizontal="center"/>
    </xf>
    <xf numFmtId="0" fontId="7" fillId="3" borderId="2" xfId="49" applyFont="1" applyFill="1" applyBorder="1" applyAlignment="1" applyProtection="1">
      <alignment horizontal="left" vertical="top"/>
    </xf>
    <xf numFmtId="15" fontId="2" fillId="0" borderId="3" xfId="50" applyNumberFormat="1" applyFont="1" applyFill="1" applyBorder="1" applyAlignment="1" applyProtection="1"/>
    <xf numFmtId="15" fontId="2" fillId="0" borderId="4" xfId="50" applyNumberFormat="1" applyFont="1" applyFill="1" applyBorder="1" applyAlignment="1" applyProtection="1"/>
    <xf numFmtId="0" fontId="8" fillId="0" borderId="2" xfId="0" applyFont="1" applyFill="1" applyBorder="1" applyAlignment="1"/>
    <xf numFmtId="15" fontId="9" fillId="3" borderId="2" xfId="50" applyNumberFormat="1" applyFont="1" applyFill="1" applyBorder="1" applyAlignment="1" applyProtection="1">
      <alignment horizontal="left" vertical="top"/>
    </xf>
    <xf numFmtId="0" fontId="9" fillId="3" borderId="2" xfId="50" applyFont="1" applyFill="1" applyBorder="1" applyAlignment="1" applyProtection="1">
      <alignment horizontal="left" vertical="top"/>
    </xf>
    <xf numFmtId="0" fontId="10" fillId="4" borderId="0" xfId="0" applyFont="1" applyFill="1" applyBorder="1" applyAlignment="1"/>
    <xf numFmtId="0" fontId="4" fillId="3" borderId="1" xfId="0" applyFont="1" applyFill="1" applyBorder="1" applyAlignment="1">
      <alignment horizontal="left" wrapText="1"/>
    </xf>
    <xf numFmtId="0" fontId="4" fillId="6" borderId="2" xfId="49" applyFont="1" applyFill="1" applyBorder="1" applyProtection="1">
      <protection locked="0"/>
    </xf>
    <xf numFmtId="0" fontId="4" fillId="7" borderId="2" xfId="49" applyFont="1" applyFill="1" applyBorder="1" applyProtection="1"/>
    <xf numFmtId="0" fontId="3" fillId="5" borderId="5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3" fontId="1" fillId="5" borderId="1" xfId="0" applyNumberFormat="1" applyFont="1" applyFill="1" applyBorder="1" applyAlignment="1" applyProtection="1">
      <alignment horizontal="right" wrapText="1"/>
      <protection locked="0"/>
    </xf>
    <xf numFmtId="3" fontId="1" fillId="5" borderId="1" xfId="0" applyNumberFormat="1" applyFont="1" applyFill="1" applyBorder="1" applyAlignment="1" applyProtection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3" fillId="5" borderId="7" xfId="0" applyFont="1" applyFill="1" applyBorder="1" applyAlignment="1">
      <alignment horizontal="left"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_Sheet1" xfId="52"/>
    <cellStyle name="Normal_Sheet2" xfId="53"/>
    <cellStyle name="Normal 5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17"/>
  <sheetViews>
    <sheetView topLeftCell="A35" workbookViewId="0">
      <selection activeCell="B8" sqref="B8:D9"/>
    </sheetView>
  </sheetViews>
  <sheetFormatPr defaultColWidth="8.72727272727273" defaultRowHeight="15" zeroHeight="1"/>
  <cols>
    <col min="1" max="1" width="3.42727272727273" style="44" customWidth="1"/>
    <col min="2" max="2" width="9" style="44" customWidth="1"/>
    <col min="3" max="3" width="7.13636363636364" style="44" customWidth="1"/>
    <col min="4" max="4" width="41.4272727272727" style="44" customWidth="1"/>
    <col min="5" max="12" width="9.70909090909091" style="44" customWidth="1"/>
    <col min="13" max="13" width="10.7090909090909" style="44" customWidth="1"/>
    <col min="14" max="14" width="9.13636363636364" style="44" customWidth="1"/>
    <col min="15" max="16384" width="8.72727272727273" style="44" hidden="1"/>
  </cols>
  <sheetData>
    <row r="1" s="44" customFormat="1" ht="14.5"/>
    <row r="2" s="44" customFormat="1" ht="14.5" spans="2:13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="44" customFormat="1" customHeight="1" spans="2:13">
      <c r="B3" s="46" t="s">
        <v>1</v>
      </c>
      <c r="C3" s="47" t="s">
        <v>2</v>
      </c>
      <c r="D3" s="48"/>
      <c r="E3" s="49"/>
      <c r="F3" s="49"/>
      <c r="G3" s="49"/>
      <c r="H3" s="49"/>
      <c r="I3" s="49"/>
      <c r="J3" s="49"/>
      <c r="K3" s="49"/>
      <c r="L3" s="49"/>
      <c r="M3" s="49"/>
    </row>
    <row r="4" s="44" customFormat="1" ht="14.5" spans="2:13">
      <c r="B4" s="50" t="s">
        <v>3</v>
      </c>
      <c r="C4" s="47" t="s">
        <v>4</v>
      </c>
      <c r="D4" s="48"/>
      <c r="E4" s="49"/>
      <c r="F4" s="49"/>
      <c r="G4" s="49"/>
      <c r="H4" s="49"/>
      <c r="I4" s="49"/>
      <c r="J4" s="49"/>
      <c r="K4" s="49"/>
      <c r="L4" s="49"/>
      <c r="M4" s="49"/>
    </row>
    <row r="5" s="44" customFormat="1" ht="14.5" spans="2:13">
      <c r="B5" s="51" t="s">
        <v>5</v>
      </c>
      <c r="C5" s="47" t="s">
        <v>6</v>
      </c>
      <c r="D5" s="48"/>
      <c r="E5" s="49"/>
      <c r="F5" s="49"/>
      <c r="G5" s="49"/>
      <c r="H5" s="49"/>
      <c r="I5" s="49"/>
      <c r="J5" s="49"/>
      <c r="K5" s="49"/>
      <c r="L5" s="49"/>
      <c r="M5" s="49"/>
    </row>
    <row r="6" s="44" customFormat="1" ht="14.5" spans="2:13">
      <c r="B6" s="6"/>
      <c r="C6" s="6"/>
      <c r="D6" s="52"/>
      <c r="E6" s="6"/>
      <c r="F6" s="6"/>
      <c r="G6" s="6"/>
      <c r="H6" s="6"/>
      <c r="I6" s="6"/>
      <c r="J6" s="6"/>
      <c r="K6" s="6"/>
      <c r="L6" s="6"/>
      <c r="M6" s="6"/>
    </row>
    <row r="7" s="44" customFormat="1" ht="14.5" spans="2:13"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="44" customFormat="1" ht="14.5" spans="2:13">
      <c r="B8" s="1"/>
      <c r="C8" s="1"/>
      <c r="D8" s="1"/>
      <c r="E8" s="1" t="s">
        <v>8</v>
      </c>
      <c r="F8" s="1"/>
      <c r="G8" s="1"/>
      <c r="H8" s="1"/>
      <c r="I8" s="1" t="s">
        <v>9</v>
      </c>
      <c r="J8" s="1"/>
      <c r="K8" s="1"/>
      <c r="L8" s="1"/>
      <c r="M8" s="1" t="s">
        <v>10</v>
      </c>
    </row>
    <row r="9" s="44" customFormat="1" ht="14.5" spans="2:13">
      <c r="B9" s="1"/>
      <c r="C9" s="1"/>
      <c r="D9" s="1"/>
      <c r="E9" s="1" t="s">
        <v>11</v>
      </c>
      <c r="F9" s="1"/>
      <c r="G9" s="1" t="s">
        <v>12</v>
      </c>
      <c r="H9" s="1"/>
      <c r="I9" s="1" t="s">
        <v>11</v>
      </c>
      <c r="J9" s="1"/>
      <c r="K9" s="1" t="s">
        <v>12</v>
      </c>
      <c r="L9" s="1"/>
      <c r="M9" s="1"/>
    </row>
    <row r="10" s="44" customFormat="1" ht="14.5" spans="2:13">
      <c r="B10" s="2" t="s">
        <v>13</v>
      </c>
      <c r="C10" s="1"/>
      <c r="D10" s="2" t="s">
        <v>14</v>
      </c>
      <c r="E10" s="2" t="s">
        <v>15</v>
      </c>
      <c r="F10" s="2" t="s">
        <v>16</v>
      </c>
      <c r="G10" s="2" t="s">
        <v>15</v>
      </c>
      <c r="H10" s="2" t="s">
        <v>16</v>
      </c>
      <c r="I10" s="2" t="s">
        <v>15</v>
      </c>
      <c r="J10" s="2" t="s">
        <v>16</v>
      </c>
      <c r="K10" s="1" t="s">
        <v>15</v>
      </c>
      <c r="L10" s="2" t="s">
        <v>16</v>
      </c>
      <c r="M10" s="1"/>
    </row>
    <row r="11" s="44" customFormat="1" ht="14.5" spans="2:13">
      <c r="B11" s="3">
        <v>14</v>
      </c>
      <c r="C11" s="2"/>
      <c r="D11" s="2" t="s">
        <v>17</v>
      </c>
      <c r="E11" s="5">
        <f t="shared" ref="E11:M11" si="0">SUM(E12:E15)</f>
        <v>1</v>
      </c>
      <c r="F11" s="5">
        <f t="shared" si="0"/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</row>
    <row r="12" s="44" customFormat="1" ht="14.5" spans="2:13">
      <c r="B12" s="6"/>
      <c r="C12" s="7">
        <v>14.1</v>
      </c>
      <c r="D12" s="6" t="s">
        <v>18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5">
        <f t="shared" ref="M12:M15" si="1">+F12+H12+J12+L12</f>
        <v>0</v>
      </c>
    </row>
    <row r="13" s="44" customFormat="1" ht="14.5" spans="2:13">
      <c r="B13" s="6"/>
      <c r="C13" s="7">
        <v>14.2</v>
      </c>
      <c r="D13" s="6" t="s">
        <v>19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5">
        <f t="shared" si="1"/>
        <v>0</v>
      </c>
    </row>
    <row r="14" s="44" customFormat="1" ht="14.5" spans="2:13">
      <c r="B14" s="6"/>
      <c r="C14" s="7">
        <v>14.3</v>
      </c>
      <c r="D14" s="6" t="s">
        <v>20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5">
        <f t="shared" si="1"/>
        <v>0</v>
      </c>
    </row>
    <row r="15" s="44" customFormat="1" ht="14.5" spans="2:13">
      <c r="B15" s="6"/>
      <c r="C15" s="7">
        <v>14.4</v>
      </c>
      <c r="D15" s="6" t="s">
        <v>21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5">
        <f t="shared" si="1"/>
        <v>0</v>
      </c>
    </row>
    <row r="16" s="44" customFormat="1" ht="14.5" spans="2:13">
      <c r="B16" s="3">
        <v>15</v>
      </c>
      <c r="C16" s="2"/>
      <c r="D16" s="2" t="s">
        <v>22</v>
      </c>
      <c r="E16" s="5">
        <f t="shared" ref="E16:M16" si="2">SUM(E17:E20)</f>
        <v>0</v>
      </c>
      <c r="F16" s="5">
        <f t="shared" si="2"/>
        <v>0</v>
      </c>
      <c r="G16" s="5">
        <f t="shared" si="2"/>
        <v>0</v>
      </c>
      <c r="H16" s="5">
        <f t="shared" si="2"/>
        <v>0</v>
      </c>
      <c r="I16" s="5">
        <f t="shared" si="2"/>
        <v>0</v>
      </c>
      <c r="J16" s="5">
        <f t="shared" si="2"/>
        <v>0</v>
      </c>
      <c r="K16" s="5">
        <f t="shared" si="2"/>
        <v>0</v>
      </c>
      <c r="L16" s="5">
        <f t="shared" si="2"/>
        <v>0</v>
      </c>
      <c r="M16" s="5">
        <f t="shared" si="2"/>
        <v>0</v>
      </c>
    </row>
    <row r="17" s="44" customFormat="1" ht="14.5" spans="2:13">
      <c r="B17" s="6"/>
      <c r="C17" s="7">
        <v>15.1</v>
      </c>
      <c r="D17" s="6" t="s">
        <v>18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5">
        <f t="shared" ref="M17:M20" si="3">+F17+H17+J17+L17</f>
        <v>0</v>
      </c>
    </row>
    <row r="18" s="44" customFormat="1" ht="14.5" spans="2:13">
      <c r="B18" s="6"/>
      <c r="C18" s="7">
        <v>15.2</v>
      </c>
      <c r="D18" s="6" t="s">
        <v>19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5">
        <f t="shared" si="3"/>
        <v>0</v>
      </c>
    </row>
    <row r="19" s="44" customFormat="1" ht="14.5" spans="2:13">
      <c r="B19" s="6"/>
      <c r="C19" s="7">
        <v>15.3</v>
      </c>
      <c r="D19" s="6" t="s">
        <v>20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5">
        <f t="shared" si="3"/>
        <v>0</v>
      </c>
    </row>
    <row r="20" s="44" customFormat="1" ht="14.5" spans="2:13">
      <c r="B20" s="6"/>
      <c r="C20" s="7">
        <v>15.4</v>
      </c>
      <c r="D20" s="6" t="s">
        <v>21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5">
        <f t="shared" si="3"/>
        <v>0</v>
      </c>
    </row>
    <row r="21" s="44" customFormat="1" ht="14.5" spans="2:13">
      <c r="B21" s="3">
        <v>16</v>
      </c>
      <c r="C21" s="2"/>
      <c r="D21" s="2" t="s">
        <v>23</v>
      </c>
      <c r="E21" s="5">
        <f t="shared" ref="E21:M21" si="4">E22+E27</f>
        <v>84388</v>
      </c>
      <c r="F21" s="5">
        <f t="shared" si="4"/>
        <v>10964232</v>
      </c>
      <c r="G21" s="5">
        <f t="shared" si="4"/>
        <v>3269</v>
      </c>
      <c r="H21" s="5">
        <f t="shared" si="4"/>
        <v>3867336</v>
      </c>
      <c r="I21" s="5">
        <f t="shared" si="4"/>
        <v>413</v>
      </c>
      <c r="J21" s="5">
        <f t="shared" si="4"/>
        <v>121288</v>
      </c>
      <c r="K21" s="5">
        <f t="shared" si="4"/>
        <v>395</v>
      </c>
      <c r="L21" s="5">
        <f t="shared" si="4"/>
        <v>506354</v>
      </c>
      <c r="M21" s="5">
        <f t="shared" si="4"/>
        <v>15459210</v>
      </c>
    </row>
    <row r="22" s="44" customFormat="1" ht="14.5" spans="2:13">
      <c r="B22" s="6"/>
      <c r="C22" s="7">
        <v>16.1</v>
      </c>
      <c r="D22" s="6" t="s">
        <v>24</v>
      </c>
      <c r="E22" s="5">
        <f t="shared" ref="E22:M22" si="5">SUM(E23:E26)</f>
        <v>19986</v>
      </c>
      <c r="F22" s="5">
        <f t="shared" si="5"/>
        <v>6954003</v>
      </c>
      <c r="G22" s="5">
        <f t="shared" si="5"/>
        <v>2485</v>
      </c>
      <c r="H22" s="5">
        <f t="shared" si="5"/>
        <v>3348332</v>
      </c>
      <c r="I22" s="5">
        <f t="shared" si="5"/>
        <v>177</v>
      </c>
      <c r="J22" s="5">
        <f t="shared" si="5"/>
        <v>58206</v>
      </c>
      <c r="K22" s="5">
        <f t="shared" si="5"/>
        <v>160</v>
      </c>
      <c r="L22" s="5">
        <f t="shared" si="5"/>
        <v>475383</v>
      </c>
      <c r="M22" s="5">
        <f t="shared" si="5"/>
        <v>10835924</v>
      </c>
    </row>
    <row r="23" s="44" customFormat="1" ht="14.5" spans="2:13">
      <c r="B23" s="6"/>
      <c r="C23" s="10" t="s">
        <v>25</v>
      </c>
      <c r="D23" s="6" t="s">
        <v>18</v>
      </c>
      <c r="E23" s="9">
        <v>15691</v>
      </c>
      <c r="F23" s="9">
        <v>4493289</v>
      </c>
      <c r="G23" s="9">
        <v>1864</v>
      </c>
      <c r="H23" s="9">
        <v>961165</v>
      </c>
      <c r="I23" s="9">
        <v>177</v>
      </c>
      <c r="J23" s="9">
        <v>58206</v>
      </c>
      <c r="K23" s="9">
        <v>137</v>
      </c>
      <c r="L23" s="9">
        <v>200315</v>
      </c>
      <c r="M23" s="5">
        <f t="shared" ref="M23:M26" si="6">+F23+H23+J23+L23</f>
        <v>5712975</v>
      </c>
    </row>
    <row r="24" s="44" customFormat="1" ht="14.5" spans="2:13">
      <c r="B24" s="6"/>
      <c r="C24" s="10" t="s">
        <v>26</v>
      </c>
      <c r="D24" s="6" t="s">
        <v>19</v>
      </c>
      <c r="E24" s="9">
        <v>10</v>
      </c>
      <c r="F24" s="9">
        <v>2044</v>
      </c>
      <c r="G24" s="9">
        <v>11</v>
      </c>
      <c r="H24" s="9">
        <v>1399</v>
      </c>
      <c r="I24" s="9">
        <v>0</v>
      </c>
      <c r="J24" s="9">
        <v>0</v>
      </c>
      <c r="K24" s="9">
        <v>4</v>
      </c>
      <c r="L24" s="9">
        <v>334</v>
      </c>
      <c r="M24" s="5">
        <f t="shared" si="6"/>
        <v>3777</v>
      </c>
    </row>
    <row r="25" s="44" customFormat="1" ht="14.5" spans="2:13">
      <c r="B25" s="6"/>
      <c r="C25" s="10" t="s">
        <v>27</v>
      </c>
      <c r="D25" s="6" t="s">
        <v>20</v>
      </c>
      <c r="E25" s="9">
        <v>4273</v>
      </c>
      <c r="F25" s="9">
        <v>2439697</v>
      </c>
      <c r="G25" s="9">
        <v>607</v>
      </c>
      <c r="H25" s="9">
        <v>2384652</v>
      </c>
      <c r="I25" s="9">
        <v>0</v>
      </c>
      <c r="J25" s="9">
        <v>0</v>
      </c>
      <c r="K25" s="9">
        <v>19</v>
      </c>
      <c r="L25" s="9">
        <v>274734</v>
      </c>
      <c r="M25" s="5">
        <f t="shared" si="6"/>
        <v>5099083</v>
      </c>
    </row>
    <row r="26" s="44" customFormat="1" ht="14.5" spans="2:13">
      <c r="B26" s="6"/>
      <c r="C26" s="10" t="s">
        <v>28</v>
      </c>
      <c r="D26" s="6" t="s">
        <v>21</v>
      </c>
      <c r="E26" s="9">
        <v>12</v>
      </c>
      <c r="F26" s="9">
        <v>18973</v>
      </c>
      <c r="G26" s="9">
        <v>3</v>
      </c>
      <c r="H26" s="9">
        <v>1116</v>
      </c>
      <c r="I26" s="9">
        <v>0</v>
      </c>
      <c r="J26" s="9">
        <v>0</v>
      </c>
      <c r="K26" s="9">
        <v>0</v>
      </c>
      <c r="L26" s="9">
        <v>0</v>
      </c>
      <c r="M26" s="5">
        <f t="shared" si="6"/>
        <v>20089</v>
      </c>
    </row>
    <row r="27" s="44" customFormat="1" ht="14.5" spans="2:13">
      <c r="B27" s="6"/>
      <c r="C27" s="7">
        <v>16.2</v>
      </c>
      <c r="D27" s="6" t="s">
        <v>29</v>
      </c>
      <c r="E27" s="5">
        <f t="shared" ref="E27:M27" si="7">SUM(E28:E31)</f>
        <v>64402</v>
      </c>
      <c r="F27" s="5">
        <f t="shared" si="7"/>
        <v>4010229</v>
      </c>
      <c r="G27" s="5">
        <f t="shared" si="7"/>
        <v>784</v>
      </c>
      <c r="H27" s="5">
        <f t="shared" si="7"/>
        <v>519004</v>
      </c>
      <c r="I27" s="5">
        <f t="shared" si="7"/>
        <v>236</v>
      </c>
      <c r="J27" s="5">
        <f t="shared" si="7"/>
        <v>63082</v>
      </c>
      <c r="K27" s="5">
        <f t="shared" si="7"/>
        <v>235</v>
      </c>
      <c r="L27" s="5">
        <f t="shared" si="7"/>
        <v>30971</v>
      </c>
      <c r="M27" s="5">
        <f t="shared" si="7"/>
        <v>4623286</v>
      </c>
    </row>
    <row r="28" s="44" customFormat="1" ht="14.5" spans="2:13">
      <c r="B28" s="6"/>
      <c r="C28" s="10" t="s">
        <v>30</v>
      </c>
      <c r="D28" s="6" t="s">
        <v>18</v>
      </c>
      <c r="E28" s="9">
        <v>13295</v>
      </c>
      <c r="F28" s="9">
        <v>1051186</v>
      </c>
      <c r="G28" s="9">
        <v>205</v>
      </c>
      <c r="H28" s="9">
        <v>41511</v>
      </c>
      <c r="I28" s="9">
        <v>1</v>
      </c>
      <c r="J28" s="9">
        <v>181</v>
      </c>
      <c r="K28" s="9">
        <v>0</v>
      </c>
      <c r="L28" s="9">
        <v>0</v>
      </c>
      <c r="M28" s="5">
        <f t="shared" ref="M28:M31" si="8">+F28+H28+J28+L28</f>
        <v>1092878</v>
      </c>
    </row>
    <row r="29" s="44" customFormat="1" ht="14.5" spans="2:13">
      <c r="B29" s="6"/>
      <c r="C29" s="10" t="s">
        <v>31</v>
      </c>
      <c r="D29" s="6" t="s">
        <v>19</v>
      </c>
      <c r="E29" s="9">
        <v>44475</v>
      </c>
      <c r="F29" s="9">
        <v>349507</v>
      </c>
      <c r="G29" s="9">
        <v>180</v>
      </c>
      <c r="H29" s="9">
        <v>21282</v>
      </c>
      <c r="I29" s="9">
        <v>183</v>
      </c>
      <c r="J29" s="9">
        <v>39325</v>
      </c>
      <c r="K29" s="9">
        <v>175</v>
      </c>
      <c r="L29" s="9">
        <v>11271</v>
      </c>
      <c r="M29" s="5">
        <f t="shared" si="8"/>
        <v>421385</v>
      </c>
    </row>
    <row r="30" s="44" customFormat="1" ht="14.5" spans="2:13">
      <c r="B30" s="6"/>
      <c r="C30" s="10" t="s">
        <v>32</v>
      </c>
      <c r="D30" s="6" t="s">
        <v>20</v>
      </c>
      <c r="E30" s="9">
        <v>6632</v>
      </c>
      <c r="F30" s="9">
        <v>2609536</v>
      </c>
      <c r="G30" s="9">
        <v>399</v>
      </c>
      <c r="H30" s="9">
        <v>456211</v>
      </c>
      <c r="I30" s="9">
        <v>52</v>
      </c>
      <c r="J30" s="9">
        <v>23576</v>
      </c>
      <c r="K30" s="9">
        <v>60</v>
      </c>
      <c r="L30" s="9">
        <v>19700</v>
      </c>
      <c r="M30" s="5">
        <f t="shared" si="8"/>
        <v>3109023</v>
      </c>
    </row>
    <row r="31" s="44" customFormat="1" ht="14.5" spans="2:13">
      <c r="B31" s="6"/>
      <c r="C31" s="10" t="s">
        <v>33</v>
      </c>
      <c r="D31" s="6" t="s">
        <v>21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5">
        <f t="shared" si="8"/>
        <v>0</v>
      </c>
    </row>
    <row r="32" s="44" customFormat="1" ht="14.5" spans="2:13">
      <c r="B32" s="3">
        <v>17</v>
      </c>
      <c r="C32" s="2"/>
      <c r="D32" s="2" t="s">
        <v>34</v>
      </c>
      <c r="E32" s="5">
        <f t="shared" ref="E32:M32" si="9">SUM(E33:E36)</f>
        <v>325</v>
      </c>
      <c r="F32" s="5">
        <f t="shared" si="9"/>
        <v>476713</v>
      </c>
      <c r="G32" s="5">
        <f t="shared" si="9"/>
        <v>85</v>
      </c>
      <c r="H32" s="5">
        <f t="shared" si="9"/>
        <v>261924</v>
      </c>
      <c r="I32" s="5">
        <f t="shared" si="9"/>
        <v>0</v>
      </c>
      <c r="J32" s="5">
        <f t="shared" si="9"/>
        <v>0</v>
      </c>
      <c r="K32" s="5">
        <f t="shared" si="9"/>
        <v>0</v>
      </c>
      <c r="L32" s="5">
        <f t="shared" si="9"/>
        <v>0</v>
      </c>
      <c r="M32" s="5">
        <f t="shared" si="9"/>
        <v>738637</v>
      </c>
    </row>
    <row r="33" s="44" customFormat="1" ht="14.5" spans="2:13">
      <c r="B33" s="6"/>
      <c r="C33" s="7">
        <v>17.1</v>
      </c>
      <c r="D33" s="6" t="s">
        <v>35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5">
        <f t="shared" ref="M33:M36" si="10">+F33+H33+J33+L33</f>
        <v>0</v>
      </c>
    </row>
    <row r="34" s="44" customFormat="1" ht="14.5" spans="2:13">
      <c r="B34" s="6"/>
      <c r="C34" s="7">
        <v>17.2</v>
      </c>
      <c r="D34" s="6" t="s">
        <v>18</v>
      </c>
      <c r="E34" s="9">
        <v>113</v>
      </c>
      <c r="F34" s="9">
        <v>152060</v>
      </c>
      <c r="G34" s="9">
        <v>25</v>
      </c>
      <c r="H34" s="9">
        <v>25305</v>
      </c>
      <c r="I34" s="9">
        <v>0</v>
      </c>
      <c r="J34" s="9">
        <v>0</v>
      </c>
      <c r="K34" s="9">
        <v>0</v>
      </c>
      <c r="L34" s="9">
        <v>0</v>
      </c>
      <c r="M34" s="5">
        <f t="shared" si="10"/>
        <v>177365</v>
      </c>
    </row>
    <row r="35" s="44" customFormat="1" ht="14.5" spans="2:13">
      <c r="B35" s="6"/>
      <c r="C35" s="7">
        <v>17.3</v>
      </c>
      <c r="D35" s="6" t="s">
        <v>36</v>
      </c>
      <c r="E35" s="9">
        <v>212</v>
      </c>
      <c r="F35" s="9">
        <v>324653</v>
      </c>
      <c r="G35" s="9">
        <v>60</v>
      </c>
      <c r="H35" s="9">
        <v>236619</v>
      </c>
      <c r="I35" s="9">
        <v>0</v>
      </c>
      <c r="J35" s="9">
        <v>0</v>
      </c>
      <c r="K35" s="9">
        <v>0</v>
      </c>
      <c r="L35" s="9">
        <v>0</v>
      </c>
      <c r="M35" s="5">
        <f t="shared" si="10"/>
        <v>561272</v>
      </c>
    </row>
    <row r="36" s="44" customFormat="1" ht="14.5" spans="2:13">
      <c r="B36" s="6"/>
      <c r="C36" s="7">
        <v>17.4</v>
      </c>
      <c r="D36" s="6" t="s">
        <v>37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5">
        <f t="shared" si="10"/>
        <v>0</v>
      </c>
    </row>
    <row r="37" s="44" customFormat="1" ht="14.5" spans="2:13">
      <c r="B37" s="3">
        <v>18</v>
      </c>
      <c r="C37" s="2"/>
      <c r="D37" s="2" t="s">
        <v>38</v>
      </c>
      <c r="E37" s="5">
        <f t="shared" ref="E37:M37" si="11">+E38</f>
        <v>0</v>
      </c>
      <c r="F37" s="5">
        <f t="shared" si="11"/>
        <v>0</v>
      </c>
      <c r="G37" s="5">
        <f t="shared" si="11"/>
        <v>0</v>
      </c>
      <c r="H37" s="5">
        <f t="shared" si="11"/>
        <v>0</v>
      </c>
      <c r="I37" s="5">
        <f t="shared" si="11"/>
        <v>0</v>
      </c>
      <c r="J37" s="5">
        <f t="shared" si="11"/>
        <v>0</v>
      </c>
      <c r="K37" s="5">
        <f t="shared" si="11"/>
        <v>0</v>
      </c>
      <c r="L37" s="5">
        <f t="shared" si="11"/>
        <v>0</v>
      </c>
      <c r="M37" s="5">
        <f t="shared" si="11"/>
        <v>0</v>
      </c>
    </row>
    <row r="38" s="44" customFormat="1" ht="20" spans="2:13">
      <c r="B38" s="6"/>
      <c r="C38" s="7">
        <v>18.1</v>
      </c>
      <c r="D38" s="6" t="s">
        <v>39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5">
        <f t="shared" ref="M38:M43" si="12">+F38+H38+J38+L38</f>
        <v>0</v>
      </c>
    </row>
    <row r="39" s="44" customFormat="1" ht="14.5" spans="2:13">
      <c r="B39" s="3">
        <v>19</v>
      </c>
      <c r="C39" s="2"/>
      <c r="D39" s="2" t="s">
        <v>40</v>
      </c>
      <c r="E39" s="12"/>
      <c r="F39" s="13">
        <v>104760</v>
      </c>
      <c r="G39" s="14"/>
      <c r="H39" s="15">
        <v>0</v>
      </c>
      <c r="I39" s="20"/>
      <c r="J39" s="37">
        <v>0</v>
      </c>
      <c r="K39" s="14"/>
      <c r="L39" s="15">
        <v>0</v>
      </c>
      <c r="M39" s="5">
        <f t="shared" si="12"/>
        <v>104760</v>
      </c>
    </row>
    <row r="40" s="44" customFormat="1" ht="14.5" spans="2:13">
      <c r="B40" s="3">
        <v>20</v>
      </c>
      <c r="C40" s="2"/>
      <c r="D40" s="2" t="s">
        <v>41</v>
      </c>
      <c r="E40" s="12"/>
      <c r="F40" s="5">
        <f t="shared" ref="F40:J40" si="13">SUM(F41:F43)</f>
        <v>0</v>
      </c>
      <c r="G40" s="5"/>
      <c r="H40" s="5">
        <f t="shared" si="13"/>
        <v>0</v>
      </c>
      <c r="I40" s="5"/>
      <c r="J40" s="5">
        <f t="shared" si="13"/>
        <v>0</v>
      </c>
      <c r="K40" s="5"/>
      <c r="L40" s="5">
        <f>SUM(L41:L43)</f>
        <v>0</v>
      </c>
      <c r="M40" s="5">
        <f>SUM(M41:M43)</f>
        <v>0</v>
      </c>
    </row>
    <row r="41" s="44" customFormat="1" ht="14.5" spans="2:13">
      <c r="B41" s="6"/>
      <c r="C41" s="7">
        <v>20.1</v>
      </c>
      <c r="D41" s="6" t="s">
        <v>42</v>
      </c>
      <c r="E41" s="12"/>
      <c r="F41" s="16">
        <v>0</v>
      </c>
      <c r="G41" s="5"/>
      <c r="H41" s="16">
        <v>0</v>
      </c>
      <c r="I41" s="19"/>
      <c r="J41" s="16">
        <v>0</v>
      </c>
      <c r="K41" s="5"/>
      <c r="L41" s="16">
        <v>0</v>
      </c>
      <c r="M41" s="5">
        <f t="shared" si="12"/>
        <v>0</v>
      </c>
    </row>
    <row r="42" s="44" customFormat="1" ht="14.5" spans="2:13">
      <c r="B42" s="6"/>
      <c r="C42" s="7">
        <v>20.2</v>
      </c>
      <c r="D42" s="6" t="s">
        <v>43</v>
      </c>
      <c r="E42" s="12"/>
      <c r="F42" s="16">
        <v>0</v>
      </c>
      <c r="G42" s="5"/>
      <c r="H42" s="16">
        <v>0</v>
      </c>
      <c r="I42" s="19"/>
      <c r="J42" s="16">
        <v>0</v>
      </c>
      <c r="K42" s="5"/>
      <c r="L42" s="16">
        <v>0</v>
      </c>
      <c r="M42" s="5">
        <f t="shared" si="12"/>
        <v>0</v>
      </c>
    </row>
    <row r="43" s="44" customFormat="1" ht="14.5" spans="2:13">
      <c r="B43" s="6"/>
      <c r="C43" s="7">
        <v>20.3</v>
      </c>
      <c r="D43" s="6" t="s">
        <v>44</v>
      </c>
      <c r="E43" s="12"/>
      <c r="F43" s="16">
        <v>0</v>
      </c>
      <c r="G43" s="5"/>
      <c r="H43" s="16">
        <v>0</v>
      </c>
      <c r="I43" s="19"/>
      <c r="J43" s="16">
        <v>0</v>
      </c>
      <c r="K43" s="5"/>
      <c r="L43" s="16">
        <v>0</v>
      </c>
      <c r="M43" s="5">
        <f t="shared" si="12"/>
        <v>0</v>
      </c>
    </row>
    <row r="44" s="44" customFormat="1" ht="20" spans="2:13">
      <c r="B44" s="3">
        <v>21</v>
      </c>
      <c r="C44" s="2"/>
      <c r="D44" s="2" t="s">
        <v>45</v>
      </c>
      <c r="E44" s="12"/>
      <c r="F44" s="5">
        <f t="shared" ref="F44:J44" si="14">SUM(F45:F46)</f>
        <v>0</v>
      </c>
      <c r="G44" s="5"/>
      <c r="H44" s="5">
        <f t="shared" si="14"/>
        <v>0</v>
      </c>
      <c r="I44" s="5"/>
      <c r="J44" s="5">
        <f t="shared" si="14"/>
        <v>13762</v>
      </c>
      <c r="K44" s="5"/>
      <c r="L44" s="5">
        <f>SUM(L45:L46)</f>
        <v>930267</v>
      </c>
      <c r="M44" s="5">
        <f>SUM(M45:M46)</f>
        <v>944029</v>
      </c>
    </row>
    <row r="45" s="44" customFormat="1" ht="14.5" spans="2:13">
      <c r="B45" s="6"/>
      <c r="C45" s="7">
        <v>21.1</v>
      </c>
      <c r="D45" s="6" t="s">
        <v>46</v>
      </c>
      <c r="E45" s="12"/>
      <c r="F45" s="17">
        <f>0</f>
        <v>0</v>
      </c>
      <c r="G45" s="5"/>
      <c r="H45" s="17">
        <f>0</f>
        <v>0</v>
      </c>
      <c r="I45" s="19"/>
      <c r="J45" s="16">
        <v>13762</v>
      </c>
      <c r="K45" s="5"/>
      <c r="L45" s="16">
        <v>930267</v>
      </c>
      <c r="M45" s="5">
        <f t="shared" ref="M45:M51" si="15">+F45+H45+J45+L45</f>
        <v>944029</v>
      </c>
    </row>
    <row r="46" s="44" customFormat="1" ht="14.5" spans="2:13">
      <c r="B46" s="6"/>
      <c r="C46" s="7">
        <v>21.2</v>
      </c>
      <c r="D46" s="6" t="s">
        <v>47</v>
      </c>
      <c r="E46" s="12"/>
      <c r="F46" s="17">
        <f>0</f>
        <v>0</v>
      </c>
      <c r="G46" s="5"/>
      <c r="H46" s="17">
        <f>0</f>
        <v>0</v>
      </c>
      <c r="I46" s="19"/>
      <c r="J46" s="16">
        <v>0</v>
      </c>
      <c r="K46" s="5"/>
      <c r="L46" s="16">
        <v>0</v>
      </c>
      <c r="M46" s="5">
        <f t="shared" si="15"/>
        <v>0</v>
      </c>
    </row>
    <row r="47" s="44" customFormat="1" ht="14.5" spans="2:13">
      <c r="B47" s="3">
        <v>22</v>
      </c>
      <c r="C47" s="2"/>
      <c r="D47" s="2" t="s">
        <v>48</v>
      </c>
      <c r="E47" s="12"/>
      <c r="F47" s="5">
        <f t="shared" ref="F47:J47" si="16">SUM(F48:F51)</f>
        <v>0</v>
      </c>
      <c r="G47" s="5"/>
      <c r="H47" s="5">
        <f t="shared" si="16"/>
        <v>0</v>
      </c>
      <c r="I47" s="5"/>
      <c r="J47" s="5">
        <f t="shared" si="16"/>
        <v>0</v>
      </c>
      <c r="K47" s="5"/>
      <c r="L47" s="5">
        <f>SUM(L48:L51)</f>
        <v>3828</v>
      </c>
      <c r="M47" s="5">
        <f>SUM(M48:M51)</f>
        <v>3828</v>
      </c>
    </row>
    <row r="48" s="44" customFormat="1" ht="20" spans="2:13">
      <c r="B48" s="6"/>
      <c r="C48" s="7">
        <v>22.1</v>
      </c>
      <c r="D48" s="6" t="s">
        <v>49</v>
      </c>
      <c r="E48" s="12"/>
      <c r="F48" s="9">
        <v>0</v>
      </c>
      <c r="G48" s="5"/>
      <c r="H48" s="9">
        <v>0</v>
      </c>
      <c r="I48" s="19"/>
      <c r="J48" s="9">
        <v>0</v>
      </c>
      <c r="K48" s="5"/>
      <c r="L48" s="9">
        <v>3828</v>
      </c>
      <c r="M48" s="5">
        <f t="shared" si="15"/>
        <v>3828</v>
      </c>
    </row>
    <row r="49" s="44" customFormat="1" ht="14.5" spans="2:13">
      <c r="B49" s="6"/>
      <c r="C49" s="7">
        <v>22.2</v>
      </c>
      <c r="D49" s="6" t="s">
        <v>50</v>
      </c>
      <c r="E49" s="12"/>
      <c r="F49" s="9">
        <v>0</v>
      </c>
      <c r="G49" s="18"/>
      <c r="H49" s="9">
        <v>0</v>
      </c>
      <c r="I49" s="19"/>
      <c r="J49" s="9">
        <v>0</v>
      </c>
      <c r="K49" s="5"/>
      <c r="L49" s="9">
        <v>0</v>
      </c>
      <c r="M49" s="5">
        <f t="shared" si="15"/>
        <v>0</v>
      </c>
    </row>
    <row r="50" s="44" customFormat="1" ht="14.5" spans="2:13">
      <c r="B50" s="6"/>
      <c r="C50" s="7">
        <v>22.3</v>
      </c>
      <c r="D50" s="6" t="s">
        <v>51</v>
      </c>
      <c r="E50" s="12"/>
      <c r="F50" s="9">
        <v>0</v>
      </c>
      <c r="G50" s="19"/>
      <c r="H50" s="9">
        <v>0</v>
      </c>
      <c r="I50" s="19"/>
      <c r="J50" s="9">
        <v>0</v>
      </c>
      <c r="K50" s="18"/>
      <c r="L50" s="9">
        <v>0</v>
      </c>
      <c r="M50" s="5">
        <f t="shared" si="15"/>
        <v>0</v>
      </c>
    </row>
    <row r="51" s="44" customFormat="1" ht="14.5" spans="2:13">
      <c r="B51" s="6"/>
      <c r="C51" s="7">
        <v>22.4</v>
      </c>
      <c r="D51" s="6" t="s">
        <v>37</v>
      </c>
      <c r="E51" s="12"/>
      <c r="F51" s="9">
        <v>0</v>
      </c>
      <c r="G51" s="19"/>
      <c r="H51" s="9">
        <v>0</v>
      </c>
      <c r="I51" s="19"/>
      <c r="J51" s="9">
        <v>0</v>
      </c>
      <c r="K51" s="19"/>
      <c r="L51" s="9">
        <v>0</v>
      </c>
      <c r="M51" s="5">
        <f t="shared" si="15"/>
        <v>0</v>
      </c>
    </row>
    <row r="52" s="44" customFormat="1" ht="14.5" spans="2:13">
      <c r="B52" s="3">
        <v>23</v>
      </c>
      <c r="C52" s="2"/>
      <c r="D52" s="2" t="s">
        <v>52</v>
      </c>
      <c r="E52" s="12"/>
      <c r="F52" s="5">
        <f t="shared" ref="F52:J52" si="17">SUM(F53:F54)</f>
        <v>0</v>
      </c>
      <c r="G52" s="5"/>
      <c r="H52" s="5">
        <f t="shared" si="17"/>
        <v>0</v>
      </c>
      <c r="I52" s="5"/>
      <c r="J52" s="5">
        <f t="shared" si="17"/>
        <v>0</v>
      </c>
      <c r="K52" s="5"/>
      <c r="L52" s="5">
        <f>SUM(L53:L54)</f>
        <v>0</v>
      </c>
      <c r="M52" s="5">
        <f>SUM(M53:M54)</f>
        <v>0</v>
      </c>
    </row>
    <row r="53" s="44" customFormat="1" ht="14.5" spans="2:13">
      <c r="B53" s="6"/>
      <c r="C53" s="7">
        <v>23.1</v>
      </c>
      <c r="D53" s="6" t="s">
        <v>53</v>
      </c>
      <c r="E53" s="12"/>
      <c r="F53" s="16">
        <v>0</v>
      </c>
      <c r="G53" s="20"/>
      <c r="H53" s="16">
        <v>0</v>
      </c>
      <c r="I53" s="20"/>
      <c r="J53" s="16">
        <v>0</v>
      </c>
      <c r="K53" s="20"/>
      <c r="L53" s="16">
        <v>0</v>
      </c>
      <c r="M53" s="5">
        <f t="shared" ref="M53:M55" si="18">+F53+H53+J53+L53</f>
        <v>0</v>
      </c>
    </row>
    <row r="54" s="44" customFormat="1" ht="14.5" spans="2:13">
      <c r="B54" s="6"/>
      <c r="C54" s="7">
        <v>23.2</v>
      </c>
      <c r="D54" s="6" t="s">
        <v>54</v>
      </c>
      <c r="E54" s="12"/>
      <c r="F54" s="16">
        <v>0</v>
      </c>
      <c r="G54" s="20"/>
      <c r="H54" s="16">
        <v>0</v>
      </c>
      <c r="I54" s="20"/>
      <c r="J54" s="16">
        <v>0</v>
      </c>
      <c r="K54" s="20"/>
      <c r="L54" s="16">
        <v>0</v>
      </c>
      <c r="M54" s="5">
        <f t="shared" si="18"/>
        <v>0</v>
      </c>
    </row>
    <row r="55" s="44" customFormat="1" ht="14.5" spans="2:13">
      <c r="B55" s="3">
        <v>24</v>
      </c>
      <c r="C55" s="2"/>
      <c r="D55" s="2" t="s">
        <v>55</v>
      </c>
      <c r="E55" s="21"/>
      <c r="F55" s="16">
        <v>0</v>
      </c>
      <c r="G55" s="20"/>
      <c r="H55" s="16">
        <v>0</v>
      </c>
      <c r="I55" s="20"/>
      <c r="J55" s="17">
        <f>0</f>
        <v>0</v>
      </c>
      <c r="K55" s="20"/>
      <c r="L55" s="17">
        <f>0</f>
        <v>0</v>
      </c>
      <c r="M55" s="5">
        <f t="shared" si="18"/>
        <v>0</v>
      </c>
    </row>
    <row r="56" s="44" customFormat="1" ht="14.5" spans="2:13">
      <c r="B56" s="3">
        <v>25</v>
      </c>
      <c r="C56" s="2"/>
      <c r="D56" s="2" t="s">
        <v>56</v>
      </c>
      <c r="E56" s="21"/>
      <c r="F56" s="5">
        <f t="shared" ref="F56:J56" si="19">SUM(F57:F65)-F58</f>
        <v>2318123</v>
      </c>
      <c r="G56" s="5"/>
      <c r="H56" s="5">
        <f t="shared" si="19"/>
        <v>461165</v>
      </c>
      <c r="I56" s="5"/>
      <c r="J56" s="5">
        <f t="shared" si="19"/>
        <v>79993</v>
      </c>
      <c r="K56" s="5"/>
      <c r="L56" s="5">
        <f>SUM(L57:L65)-L58</f>
        <v>1310621</v>
      </c>
      <c r="M56" s="5">
        <f>SUM(M57:M65)-M58</f>
        <v>4169902</v>
      </c>
    </row>
    <row r="57" s="44" customFormat="1" ht="14.5" spans="2:13">
      <c r="B57" s="6"/>
      <c r="C57" s="7">
        <v>25.1</v>
      </c>
      <c r="D57" s="22" t="s">
        <v>57</v>
      </c>
      <c r="E57" s="21"/>
      <c r="F57" s="15">
        <v>1389325</v>
      </c>
      <c r="G57" s="20"/>
      <c r="H57" s="15">
        <v>322236</v>
      </c>
      <c r="I57" s="20"/>
      <c r="J57" s="15">
        <v>0</v>
      </c>
      <c r="K57" s="20"/>
      <c r="L57" s="15">
        <v>862255</v>
      </c>
      <c r="M57" s="5">
        <f t="shared" ref="M57:M95" si="20">+F57+H57+J57+L57</f>
        <v>2573816</v>
      </c>
    </row>
    <row r="58" s="44" customFormat="1" ht="14.5" spans="2:13">
      <c r="B58" s="6"/>
      <c r="C58" s="7">
        <v>25.2</v>
      </c>
      <c r="D58" s="6" t="s">
        <v>58</v>
      </c>
      <c r="E58" s="21"/>
      <c r="F58" s="5">
        <f t="shared" ref="F58:J58" si="21">SUM(F59:F61)</f>
        <v>236236</v>
      </c>
      <c r="G58" s="5"/>
      <c r="H58" s="5">
        <f t="shared" si="21"/>
        <v>0</v>
      </c>
      <c r="I58" s="5"/>
      <c r="J58" s="5">
        <f t="shared" si="21"/>
        <v>0</v>
      </c>
      <c r="K58" s="5"/>
      <c r="L58" s="5">
        <f>SUM(L59:L61)</f>
        <v>0</v>
      </c>
      <c r="M58" s="5">
        <f t="shared" si="20"/>
        <v>236236</v>
      </c>
    </row>
    <row r="59" s="44" customFormat="1" ht="14.5" spans="2:13">
      <c r="B59" s="6"/>
      <c r="C59" s="10" t="s">
        <v>59</v>
      </c>
      <c r="D59" s="24" t="s">
        <v>60</v>
      </c>
      <c r="E59" s="12"/>
      <c r="F59" s="9">
        <v>0</v>
      </c>
      <c r="G59" s="21"/>
      <c r="H59" s="9">
        <v>0</v>
      </c>
      <c r="I59" s="21"/>
      <c r="J59" s="9">
        <v>0</v>
      </c>
      <c r="K59" s="20"/>
      <c r="L59" s="9">
        <v>0</v>
      </c>
      <c r="M59" s="5">
        <f t="shared" si="20"/>
        <v>0</v>
      </c>
    </row>
    <row r="60" s="44" customFormat="1" ht="20" spans="2:13">
      <c r="B60" s="6"/>
      <c r="C60" s="10" t="s">
        <v>61</v>
      </c>
      <c r="D60" s="26" t="s">
        <v>62</v>
      </c>
      <c r="E60" s="12"/>
      <c r="F60" s="9">
        <v>0</v>
      </c>
      <c r="G60" s="21"/>
      <c r="H60" s="9">
        <v>0</v>
      </c>
      <c r="I60" s="21"/>
      <c r="J60" s="9">
        <v>0</v>
      </c>
      <c r="K60" s="20"/>
      <c r="L60" s="9">
        <v>0</v>
      </c>
      <c r="M60" s="5">
        <f t="shared" si="20"/>
        <v>0</v>
      </c>
    </row>
    <row r="61" s="44" customFormat="1" ht="20" spans="2:13">
      <c r="B61" s="6"/>
      <c r="C61" s="28" t="s">
        <v>63</v>
      </c>
      <c r="D61" s="26" t="s">
        <v>64</v>
      </c>
      <c r="E61" s="12"/>
      <c r="F61" s="9">
        <v>236236</v>
      </c>
      <c r="G61" s="21"/>
      <c r="H61" s="9">
        <v>0</v>
      </c>
      <c r="I61" s="21"/>
      <c r="J61" s="9">
        <v>0</v>
      </c>
      <c r="K61" s="21"/>
      <c r="L61" s="9">
        <v>0</v>
      </c>
      <c r="M61" s="5">
        <f t="shared" si="20"/>
        <v>236236</v>
      </c>
    </row>
    <row r="62" s="44" customFormat="1" ht="14.5" spans="2:13">
      <c r="B62" s="6"/>
      <c r="C62" s="7">
        <v>25.3</v>
      </c>
      <c r="D62" s="6" t="s">
        <v>65</v>
      </c>
      <c r="E62" s="12"/>
      <c r="F62" s="9">
        <v>612292</v>
      </c>
      <c r="G62" s="21"/>
      <c r="H62" s="9">
        <v>138929</v>
      </c>
      <c r="I62" s="21"/>
      <c r="J62" s="9">
        <v>0</v>
      </c>
      <c r="K62" s="21"/>
      <c r="L62" s="9">
        <v>430001</v>
      </c>
      <c r="M62" s="5">
        <f t="shared" si="20"/>
        <v>1181222</v>
      </c>
    </row>
    <row r="63" s="44" customFormat="1" ht="14.5" spans="2:13">
      <c r="B63" s="6"/>
      <c r="C63" s="7">
        <v>25.4</v>
      </c>
      <c r="D63" s="6" t="s">
        <v>66</v>
      </c>
      <c r="E63" s="29"/>
      <c r="F63" s="9">
        <v>6295</v>
      </c>
      <c r="G63" s="21"/>
      <c r="H63" s="9">
        <v>0</v>
      </c>
      <c r="I63" s="21"/>
      <c r="J63" s="9">
        <v>79993</v>
      </c>
      <c r="K63" s="21"/>
      <c r="L63" s="9">
        <v>18365</v>
      </c>
      <c r="M63" s="5">
        <f t="shared" si="20"/>
        <v>104653</v>
      </c>
    </row>
    <row r="64" s="44" customFormat="1" ht="14.5" spans="2:13">
      <c r="B64" s="6"/>
      <c r="C64" s="7">
        <v>25.5</v>
      </c>
      <c r="D64" s="6" t="s">
        <v>67</v>
      </c>
      <c r="E64" s="12"/>
      <c r="F64" s="9">
        <v>26431</v>
      </c>
      <c r="G64" s="21"/>
      <c r="H64" s="9">
        <v>0</v>
      </c>
      <c r="I64" s="21"/>
      <c r="J64" s="38">
        <v>0</v>
      </c>
      <c r="K64" s="21"/>
      <c r="L64" s="38">
        <v>0</v>
      </c>
      <c r="M64" s="5">
        <f t="shared" si="20"/>
        <v>26431</v>
      </c>
    </row>
    <row r="65" s="44" customFormat="1" ht="14.5" spans="2:13">
      <c r="B65" s="6"/>
      <c r="C65" s="7">
        <v>25.6</v>
      </c>
      <c r="D65" s="6" t="s">
        <v>68</v>
      </c>
      <c r="E65" s="30"/>
      <c r="F65" s="9">
        <v>47544</v>
      </c>
      <c r="G65" s="21"/>
      <c r="H65" s="9">
        <v>0</v>
      </c>
      <c r="I65" s="21"/>
      <c r="J65" s="38">
        <v>0</v>
      </c>
      <c r="K65" s="21"/>
      <c r="L65" s="38">
        <v>0</v>
      </c>
      <c r="M65" s="5">
        <f t="shared" si="20"/>
        <v>47544</v>
      </c>
    </row>
    <row r="66" s="44" customFormat="1" ht="14.5" spans="2:13">
      <c r="B66" s="3">
        <v>26</v>
      </c>
      <c r="C66" s="2"/>
      <c r="D66" s="2" t="s">
        <v>69</v>
      </c>
      <c r="E66" s="12"/>
      <c r="F66" s="5">
        <f t="shared" ref="F66:J66" si="22">SUM(F67:F75)</f>
        <v>305504</v>
      </c>
      <c r="G66" s="5"/>
      <c r="H66" s="5">
        <f t="shared" si="22"/>
        <v>216255</v>
      </c>
      <c r="I66" s="5"/>
      <c r="J66" s="5">
        <f t="shared" si="22"/>
        <v>0</v>
      </c>
      <c r="K66" s="5"/>
      <c r="L66" s="5">
        <f>SUM(L67:L75)</f>
        <v>14986</v>
      </c>
      <c r="M66" s="5">
        <f t="shared" si="20"/>
        <v>536745</v>
      </c>
    </row>
    <row r="67" s="44" customFormat="1" ht="14.5" spans="2:13">
      <c r="B67" s="6"/>
      <c r="C67" s="7">
        <v>26.1</v>
      </c>
      <c r="D67" s="6" t="s">
        <v>70</v>
      </c>
      <c r="E67" s="12"/>
      <c r="F67" s="31">
        <v>97915</v>
      </c>
      <c r="G67" s="32"/>
      <c r="H67" s="31">
        <v>51233</v>
      </c>
      <c r="I67" s="32"/>
      <c r="J67" s="31">
        <v>0</v>
      </c>
      <c r="K67" s="32"/>
      <c r="L67" s="31">
        <v>14986</v>
      </c>
      <c r="M67" s="5">
        <f t="shared" si="20"/>
        <v>164134</v>
      </c>
    </row>
    <row r="68" s="44" customFormat="1" ht="14.5" spans="2:13">
      <c r="B68" s="6"/>
      <c r="C68" s="7">
        <v>26.2</v>
      </c>
      <c r="D68" s="6" t="s">
        <v>71</v>
      </c>
      <c r="E68" s="12"/>
      <c r="F68" s="31">
        <v>60000</v>
      </c>
      <c r="G68" s="32"/>
      <c r="H68" s="31">
        <v>0</v>
      </c>
      <c r="I68" s="32"/>
      <c r="J68" s="31">
        <v>0</v>
      </c>
      <c r="K68" s="32"/>
      <c r="L68" s="31">
        <v>0</v>
      </c>
      <c r="M68" s="5">
        <f t="shared" si="20"/>
        <v>60000</v>
      </c>
    </row>
    <row r="69" s="44" customFormat="1" ht="14.5" spans="2:13">
      <c r="B69" s="6"/>
      <c r="C69" s="7">
        <v>26.3</v>
      </c>
      <c r="D69" s="6" t="s">
        <v>72</v>
      </c>
      <c r="E69" s="33"/>
      <c r="F69" s="31">
        <v>147589</v>
      </c>
      <c r="G69" s="34"/>
      <c r="H69" s="31">
        <v>165022</v>
      </c>
      <c r="I69" s="34"/>
      <c r="J69" s="31">
        <v>0</v>
      </c>
      <c r="K69" s="34"/>
      <c r="L69" s="31">
        <v>0</v>
      </c>
      <c r="M69" s="5">
        <f t="shared" si="20"/>
        <v>312611</v>
      </c>
    </row>
    <row r="70" s="44" customFormat="1" ht="14.5" spans="2:13">
      <c r="B70" s="6"/>
      <c r="C70" s="7">
        <v>26.4</v>
      </c>
      <c r="D70" s="6" t="s">
        <v>73</v>
      </c>
      <c r="E70" s="35"/>
      <c r="F70" s="9">
        <v>0</v>
      </c>
      <c r="G70" s="36"/>
      <c r="H70" s="9">
        <v>0</v>
      </c>
      <c r="I70" s="36"/>
      <c r="J70" s="9">
        <v>0</v>
      </c>
      <c r="K70" s="32"/>
      <c r="L70" s="9">
        <v>0</v>
      </c>
      <c r="M70" s="5">
        <f t="shared" si="20"/>
        <v>0</v>
      </c>
    </row>
    <row r="71" s="44" customFormat="1" ht="14.5" spans="2:13">
      <c r="B71" s="6"/>
      <c r="C71" s="7">
        <v>26.5</v>
      </c>
      <c r="D71" s="6" t="s">
        <v>74</v>
      </c>
      <c r="E71" s="35"/>
      <c r="F71" s="9">
        <v>0</v>
      </c>
      <c r="G71" s="36"/>
      <c r="H71" s="9">
        <v>0</v>
      </c>
      <c r="I71" s="36"/>
      <c r="J71" s="9">
        <v>0</v>
      </c>
      <c r="K71" s="36"/>
      <c r="L71" s="9">
        <v>0</v>
      </c>
      <c r="M71" s="5">
        <f t="shared" si="20"/>
        <v>0</v>
      </c>
    </row>
    <row r="72" s="44" customFormat="1" ht="14.5" spans="2:13">
      <c r="B72" s="6"/>
      <c r="C72" s="7">
        <v>26.6</v>
      </c>
      <c r="D72" s="6" t="s">
        <v>75</v>
      </c>
      <c r="E72" s="35"/>
      <c r="F72" s="39">
        <v>0</v>
      </c>
      <c r="G72" s="36"/>
      <c r="H72" s="39">
        <v>0</v>
      </c>
      <c r="I72" s="36"/>
      <c r="J72" s="39">
        <v>0</v>
      </c>
      <c r="K72" s="36"/>
      <c r="L72" s="39">
        <v>0</v>
      </c>
      <c r="M72" s="5">
        <f t="shared" si="20"/>
        <v>0</v>
      </c>
    </row>
    <row r="73" s="44" customFormat="1" ht="14.5" spans="2:13">
      <c r="B73" s="6"/>
      <c r="C73" s="7">
        <v>26.7</v>
      </c>
      <c r="D73" s="6" t="s">
        <v>76</v>
      </c>
      <c r="E73" s="35"/>
      <c r="F73" s="39">
        <v>0</v>
      </c>
      <c r="G73" s="36"/>
      <c r="H73" s="39">
        <v>0</v>
      </c>
      <c r="I73" s="36"/>
      <c r="J73" s="39">
        <v>0</v>
      </c>
      <c r="K73" s="36"/>
      <c r="L73" s="39">
        <v>0</v>
      </c>
      <c r="M73" s="5">
        <f t="shared" si="20"/>
        <v>0</v>
      </c>
    </row>
    <row r="74" s="44" customFormat="1" ht="14.5" spans="2:13">
      <c r="B74" s="6"/>
      <c r="C74" s="7">
        <v>26.8</v>
      </c>
      <c r="D74" s="6" t="s">
        <v>77</v>
      </c>
      <c r="E74" s="35"/>
      <c r="F74" s="39">
        <v>0</v>
      </c>
      <c r="G74" s="5"/>
      <c r="H74" s="39">
        <v>0</v>
      </c>
      <c r="I74" s="5"/>
      <c r="J74" s="39">
        <v>0</v>
      </c>
      <c r="K74" s="5"/>
      <c r="L74" s="39">
        <v>0</v>
      </c>
      <c r="M74" s="5">
        <f t="shared" si="20"/>
        <v>0</v>
      </c>
    </row>
    <row r="75" s="44" customFormat="1" ht="14.5" spans="2:13">
      <c r="B75" s="6"/>
      <c r="C75" s="7">
        <v>26.9</v>
      </c>
      <c r="D75" s="6" t="s">
        <v>78</v>
      </c>
      <c r="E75" s="35"/>
      <c r="F75" s="40">
        <v>0</v>
      </c>
      <c r="G75" s="41"/>
      <c r="H75" s="40">
        <v>0</v>
      </c>
      <c r="I75" s="41"/>
      <c r="J75" s="40">
        <v>0</v>
      </c>
      <c r="K75" s="41"/>
      <c r="L75" s="40">
        <v>0</v>
      </c>
      <c r="M75" s="34">
        <f t="shared" si="20"/>
        <v>0</v>
      </c>
    </row>
    <row r="76" s="44" customFormat="1" ht="14.5" spans="2:13">
      <c r="B76" s="3">
        <v>27</v>
      </c>
      <c r="C76" s="2"/>
      <c r="D76" s="2" t="s">
        <v>79</v>
      </c>
      <c r="E76" s="42"/>
      <c r="F76" s="5">
        <f t="shared" ref="F76:J76" si="23">SUM(F77:F83)</f>
        <v>0</v>
      </c>
      <c r="G76" s="5"/>
      <c r="H76" s="5">
        <f t="shared" si="23"/>
        <v>0</v>
      </c>
      <c r="I76" s="5"/>
      <c r="J76" s="5">
        <f t="shared" si="23"/>
        <v>0</v>
      </c>
      <c r="K76" s="5"/>
      <c r="L76" s="5">
        <f>SUM(L77:L83)</f>
        <v>0</v>
      </c>
      <c r="M76" s="34">
        <f t="shared" si="20"/>
        <v>0</v>
      </c>
    </row>
    <row r="77" s="44" customFormat="1" ht="14.5" spans="2:13">
      <c r="B77" s="6"/>
      <c r="C77" s="7">
        <v>27.1</v>
      </c>
      <c r="D77" s="6" t="s">
        <v>80</v>
      </c>
      <c r="E77" s="42"/>
      <c r="F77" s="9">
        <v>0</v>
      </c>
      <c r="G77" s="29"/>
      <c r="H77" s="9">
        <v>0</v>
      </c>
      <c r="I77" s="29"/>
      <c r="J77" s="9">
        <v>0</v>
      </c>
      <c r="K77" s="29"/>
      <c r="L77" s="9">
        <v>0</v>
      </c>
      <c r="M77" s="5">
        <f t="shared" si="20"/>
        <v>0</v>
      </c>
    </row>
    <row r="78" s="44" customFormat="1" ht="14.5" spans="2:13">
      <c r="B78" s="6"/>
      <c r="C78" s="7">
        <v>27.2</v>
      </c>
      <c r="D78" s="6" t="s">
        <v>81</v>
      </c>
      <c r="E78" s="42"/>
      <c r="F78" s="9">
        <v>0</v>
      </c>
      <c r="G78" s="29"/>
      <c r="H78" s="9">
        <v>0</v>
      </c>
      <c r="I78" s="29"/>
      <c r="J78" s="9">
        <v>0</v>
      </c>
      <c r="K78" s="29"/>
      <c r="L78" s="9">
        <v>0</v>
      </c>
      <c r="M78" s="5">
        <f t="shared" si="20"/>
        <v>0</v>
      </c>
    </row>
    <row r="79" s="44" customFormat="1" ht="20" spans="2:13">
      <c r="B79" s="6"/>
      <c r="C79" s="7">
        <v>27.3</v>
      </c>
      <c r="D79" s="6" t="s">
        <v>82</v>
      </c>
      <c r="E79" s="42"/>
      <c r="F79" s="9">
        <v>0</v>
      </c>
      <c r="G79" s="29"/>
      <c r="H79" s="9">
        <v>0</v>
      </c>
      <c r="I79" s="29"/>
      <c r="J79" s="9">
        <v>0</v>
      </c>
      <c r="K79" s="29"/>
      <c r="L79" s="9">
        <v>0</v>
      </c>
      <c r="M79" s="5">
        <f t="shared" si="20"/>
        <v>0</v>
      </c>
    </row>
    <row r="80" s="44" customFormat="1" ht="14.5" spans="2:13">
      <c r="B80" s="6"/>
      <c r="C80" s="7">
        <v>27.4</v>
      </c>
      <c r="D80" s="6" t="s">
        <v>83</v>
      </c>
      <c r="E80" s="42"/>
      <c r="F80" s="9">
        <v>0</v>
      </c>
      <c r="G80" s="29"/>
      <c r="H80" s="9">
        <v>0</v>
      </c>
      <c r="I80" s="29"/>
      <c r="J80" s="9">
        <v>0</v>
      </c>
      <c r="K80" s="29"/>
      <c r="L80" s="9">
        <v>0</v>
      </c>
      <c r="M80" s="5">
        <f t="shared" si="20"/>
        <v>0</v>
      </c>
    </row>
    <row r="81" s="44" customFormat="1" ht="14.5" spans="2:13">
      <c r="B81" s="6"/>
      <c r="C81" s="7">
        <v>27.5</v>
      </c>
      <c r="D81" s="6" t="s">
        <v>84</v>
      </c>
      <c r="E81" s="12"/>
      <c r="F81" s="16">
        <v>0</v>
      </c>
      <c r="G81" s="29"/>
      <c r="H81" s="16">
        <v>0</v>
      </c>
      <c r="I81" s="29"/>
      <c r="J81" s="16">
        <v>0</v>
      </c>
      <c r="K81" s="29"/>
      <c r="L81" s="16">
        <v>0</v>
      </c>
      <c r="M81" s="5">
        <f t="shared" si="20"/>
        <v>0</v>
      </c>
    </row>
    <row r="82" s="44" customFormat="1" ht="14.5" spans="2:13">
      <c r="B82" s="6"/>
      <c r="C82" s="7">
        <v>27.6</v>
      </c>
      <c r="D82" s="6" t="s">
        <v>85</v>
      </c>
      <c r="E82" s="12"/>
      <c r="F82" s="16">
        <v>0</v>
      </c>
      <c r="G82" s="29"/>
      <c r="H82" s="16">
        <v>0</v>
      </c>
      <c r="I82" s="29"/>
      <c r="J82" s="16">
        <v>0</v>
      </c>
      <c r="K82" s="29"/>
      <c r="L82" s="16">
        <v>0</v>
      </c>
      <c r="M82" s="5">
        <f t="shared" si="20"/>
        <v>0</v>
      </c>
    </row>
    <row r="83" s="44" customFormat="1" ht="14.5" spans="2:13">
      <c r="B83" s="6"/>
      <c r="C83" s="7">
        <v>27.7</v>
      </c>
      <c r="D83" s="6" t="s">
        <v>86</v>
      </c>
      <c r="E83" s="29"/>
      <c r="F83" s="16">
        <v>0</v>
      </c>
      <c r="G83" s="29"/>
      <c r="H83" s="16">
        <v>0</v>
      </c>
      <c r="I83" s="29"/>
      <c r="J83" s="16">
        <v>0</v>
      </c>
      <c r="K83" s="29"/>
      <c r="L83" s="16">
        <v>0</v>
      </c>
      <c r="M83" s="5">
        <f t="shared" si="20"/>
        <v>0</v>
      </c>
    </row>
    <row r="84" s="44" customFormat="1" ht="14.5" spans="2:13">
      <c r="B84" s="3">
        <v>28</v>
      </c>
      <c r="C84" s="2"/>
      <c r="D84" s="2" t="s">
        <v>87</v>
      </c>
      <c r="E84" s="12"/>
      <c r="F84" s="5">
        <f t="shared" ref="F84:J84" si="24">+F85+F88+F95</f>
        <v>2661445</v>
      </c>
      <c r="G84" s="5"/>
      <c r="H84" s="5">
        <f t="shared" si="24"/>
        <v>0</v>
      </c>
      <c r="I84" s="5"/>
      <c r="J84" s="5">
        <f t="shared" si="24"/>
        <v>0</v>
      </c>
      <c r="K84" s="5"/>
      <c r="L84" s="5">
        <f>+L85+L88+L95</f>
        <v>0</v>
      </c>
      <c r="M84" s="5">
        <f t="shared" si="20"/>
        <v>2661445</v>
      </c>
    </row>
    <row r="85" s="44" customFormat="1" ht="14.5" spans="2:13">
      <c r="B85" s="6"/>
      <c r="C85" s="7">
        <v>28.1</v>
      </c>
      <c r="D85" s="6" t="s">
        <v>88</v>
      </c>
      <c r="E85" s="12"/>
      <c r="F85" s="5">
        <f t="shared" ref="F85:J85" si="25">SUM(F86:F87)</f>
        <v>760000</v>
      </c>
      <c r="G85" s="5"/>
      <c r="H85" s="5">
        <f t="shared" si="25"/>
        <v>0</v>
      </c>
      <c r="I85" s="5"/>
      <c r="J85" s="5">
        <f t="shared" si="25"/>
        <v>0</v>
      </c>
      <c r="K85" s="5"/>
      <c r="L85" s="5">
        <f>SUM(L86:L87)</f>
        <v>0</v>
      </c>
      <c r="M85" s="5">
        <f t="shared" si="20"/>
        <v>760000</v>
      </c>
    </row>
    <row r="86" s="44" customFormat="1" ht="14.5" spans="2:13">
      <c r="B86" s="6"/>
      <c r="C86" s="10" t="s">
        <v>89</v>
      </c>
      <c r="D86" s="6" t="s">
        <v>90</v>
      </c>
      <c r="E86" s="30"/>
      <c r="F86" s="39">
        <v>760000</v>
      </c>
      <c r="G86" s="36"/>
      <c r="H86" s="39">
        <v>0</v>
      </c>
      <c r="I86" s="36"/>
      <c r="J86" s="39">
        <v>0</v>
      </c>
      <c r="K86" s="36"/>
      <c r="L86" s="39">
        <v>0</v>
      </c>
      <c r="M86" s="5">
        <f t="shared" si="20"/>
        <v>760000</v>
      </c>
    </row>
    <row r="87" s="44" customFormat="1" ht="14.5" spans="2:13">
      <c r="B87" s="6"/>
      <c r="C87" s="10" t="s">
        <v>91</v>
      </c>
      <c r="D87" s="6" t="s">
        <v>92</v>
      </c>
      <c r="E87" s="12"/>
      <c r="F87" s="39">
        <v>0</v>
      </c>
      <c r="G87" s="36"/>
      <c r="H87" s="39">
        <v>0</v>
      </c>
      <c r="I87" s="36"/>
      <c r="J87" s="39">
        <v>0</v>
      </c>
      <c r="K87" s="36"/>
      <c r="L87" s="39">
        <v>0</v>
      </c>
      <c r="M87" s="5">
        <f t="shared" si="20"/>
        <v>0</v>
      </c>
    </row>
    <row r="88" s="44" customFormat="1" ht="14.5" spans="2:13">
      <c r="B88" s="6"/>
      <c r="C88" s="7">
        <v>28.2</v>
      </c>
      <c r="D88" s="6" t="s">
        <v>93</v>
      </c>
      <c r="E88" s="43"/>
      <c r="F88" s="5">
        <f t="shared" ref="F88:J88" si="26">SUM(F89:F94)</f>
        <v>1901445</v>
      </c>
      <c r="G88" s="5"/>
      <c r="H88" s="5">
        <f t="shared" si="26"/>
        <v>0</v>
      </c>
      <c r="I88" s="5"/>
      <c r="J88" s="5">
        <f t="shared" si="26"/>
        <v>0</v>
      </c>
      <c r="K88" s="5"/>
      <c r="L88" s="5">
        <f>SUM(L89:L94)</f>
        <v>0</v>
      </c>
      <c r="M88" s="5">
        <f t="shared" si="20"/>
        <v>1901445</v>
      </c>
    </row>
    <row r="89" s="44" customFormat="1" ht="14.5" spans="2:13">
      <c r="B89" s="6"/>
      <c r="C89" s="10" t="s">
        <v>94</v>
      </c>
      <c r="D89" s="6" t="s">
        <v>95</v>
      </c>
      <c r="E89" s="29"/>
      <c r="F89" s="9">
        <v>97950</v>
      </c>
      <c r="G89" s="29"/>
      <c r="H89" s="9">
        <v>0</v>
      </c>
      <c r="I89" s="29"/>
      <c r="J89" s="9">
        <v>0</v>
      </c>
      <c r="K89" s="29"/>
      <c r="L89" s="9">
        <v>0</v>
      </c>
      <c r="M89" s="5">
        <f t="shared" si="20"/>
        <v>97950</v>
      </c>
    </row>
    <row r="90" s="44" customFormat="1" ht="14.5" spans="2:13">
      <c r="B90" s="6"/>
      <c r="C90" s="10" t="s">
        <v>96</v>
      </c>
      <c r="D90" s="6" t="s">
        <v>97</v>
      </c>
      <c r="E90" s="29"/>
      <c r="F90" s="9">
        <v>0</v>
      </c>
      <c r="G90" s="29"/>
      <c r="H90" s="9">
        <v>0</v>
      </c>
      <c r="I90" s="29"/>
      <c r="J90" s="9">
        <v>0</v>
      </c>
      <c r="K90" s="29"/>
      <c r="L90" s="9">
        <v>0</v>
      </c>
      <c r="M90" s="5">
        <f t="shared" si="20"/>
        <v>0</v>
      </c>
    </row>
    <row r="91" s="44" customFormat="1" ht="14.5" spans="2:13">
      <c r="B91" s="6"/>
      <c r="C91" s="10" t="s">
        <v>98</v>
      </c>
      <c r="D91" s="6" t="s">
        <v>99</v>
      </c>
      <c r="E91" s="29"/>
      <c r="F91" s="9">
        <v>0</v>
      </c>
      <c r="G91" s="29"/>
      <c r="H91" s="9">
        <v>0</v>
      </c>
      <c r="I91" s="29"/>
      <c r="J91" s="9">
        <v>0</v>
      </c>
      <c r="K91" s="29"/>
      <c r="L91" s="9">
        <v>0</v>
      </c>
      <c r="M91" s="5">
        <f t="shared" si="20"/>
        <v>0</v>
      </c>
    </row>
    <row r="92" s="44" customFormat="1" ht="14.5" spans="2:13">
      <c r="B92" s="6"/>
      <c r="C92" s="10" t="s">
        <v>100</v>
      </c>
      <c r="D92" s="22" t="s">
        <v>101</v>
      </c>
      <c r="E92" s="29"/>
      <c r="F92" s="9">
        <v>0</v>
      </c>
      <c r="G92" s="29"/>
      <c r="H92" s="9">
        <v>0</v>
      </c>
      <c r="I92" s="29"/>
      <c r="J92" s="9">
        <v>0</v>
      </c>
      <c r="K92" s="29"/>
      <c r="L92" s="9">
        <v>0</v>
      </c>
      <c r="M92" s="5">
        <f t="shared" si="20"/>
        <v>0</v>
      </c>
    </row>
    <row r="93" s="44" customFormat="1" ht="14.5" spans="2:13">
      <c r="B93" s="6"/>
      <c r="C93" s="28" t="s">
        <v>102</v>
      </c>
      <c r="D93" s="6" t="s">
        <v>103</v>
      </c>
      <c r="E93" s="29"/>
      <c r="F93" s="16">
        <v>1529944</v>
      </c>
      <c r="G93" s="29"/>
      <c r="H93" s="16">
        <v>0</v>
      </c>
      <c r="I93" s="29"/>
      <c r="J93" s="16">
        <v>0</v>
      </c>
      <c r="K93" s="29"/>
      <c r="L93" s="16">
        <v>0</v>
      </c>
      <c r="M93" s="5">
        <f t="shared" si="20"/>
        <v>1529944</v>
      </c>
    </row>
    <row r="94" s="44" customFormat="1" ht="14.5" spans="2:13">
      <c r="B94" s="6"/>
      <c r="C94" s="28" t="s">
        <v>104</v>
      </c>
      <c r="D94" s="6" t="s">
        <v>105</v>
      </c>
      <c r="E94" s="29"/>
      <c r="F94" s="16">
        <v>273551</v>
      </c>
      <c r="G94" s="29"/>
      <c r="H94" s="16">
        <v>0</v>
      </c>
      <c r="I94" s="29"/>
      <c r="J94" s="16">
        <v>0</v>
      </c>
      <c r="K94" s="29"/>
      <c r="L94" s="16">
        <v>0</v>
      </c>
      <c r="M94" s="5">
        <f t="shared" si="20"/>
        <v>273551</v>
      </c>
    </row>
    <row r="95" s="44" customFormat="1" ht="14.5" spans="2:13">
      <c r="B95" s="6"/>
      <c r="C95" s="7">
        <v>28.3</v>
      </c>
      <c r="D95" s="6" t="s">
        <v>106</v>
      </c>
      <c r="E95" s="29"/>
      <c r="F95" s="16">
        <v>0</v>
      </c>
      <c r="G95" s="29"/>
      <c r="H95" s="16">
        <v>0</v>
      </c>
      <c r="I95" s="29"/>
      <c r="J95" s="16">
        <v>0</v>
      </c>
      <c r="K95" s="29"/>
      <c r="L95" s="16">
        <v>0</v>
      </c>
      <c r="M95" s="5">
        <f t="shared" si="20"/>
        <v>0</v>
      </c>
    </row>
    <row r="96" s="44" customFormat="1" ht="14.5" spans="2:13">
      <c r="B96" s="3">
        <v>29</v>
      </c>
      <c r="C96" s="2"/>
      <c r="D96" s="2" t="s">
        <v>107</v>
      </c>
      <c r="E96" s="29"/>
      <c r="F96" s="5">
        <f t="shared" ref="F96:J96" si="27">+F84+F76+F66+F56+F55+F52+F47+F44+F40+F39+F37+F32+F21+F16+F11</f>
        <v>16830777</v>
      </c>
      <c r="G96" s="5"/>
      <c r="H96" s="5">
        <f t="shared" si="27"/>
        <v>4806680</v>
      </c>
      <c r="I96" s="5"/>
      <c r="J96" s="5">
        <f t="shared" si="27"/>
        <v>215043</v>
      </c>
      <c r="K96" s="5"/>
      <c r="L96" s="5">
        <f>+L84+L76+L66+L56+L55+L52+L47+L44+L40+L39+L37+L32+L21+L16+L11</f>
        <v>2766056</v>
      </c>
      <c r="M96" s="5">
        <f>+M84+M76+M66+M56+M55+M52+M47+M44+M40+M39+M37+M32+M21+M16+M11</f>
        <v>24618556</v>
      </c>
    </row>
    <row r="97" s="44" customFormat="1" ht="14.5" spans="2:13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="44" customFormat="1" ht="14.5" spans="2:13">
      <c r="B98" s="6"/>
      <c r="C98" s="6"/>
      <c r="D98" s="6" t="s">
        <v>108</v>
      </c>
      <c r="E98" s="6"/>
      <c r="F98" s="6"/>
      <c r="G98" s="6"/>
      <c r="H98" s="6"/>
      <c r="I98" s="6"/>
      <c r="J98" s="6"/>
      <c r="K98" s="6"/>
      <c r="L98" s="6"/>
      <c r="M98" s="6"/>
    </row>
    <row r="99" s="44" customFormat="1" ht="14.5" spans="2:13">
      <c r="B99" s="2"/>
      <c r="C99" s="2"/>
      <c r="D99" s="2"/>
      <c r="E99" s="1" t="s">
        <v>109</v>
      </c>
      <c r="F99" s="1" t="s">
        <v>110</v>
      </c>
      <c r="G99" s="1"/>
      <c r="H99" s="1"/>
      <c r="I99" s="1" t="s">
        <v>111</v>
      </c>
      <c r="J99" s="1" t="s">
        <v>112</v>
      </c>
      <c r="K99" s="1"/>
      <c r="L99" s="1"/>
      <c r="M99" s="1"/>
    </row>
    <row r="100" s="44" customFormat="1" ht="50" spans="2:13">
      <c r="B100" s="2"/>
      <c r="C100" s="2"/>
      <c r="D100" s="2"/>
      <c r="E100" s="1"/>
      <c r="F100" s="53" t="s">
        <v>113</v>
      </c>
      <c r="G100" s="53" t="s">
        <v>114</v>
      </c>
      <c r="H100" s="53" t="s">
        <v>115</v>
      </c>
      <c r="I100" s="1"/>
      <c r="J100" s="1"/>
      <c r="K100" s="1"/>
      <c r="L100" s="1"/>
      <c r="M100" s="1"/>
    </row>
    <row r="101" s="44" customFormat="1" ht="14.5" spans="2:13">
      <c r="B101" s="6"/>
      <c r="C101" s="6"/>
      <c r="D101" s="6" t="s">
        <v>116</v>
      </c>
      <c r="E101" s="54">
        <v>2561696</v>
      </c>
      <c r="F101" s="54">
        <v>0</v>
      </c>
      <c r="G101" s="54">
        <v>0</v>
      </c>
      <c r="H101" s="54">
        <v>248274</v>
      </c>
      <c r="I101" s="54">
        <v>1071938</v>
      </c>
      <c r="J101" s="55">
        <f t="shared" ref="J101:J105" si="28">SUM(E101:I101)</f>
        <v>3881908</v>
      </c>
      <c r="K101" s="63"/>
      <c r="L101" s="63"/>
      <c r="M101" s="63"/>
    </row>
    <row r="102" s="44" customFormat="1" ht="14.5" spans="2:13">
      <c r="B102" s="6"/>
      <c r="C102" s="6"/>
      <c r="D102" s="6" t="s">
        <v>117</v>
      </c>
      <c r="E102" s="54">
        <v>215349</v>
      </c>
      <c r="F102" s="54">
        <v>0</v>
      </c>
      <c r="G102" s="54">
        <v>0</v>
      </c>
      <c r="H102" s="54">
        <v>2962</v>
      </c>
      <c r="I102" s="54">
        <v>151036</v>
      </c>
      <c r="J102" s="55">
        <f t="shared" si="28"/>
        <v>369347</v>
      </c>
      <c r="K102" s="63"/>
      <c r="L102" s="63"/>
      <c r="M102" s="63"/>
    </row>
    <row r="103" s="44" customFormat="1" ht="14.5" spans="2:13">
      <c r="B103" s="6"/>
      <c r="C103" s="6"/>
      <c r="D103" s="6" t="s">
        <v>118</v>
      </c>
      <c r="E103" s="54">
        <v>94597</v>
      </c>
      <c r="F103" s="54">
        <v>0</v>
      </c>
      <c r="G103" s="54">
        <v>0</v>
      </c>
      <c r="H103" s="54">
        <v>0</v>
      </c>
      <c r="I103" s="54">
        <v>27955</v>
      </c>
      <c r="J103" s="55">
        <f t="shared" si="28"/>
        <v>122552</v>
      </c>
      <c r="K103" s="63"/>
      <c r="L103" s="63"/>
      <c r="M103" s="63"/>
    </row>
    <row r="104" s="44" customFormat="1" ht="14.5" spans="2:13">
      <c r="B104" s="6"/>
      <c r="C104" s="6"/>
      <c r="D104" s="6" t="s">
        <v>119</v>
      </c>
      <c r="E104" s="54">
        <v>108632</v>
      </c>
      <c r="F104" s="54">
        <v>0</v>
      </c>
      <c r="G104" s="54">
        <v>0</v>
      </c>
      <c r="H104" s="54">
        <v>15000</v>
      </c>
      <c r="I104" s="54">
        <v>13797</v>
      </c>
      <c r="J104" s="55">
        <f t="shared" si="28"/>
        <v>137429</v>
      </c>
      <c r="K104" s="63"/>
      <c r="L104" s="63"/>
      <c r="M104" s="63"/>
    </row>
    <row r="105" s="44" customFormat="1" ht="14.5" spans="2:13">
      <c r="B105" s="6"/>
      <c r="C105" s="6"/>
      <c r="D105" s="6" t="s">
        <v>120</v>
      </c>
      <c r="E105" s="55">
        <f t="shared" ref="E105:I105" si="29">SUM(E101:E102)-E103-E104</f>
        <v>2573816</v>
      </c>
      <c r="F105" s="55">
        <f t="shared" si="29"/>
        <v>0</v>
      </c>
      <c r="G105" s="55">
        <f t="shared" si="29"/>
        <v>0</v>
      </c>
      <c r="H105" s="55">
        <f t="shared" si="29"/>
        <v>236236</v>
      </c>
      <c r="I105" s="55">
        <f t="shared" si="29"/>
        <v>1181222</v>
      </c>
      <c r="J105" s="55">
        <f t="shared" si="28"/>
        <v>3991274</v>
      </c>
      <c r="K105" s="63"/>
      <c r="L105" s="63"/>
      <c r="M105" s="63"/>
    </row>
    <row r="106" s="44" customFormat="1" ht="14.5" spans="2:13">
      <c r="B106" s="56" t="s">
        <v>121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64"/>
    </row>
    <row r="107" s="44" customFormat="1" ht="14.5" spans="2:13">
      <c r="B107" s="58" t="s">
        <v>122</v>
      </c>
      <c r="C107" s="22"/>
      <c r="D107" s="22"/>
      <c r="E107" s="59"/>
      <c r="F107" s="60"/>
      <c r="G107" s="60"/>
      <c r="H107" s="60"/>
      <c r="I107" s="60"/>
      <c r="J107" s="60"/>
      <c r="K107" s="63"/>
      <c r="L107" s="63"/>
      <c r="M107" s="63"/>
    </row>
    <row r="108" s="44" customFormat="1" ht="14.5" spans="2:13">
      <c r="B108" s="22"/>
      <c r="C108" s="22"/>
      <c r="D108" s="22" t="s">
        <v>123</v>
      </c>
      <c r="E108" s="61">
        <v>10103</v>
      </c>
      <c r="F108" s="60"/>
      <c r="G108" s="60"/>
      <c r="H108" s="60"/>
      <c r="I108" s="60"/>
      <c r="J108" s="60"/>
      <c r="K108" s="63"/>
      <c r="L108" s="63"/>
      <c r="M108" s="63"/>
    </row>
    <row r="109" s="44" customFormat="1" ht="14.5" spans="2:13">
      <c r="B109" s="22"/>
      <c r="C109" s="22"/>
      <c r="D109" s="22" t="s">
        <v>124</v>
      </c>
      <c r="E109" s="61">
        <v>-5000</v>
      </c>
      <c r="F109" s="60"/>
      <c r="G109" s="60"/>
      <c r="H109" s="60"/>
      <c r="I109" s="60"/>
      <c r="J109" s="60"/>
      <c r="K109" s="63"/>
      <c r="L109" s="63"/>
      <c r="M109" s="63"/>
    </row>
    <row r="110" s="44" customFormat="1" ht="14.5" spans="2:13">
      <c r="B110" s="22"/>
      <c r="C110" s="22"/>
      <c r="D110" s="22" t="s">
        <v>125</v>
      </c>
      <c r="E110" s="62">
        <f>SUM(E108:E109)</f>
        <v>5103</v>
      </c>
      <c r="F110" s="60"/>
      <c r="G110" s="60"/>
      <c r="H110" s="60"/>
      <c r="I110" s="60"/>
      <c r="J110" s="60"/>
      <c r="K110" s="63"/>
      <c r="L110" s="63"/>
      <c r="M110" s="63"/>
    </row>
    <row r="111" s="44" customFormat="1" ht="14.5" spans="2:13">
      <c r="B111" s="6"/>
      <c r="C111" s="6"/>
      <c r="D111" s="6" t="s">
        <v>126</v>
      </c>
      <c r="E111" s="6"/>
      <c r="F111" s="6"/>
      <c r="G111" s="6"/>
      <c r="H111" s="6"/>
      <c r="I111" s="6"/>
      <c r="J111" s="6"/>
      <c r="K111" s="6"/>
      <c r="L111" s="6"/>
      <c r="M111" s="6"/>
    </row>
    <row r="112" s="44" customFormat="1" ht="14.5" spans="2:13">
      <c r="B112" s="6"/>
      <c r="C112" s="6"/>
      <c r="D112" s="6" t="s">
        <v>127</v>
      </c>
      <c r="E112" s="6"/>
      <c r="F112" s="6"/>
      <c r="G112" s="6"/>
      <c r="H112" s="6"/>
      <c r="I112" s="6"/>
      <c r="J112" s="6"/>
      <c r="K112" s="6"/>
      <c r="L112" s="6"/>
      <c r="M112" s="6"/>
    </row>
    <row r="113" s="44" customFormat="1" ht="20" spans="2:13">
      <c r="B113" s="6"/>
      <c r="C113" s="6"/>
      <c r="D113" s="6" t="s">
        <v>128</v>
      </c>
      <c r="E113" s="6"/>
      <c r="F113" s="6"/>
      <c r="G113" s="6"/>
      <c r="H113" s="6"/>
      <c r="I113" s="6"/>
      <c r="J113" s="6"/>
      <c r="K113" s="6"/>
      <c r="L113" s="6"/>
      <c r="M113" s="6"/>
    </row>
    <row r="114" s="44" customFormat="1" ht="14.5" spans="2:13">
      <c r="B114" s="6"/>
      <c r="C114" s="6"/>
      <c r="D114" s="6" t="s">
        <v>129</v>
      </c>
      <c r="E114" s="6"/>
      <c r="F114" s="6"/>
      <c r="G114" s="6"/>
      <c r="H114" s="6"/>
      <c r="I114" s="6"/>
      <c r="J114" s="6"/>
      <c r="K114" s="6"/>
      <c r="L114" s="6"/>
      <c r="M114" s="6"/>
    </row>
    <row r="115" s="44" customFormat="1" ht="14.5"/>
    <row r="116" s="44" customFormat="1" ht="14.5" hidden="1"/>
    <row r="117" ht="14.5" hidden="1"/>
  </sheetData>
  <mergeCells count="22">
    <mergeCell ref="B2:M2"/>
    <mergeCell ref="C3:D3"/>
    <mergeCell ref="C4:D4"/>
    <mergeCell ref="C5:D5"/>
    <mergeCell ref="B6:M6"/>
    <mergeCell ref="B7:M7"/>
    <mergeCell ref="E8:H8"/>
    <mergeCell ref="I8:L8"/>
    <mergeCell ref="E9:F9"/>
    <mergeCell ref="G9:H9"/>
    <mergeCell ref="I9:J9"/>
    <mergeCell ref="K9:L9"/>
    <mergeCell ref="F99:H99"/>
    <mergeCell ref="B106:M106"/>
    <mergeCell ref="B114:C114"/>
    <mergeCell ref="E114:M114"/>
    <mergeCell ref="E99:E100"/>
    <mergeCell ref="I99:I100"/>
    <mergeCell ref="J99:J100"/>
    <mergeCell ref="M8:M10"/>
    <mergeCell ref="E3:M5"/>
    <mergeCell ref="B8:D9"/>
  </mergeCells>
  <dataValidations count="3">
    <dataValidation type="whole" operator="between" allowBlank="1" showInputMessage="1" showErrorMessage="1" error="Please input a valid data!" sqref="E39:E96 F87:F94 G39:G96 H87:H94 I39:I96 J87:J94 K39:K96 L87:M94">
      <formula1>-1000000000000</formula1>
      <formula2>1000000000000</formula2>
    </dataValidation>
    <dataValidation type="whole" operator="greaterThanOrEqual" allowBlank="1" showInputMessage="1" showErrorMessage="1" sqref="E108:E110">
      <formula1>0</formula1>
    </dataValidation>
    <dataValidation type="whole" operator="greaterThanOrEqual" allowBlank="1" showInputMessage="1" showErrorMessage="1" error="Please input a valid data!" sqref="F39:F86 F95:F96 H39:H86 H95:H96 J39:J86 J95:J96 L95:M96 E11:M38 L39:M86 E101:J105">
      <formula1>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0"/>
  <sheetViews>
    <sheetView tabSelected="1" workbookViewId="0">
      <pane xSplit="4" topLeftCell="E1" activePane="topRight" state="frozen"/>
      <selection/>
      <selection pane="topRight" activeCell="D6" sqref="D6"/>
    </sheetView>
  </sheetViews>
  <sheetFormatPr defaultColWidth="8.72727272727273" defaultRowHeight="14.5"/>
  <cols>
    <col min="3" max="4" width="32" customWidth="1"/>
  </cols>
  <sheetData>
    <row r="1" spans="1:13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 t="s">
        <v>8</v>
      </c>
      <c r="F2" s="1"/>
      <c r="G2" s="1"/>
      <c r="H2" s="1"/>
      <c r="I2" s="1" t="s">
        <v>9</v>
      </c>
      <c r="J2" s="1"/>
      <c r="K2" s="1"/>
      <c r="L2" s="1"/>
      <c r="M2" s="1" t="s">
        <v>10</v>
      </c>
    </row>
    <row r="3" spans="1:13">
      <c r="A3" s="1"/>
      <c r="B3" s="1"/>
      <c r="C3" s="1"/>
      <c r="D3" s="1"/>
      <c r="E3" s="1" t="s">
        <v>11</v>
      </c>
      <c r="F3" s="1"/>
      <c r="G3" s="1" t="s">
        <v>12</v>
      </c>
      <c r="H3" s="1"/>
      <c r="I3" s="1" t="s">
        <v>11</v>
      </c>
      <c r="J3" s="1"/>
      <c r="K3" s="1" t="s">
        <v>12</v>
      </c>
      <c r="L3" s="1"/>
      <c r="M3" s="1"/>
    </row>
    <row r="4" spans="1:13">
      <c r="A4" s="2" t="s">
        <v>13</v>
      </c>
      <c r="B4" s="1"/>
      <c r="C4" s="2" t="s">
        <v>14</v>
      </c>
      <c r="D4" s="2"/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1" t="s">
        <v>15</v>
      </c>
      <c r="L4" s="2" t="s">
        <v>16</v>
      </c>
      <c r="M4" s="1"/>
    </row>
    <row r="5" ht="30" spans="1:14">
      <c r="A5" s="3">
        <v>14</v>
      </c>
      <c r="B5" s="2"/>
      <c r="C5" s="2" t="s">
        <v>17</v>
      </c>
      <c r="D5" s="4"/>
      <c r="E5" s="5">
        <f t="shared" ref="E5:M5" si="0">SUM(E6:E9)</f>
        <v>1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t="s">
        <v>130</v>
      </c>
    </row>
    <row r="6" ht="60" spans="1:14">
      <c r="A6" s="6"/>
      <c r="B6" s="7">
        <v>14.1</v>
      </c>
      <c r="C6" s="6" t="s">
        <v>18</v>
      </c>
      <c r="D6" s="8" t="s">
        <v>131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5">
        <f t="shared" ref="M6:M9" si="1">+F6+H6+J6+L6</f>
        <v>0</v>
      </c>
      <c r="N6" t="s">
        <v>132</v>
      </c>
    </row>
    <row r="7" ht="40" spans="1:14">
      <c r="A7" s="6"/>
      <c r="B7" s="7">
        <v>14.2</v>
      </c>
      <c r="C7" s="6" t="s">
        <v>19</v>
      </c>
      <c r="D7" s="8" t="s">
        <v>133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5">
        <f t="shared" si="1"/>
        <v>0</v>
      </c>
      <c r="N7" t="s">
        <v>134</v>
      </c>
    </row>
    <row r="8" ht="50" spans="1:14">
      <c r="A8" s="6"/>
      <c r="B8" s="7">
        <v>14.3</v>
      </c>
      <c r="C8" s="6" t="s">
        <v>20</v>
      </c>
      <c r="D8" s="8" t="s">
        <v>135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5">
        <f t="shared" si="1"/>
        <v>0</v>
      </c>
      <c r="N8" t="s">
        <v>136</v>
      </c>
    </row>
    <row r="9" ht="40" spans="1:14">
      <c r="A9" s="6"/>
      <c r="B9" s="7">
        <v>14.4</v>
      </c>
      <c r="C9" s="6" t="s">
        <v>21</v>
      </c>
      <c r="D9" s="8"/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5">
        <f t="shared" si="1"/>
        <v>0</v>
      </c>
      <c r="N9" t="s">
        <v>137</v>
      </c>
    </row>
    <row r="10" ht="40" spans="1:14">
      <c r="A10" s="3">
        <v>15</v>
      </c>
      <c r="B10" s="2"/>
      <c r="C10" s="2" t="s">
        <v>22</v>
      </c>
      <c r="D10" s="4"/>
      <c r="E10" s="5">
        <f t="shared" ref="E10:M10" si="2">SUM(E11:E14)</f>
        <v>0</v>
      </c>
      <c r="F10" s="5">
        <f t="shared" si="2"/>
        <v>0</v>
      </c>
      <c r="G10" s="5">
        <f t="shared" si="2"/>
        <v>0</v>
      </c>
      <c r="H10" s="5">
        <f t="shared" si="2"/>
        <v>0</v>
      </c>
      <c r="I10" s="5">
        <f t="shared" si="2"/>
        <v>0</v>
      </c>
      <c r="J10" s="5">
        <f t="shared" si="2"/>
        <v>0</v>
      </c>
      <c r="K10" s="5">
        <f t="shared" si="2"/>
        <v>0</v>
      </c>
      <c r="L10" s="5">
        <f t="shared" si="2"/>
        <v>0</v>
      </c>
      <c r="M10" s="5">
        <f t="shared" si="2"/>
        <v>0</v>
      </c>
      <c r="N10" t="s">
        <v>138</v>
      </c>
    </row>
    <row r="11" spans="1:14">
      <c r="A11" s="6"/>
      <c r="B11" s="7">
        <v>15.1</v>
      </c>
      <c r="C11" s="6" t="s">
        <v>18</v>
      </c>
      <c r="D11" s="8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5">
        <f t="shared" ref="M11:M14" si="3">+F11+H11+J11+L11</f>
        <v>0</v>
      </c>
      <c r="N11" t="s">
        <v>139</v>
      </c>
    </row>
    <row r="12" ht="60" spans="1:14">
      <c r="A12" s="6"/>
      <c r="B12" s="7">
        <v>15.2</v>
      </c>
      <c r="C12" s="6" t="s">
        <v>19</v>
      </c>
      <c r="D12" s="8" t="s">
        <v>140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5">
        <f t="shared" si="3"/>
        <v>0</v>
      </c>
      <c r="N12" t="s">
        <v>141</v>
      </c>
    </row>
    <row r="13" ht="60" spans="1:14">
      <c r="A13" s="6"/>
      <c r="B13" s="7">
        <v>15.3</v>
      </c>
      <c r="C13" s="6" t="s">
        <v>20</v>
      </c>
      <c r="D13" s="8" t="s">
        <v>142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5">
        <f t="shared" si="3"/>
        <v>0</v>
      </c>
      <c r="N13" t="s">
        <v>143</v>
      </c>
    </row>
    <row r="14" ht="40" spans="1:14">
      <c r="A14" s="6"/>
      <c r="B14" s="7">
        <v>15.4</v>
      </c>
      <c r="C14" s="6" t="s">
        <v>21</v>
      </c>
      <c r="D14" s="8"/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5">
        <f t="shared" si="3"/>
        <v>0</v>
      </c>
      <c r="N14" t="s">
        <v>144</v>
      </c>
    </row>
    <row r="15" ht="20" spans="1:14">
      <c r="A15" s="3">
        <v>16</v>
      </c>
      <c r="B15" s="2"/>
      <c r="C15" s="2" t="s">
        <v>23</v>
      </c>
      <c r="D15" s="4"/>
      <c r="E15" s="5">
        <f t="shared" ref="E15:M15" si="4">E16+E21</f>
        <v>84388</v>
      </c>
      <c r="F15" s="5">
        <f t="shared" si="4"/>
        <v>10964232</v>
      </c>
      <c r="G15" s="5">
        <f t="shared" si="4"/>
        <v>3269</v>
      </c>
      <c r="H15" s="5">
        <f t="shared" si="4"/>
        <v>3867336</v>
      </c>
      <c r="I15" s="5">
        <f t="shared" si="4"/>
        <v>413</v>
      </c>
      <c r="J15" s="5">
        <f t="shared" si="4"/>
        <v>121288</v>
      </c>
      <c r="K15" s="5">
        <f t="shared" si="4"/>
        <v>395</v>
      </c>
      <c r="L15" s="5">
        <f t="shared" si="4"/>
        <v>506354</v>
      </c>
      <c r="M15" s="5">
        <f t="shared" si="4"/>
        <v>15459210</v>
      </c>
      <c r="N15" t="s">
        <v>145</v>
      </c>
    </row>
    <row r="16" spans="1:14">
      <c r="A16" s="6"/>
      <c r="B16" s="7">
        <v>16.1</v>
      </c>
      <c r="C16" s="6" t="s">
        <v>24</v>
      </c>
      <c r="D16" s="8"/>
      <c r="E16" s="5">
        <f t="shared" ref="E16:M16" si="5">SUM(E17:E20)</f>
        <v>19986</v>
      </c>
      <c r="F16" s="5">
        <f t="shared" si="5"/>
        <v>6954003</v>
      </c>
      <c r="G16" s="5">
        <f t="shared" si="5"/>
        <v>2485</v>
      </c>
      <c r="H16" s="5">
        <f t="shared" si="5"/>
        <v>3348332</v>
      </c>
      <c r="I16" s="5">
        <f t="shared" si="5"/>
        <v>177</v>
      </c>
      <c r="J16" s="5">
        <f t="shared" si="5"/>
        <v>58206</v>
      </c>
      <c r="K16" s="5">
        <f t="shared" si="5"/>
        <v>160</v>
      </c>
      <c r="L16" s="5">
        <f t="shared" si="5"/>
        <v>475383</v>
      </c>
      <c r="M16" s="5">
        <f t="shared" si="5"/>
        <v>10835924</v>
      </c>
      <c r="N16" t="s">
        <v>146</v>
      </c>
    </row>
    <row r="17" ht="222" customHeight="1" spans="1:14">
      <c r="A17" s="6"/>
      <c r="B17" s="10" t="s">
        <v>25</v>
      </c>
      <c r="C17" s="6" t="s">
        <v>18</v>
      </c>
      <c r="D17" s="8" t="s">
        <v>147</v>
      </c>
      <c r="E17" s="9">
        <v>15691</v>
      </c>
      <c r="F17" s="9">
        <v>4493289</v>
      </c>
      <c r="G17" s="9">
        <v>1864</v>
      </c>
      <c r="H17" s="9">
        <v>961165</v>
      </c>
      <c r="I17" s="9">
        <v>177</v>
      </c>
      <c r="J17" s="9">
        <v>58206</v>
      </c>
      <c r="K17" s="9">
        <v>137</v>
      </c>
      <c r="L17" s="9">
        <v>200315</v>
      </c>
      <c r="M17" s="5">
        <f t="shared" ref="M17:M20" si="6">+F17+H17+J17+L17</f>
        <v>5712975</v>
      </c>
      <c r="N17" t="s">
        <v>148</v>
      </c>
    </row>
    <row r="18" ht="320" customHeight="1" spans="1:14">
      <c r="A18" s="6"/>
      <c r="B18" s="10" t="s">
        <v>26</v>
      </c>
      <c r="C18" s="6" t="s">
        <v>19</v>
      </c>
      <c r="D18" s="8" t="s">
        <v>149</v>
      </c>
      <c r="E18" s="9">
        <v>10</v>
      </c>
      <c r="F18" s="9">
        <v>2044</v>
      </c>
      <c r="G18" s="9">
        <v>11</v>
      </c>
      <c r="H18" s="9">
        <v>1399</v>
      </c>
      <c r="I18" s="9">
        <v>0</v>
      </c>
      <c r="J18" s="9">
        <v>0</v>
      </c>
      <c r="K18" s="9">
        <v>4</v>
      </c>
      <c r="L18" s="9">
        <v>334</v>
      </c>
      <c r="M18" s="5">
        <f t="shared" si="6"/>
        <v>3777</v>
      </c>
      <c r="N18" t="s">
        <v>150</v>
      </c>
    </row>
    <row r="19" ht="409.5" spans="1:14">
      <c r="A19" s="6"/>
      <c r="B19" s="10" t="s">
        <v>27</v>
      </c>
      <c r="C19" s="6" t="s">
        <v>20</v>
      </c>
      <c r="D19" s="8" t="s">
        <v>151</v>
      </c>
      <c r="E19" s="9">
        <v>4273</v>
      </c>
      <c r="F19" s="9">
        <v>2439697</v>
      </c>
      <c r="G19" s="9">
        <v>607</v>
      </c>
      <c r="H19" s="9">
        <v>2384652</v>
      </c>
      <c r="I19" s="9">
        <v>0</v>
      </c>
      <c r="J19" s="9">
        <v>0</v>
      </c>
      <c r="K19" s="9">
        <v>19</v>
      </c>
      <c r="L19" s="9">
        <v>274734</v>
      </c>
      <c r="M19" s="5">
        <f t="shared" si="6"/>
        <v>5099083</v>
      </c>
      <c r="N19" t="s">
        <v>152</v>
      </c>
    </row>
    <row r="20" ht="50" spans="1:14">
      <c r="A20" s="6"/>
      <c r="B20" s="10" t="s">
        <v>28</v>
      </c>
      <c r="C20" s="6" t="s">
        <v>21</v>
      </c>
      <c r="D20" s="8" t="s">
        <v>153</v>
      </c>
      <c r="E20" s="9">
        <v>12</v>
      </c>
      <c r="F20" s="9">
        <v>18973</v>
      </c>
      <c r="G20" s="9">
        <v>3</v>
      </c>
      <c r="H20" s="9">
        <v>1116</v>
      </c>
      <c r="I20" s="9">
        <v>0</v>
      </c>
      <c r="J20" s="9">
        <v>0</v>
      </c>
      <c r="K20" s="9">
        <v>0</v>
      </c>
      <c r="L20" s="9">
        <v>0</v>
      </c>
      <c r="M20" s="5">
        <f t="shared" si="6"/>
        <v>20089</v>
      </c>
      <c r="N20" t="s">
        <v>154</v>
      </c>
    </row>
    <row r="21" spans="1:14">
      <c r="A21" s="6"/>
      <c r="B21" s="7">
        <v>16.2</v>
      </c>
      <c r="C21" s="6" t="s">
        <v>29</v>
      </c>
      <c r="D21" s="8"/>
      <c r="E21" s="5">
        <f t="shared" ref="E21:M21" si="7">SUM(E22:E25)</f>
        <v>64402</v>
      </c>
      <c r="F21" s="5">
        <f t="shared" si="7"/>
        <v>4010229</v>
      </c>
      <c r="G21" s="5">
        <f t="shared" si="7"/>
        <v>784</v>
      </c>
      <c r="H21" s="5">
        <f t="shared" si="7"/>
        <v>519004</v>
      </c>
      <c r="I21" s="5">
        <f t="shared" si="7"/>
        <v>236</v>
      </c>
      <c r="J21" s="5">
        <f t="shared" si="7"/>
        <v>63082</v>
      </c>
      <c r="K21" s="5">
        <f t="shared" si="7"/>
        <v>235</v>
      </c>
      <c r="L21" s="5">
        <f t="shared" si="7"/>
        <v>30971</v>
      </c>
      <c r="M21" s="5">
        <f t="shared" si="7"/>
        <v>4623286</v>
      </c>
      <c r="N21" t="s">
        <v>155</v>
      </c>
    </row>
    <row r="22" ht="220" spans="1:14">
      <c r="A22" s="6"/>
      <c r="B22" s="10" t="s">
        <v>30</v>
      </c>
      <c r="C22" s="6" t="s">
        <v>18</v>
      </c>
      <c r="D22" s="8" t="s">
        <v>156</v>
      </c>
      <c r="E22" s="9">
        <v>13295</v>
      </c>
      <c r="F22" s="9">
        <v>1051186</v>
      </c>
      <c r="G22" s="9">
        <v>205</v>
      </c>
      <c r="H22" s="9">
        <v>41511</v>
      </c>
      <c r="I22" s="9">
        <v>1</v>
      </c>
      <c r="J22" s="9">
        <v>181</v>
      </c>
      <c r="K22" s="9">
        <v>0</v>
      </c>
      <c r="L22" s="9">
        <v>0</v>
      </c>
      <c r="M22" s="5">
        <f t="shared" ref="M22:M25" si="8">+F22+H22+J22+L22</f>
        <v>1092878</v>
      </c>
      <c r="N22" t="s">
        <v>157</v>
      </c>
    </row>
    <row r="23" ht="180" spans="1:14">
      <c r="A23" s="6"/>
      <c r="B23" s="10" t="s">
        <v>31</v>
      </c>
      <c r="C23" s="6" t="s">
        <v>19</v>
      </c>
      <c r="D23" s="8" t="s">
        <v>158</v>
      </c>
      <c r="E23" s="9">
        <v>44475</v>
      </c>
      <c r="F23" s="9">
        <v>349507</v>
      </c>
      <c r="G23" s="9">
        <v>180</v>
      </c>
      <c r="H23" s="9">
        <v>21282</v>
      </c>
      <c r="I23" s="9">
        <v>183</v>
      </c>
      <c r="J23" s="9">
        <v>39325</v>
      </c>
      <c r="K23" s="9">
        <v>175</v>
      </c>
      <c r="L23" s="9">
        <v>11271</v>
      </c>
      <c r="M23" s="5">
        <f t="shared" si="8"/>
        <v>421385</v>
      </c>
      <c r="N23" t="s">
        <v>159</v>
      </c>
    </row>
    <row r="24" ht="190" spans="1:14">
      <c r="A24" s="6"/>
      <c r="B24" s="10" t="s">
        <v>32</v>
      </c>
      <c r="C24" s="6" t="s">
        <v>20</v>
      </c>
      <c r="D24" s="8" t="s">
        <v>160</v>
      </c>
      <c r="E24" s="9">
        <v>6632</v>
      </c>
      <c r="F24" s="9">
        <v>2609536</v>
      </c>
      <c r="G24" s="9">
        <v>399</v>
      </c>
      <c r="H24" s="9">
        <v>456211</v>
      </c>
      <c r="I24" s="9">
        <v>52</v>
      </c>
      <c r="J24" s="9">
        <v>23576</v>
      </c>
      <c r="K24" s="9">
        <v>60</v>
      </c>
      <c r="L24" s="9">
        <v>19700</v>
      </c>
      <c r="M24" s="5">
        <f t="shared" si="8"/>
        <v>3109023</v>
      </c>
      <c r="N24" t="s">
        <v>161</v>
      </c>
    </row>
    <row r="25" ht="40" spans="1:14">
      <c r="A25" s="6"/>
      <c r="B25" s="10" t="s">
        <v>33</v>
      </c>
      <c r="C25" s="6" t="s">
        <v>21</v>
      </c>
      <c r="D25" s="8"/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5">
        <f t="shared" si="8"/>
        <v>0</v>
      </c>
      <c r="N25" t="s">
        <v>162</v>
      </c>
    </row>
    <row r="26" ht="50" spans="1:14">
      <c r="A26" s="3">
        <v>17</v>
      </c>
      <c r="B26" s="2"/>
      <c r="C26" s="2" t="s">
        <v>34</v>
      </c>
      <c r="D26" s="4"/>
      <c r="E26" s="5">
        <f t="shared" ref="E26:M26" si="9">SUM(E27:E30)</f>
        <v>325</v>
      </c>
      <c r="F26" s="5">
        <f t="shared" si="9"/>
        <v>476713</v>
      </c>
      <c r="G26" s="5">
        <f t="shared" si="9"/>
        <v>85</v>
      </c>
      <c r="H26" s="5">
        <f t="shared" si="9"/>
        <v>261924</v>
      </c>
      <c r="I26" s="5">
        <f t="shared" si="9"/>
        <v>0</v>
      </c>
      <c r="J26" s="5">
        <f t="shared" si="9"/>
        <v>0</v>
      </c>
      <c r="K26" s="5">
        <f t="shared" si="9"/>
        <v>0</v>
      </c>
      <c r="L26" s="5">
        <f t="shared" si="9"/>
        <v>0</v>
      </c>
      <c r="M26" s="5">
        <f t="shared" si="9"/>
        <v>738637</v>
      </c>
      <c r="N26" t="s">
        <v>163</v>
      </c>
    </row>
    <row r="27" ht="30" spans="1:14">
      <c r="A27" s="6"/>
      <c r="B27" s="7">
        <v>17.1</v>
      </c>
      <c r="C27" s="6" t="s">
        <v>35</v>
      </c>
      <c r="D27" s="8"/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5">
        <f t="shared" ref="M27:M30" si="10">+F27+H27+J27+L27</f>
        <v>0</v>
      </c>
      <c r="N27" t="s">
        <v>164</v>
      </c>
    </row>
    <row r="28" ht="150" spans="1:14">
      <c r="A28" s="6"/>
      <c r="B28" s="7">
        <v>17.2</v>
      </c>
      <c r="C28" s="6" t="s">
        <v>18</v>
      </c>
      <c r="D28" s="8" t="s">
        <v>165</v>
      </c>
      <c r="E28" s="9">
        <v>113</v>
      </c>
      <c r="F28" s="9">
        <v>152060</v>
      </c>
      <c r="G28" s="9">
        <v>25</v>
      </c>
      <c r="H28" s="9">
        <v>25305</v>
      </c>
      <c r="I28" s="9">
        <v>0</v>
      </c>
      <c r="J28" s="9">
        <v>0</v>
      </c>
      <c r="K28" s="9">
        <v>0</v>
      </c>
      <c r="L28" s="9">
        <v>0</v>
      </c>
      <c r="M28" s="5">
        <f t="shared" si="10"/>
        <v>177365</v>
      </c>
      <c r="N28" t="s">
        <v>166</v>
      </c>
    </row>
    <row r="29" ht="100" spans="1:14">
      <c r="A29" s="6"/>
      <c r="B29" s="7">
        <v>17.3</v>
      </c>
      <c r="C29" s="6" t="s">
        <v>36</v>
      </c>
      <c r="D29" s="8" t="s">
        <v>167</v>
      </c>
      <c r="E29" s="9">
        <v>212</v>
      </c>
      <c r="F29" s="9">
        <v>324653</v>
      </c>
      <c r="G29" s="9">
        <v>60</v>
      </c>
      <c r="H29" s="9">
        <v>236619</v>
      </c>
      <c r="I29" s="9">
        <v>0</v>
      </c>
      <c r="J29" s="9">
        <v>0</v>
      </c>
      <c r="K29" s="9">
        <v>0</v>
      </c>
      <c r="L29" s="9">
        <v>0</v>
      </c>
      <c r="M29" s="5">
        <f t="shared" si="10"/>
        <v>561272</v>
      </c>
      <c r="N29" t="s">
        <v>168</v>
      </c>
    </row>
    <row r="30" ht="40" spans="1:14">
      <c r="A30" s="6"/>
      <c r="B30" s="7">
        <v>17.4</v>
      </c>
      <c r="C30" s="6" t="s">
        <v>37</v>
      </c>
      <c r="D30" s="8"/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5">
        <f t="shared" si="10"/>
        <v>0</v>
      </c>
      <c r="N30" t="s">
        <v>169</v>
      </c>
    </row>
    <row r="31" ht="20" spans="1:14">
      <c r="A31" s="3">
        <v>18</v>
      </c>
      <c r="B31" s="2"/>
      <c r="C31" s="2" t="s">
        <v>38</v>
      </c>
      <c r="D31" s="4"/>
      <c r="E31" s="5">
        <f t="shared" ref="E31:M31" si="11">+E32</f>
        <v>0</v>
      </c>
      <c r="F31" s="5">
        <f t="shared" si="11"/>
        <v>0</v>
      </c>
      <c r="G31" s="5">
        <f t="shared" si="11"/>
        <v>0</v>
      </c>
      <c r="H31" s="5">
        <f t="shared" si="11"/>
        <v>0</v>
      </c>
      <c r="I31" s="5">
        <f t="shared" si="11"/>
        <v>0</v>
      </c>
      <c r="J31" s="5">
        <f t="shared" si="11"/>
        <v>0</v>
      </c>
      <c r="K31" s="5">
        <f t="shared" si="11"/>
        <v>0</v>
      </c>
      <c r="L31" s="5">
        <f t="shared" si="11"/>
        <v>0</v>
      </c>
      <c r="M31" s="5">
        <f t="shared" si="11"/>
        <v>0</v>
      </c>
      <c r="N31" t="s">
        <v>170</v>
      </c>
    </row>
    <row r="32" ht="80" spans="1:14">
      <c r="A32" s="6"/>
      <c r="B32" s="7">
        <v>18.1</v>
      </c>
      <c r="C32" s="6" t="s">
        <v>39</v>
      </c>
      <c r="D32" s="8"/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5">
        <f t="shared" ref="M32:M37" si="12">+F32+H32+J32+L32</f>
        <v>0</v>
      </c>
      <c r="N32" t="s">
        <v>171</v>
      </c>
    </row>
    <row r="33" ht="40" spans="1:14">
      <c r="A33" s="3">
        <v>19</v>
      </c>
      <c r="B33" s="2"/>
      <c r="C33" s="2" t="s">
        <v>40</v>
      </c>
      <c r="D33" s="4" t="s">
        <v>172</v>
      </c>
      <c r="E33" s="12"/>
      <c r="F33" s="13">
        <v>104760</v>
      </c>
      <c r="G33" s="14"/>
      <c r="H33" s="15">
        <v>0</v>
      </c>
      <c r="I33" s="20"/>
      <c r="J33" s="37">
        <v>0</v>
      </c>
      <c r="K33" s="14"/>
      <c r="L33" s="15">
        <v>0</v>
      </c>
      <c r="M33" s="5">
        <f t="shared" si="12"/>
        <v>104760</v>
      </c>
      <c r="N33" t="s">
        <v>173</v>
      </c>
    </row>
    <row r="34" ht="30" spans="1:14">
      <c r="A34" s="3">
        <v>20</v>
      </c>
      <c r="B34" s="2"/>
      <c r="C34" s="2" t="s">
        <v>41</v>
      </c>
      <c r="D34" s="4"/>
      <c r="E34" s="12"/>
      <c r="F34" s="5">
        <f t="shared" ref="F34:J34" si="13">SUM(F35:F37)</f>
        <v>0</v>
      </c>
      <c r="G34" s="5"/>
      <c r="H34" s="5">
        <f t="shared" si="13"/>
        <v>0</v>
      </c>
      <c r="I34" s="5"/>
      <c r="J34" s="5">
        <f t="shared" si="13"/>
        <v>0</v>
      </c>
      <c r="K34" s="5"/>
      <c r="L34" s="5">
        <f>SUM(L35:L37)</f>
        <v>0</v>
      </c>
      <c r="M34" s="5">
        <f>SUM(M35:M37)</f>
        <v>0</v>
      </c>
      <c r="N34" t="s">
        <v>174</v>
      </c>
    </row>
    <row r="35" spans="1:14">
      <c r="A35" s="6"/>
      <c r="B35" s="7">
        <v>20.1</v>
      </c>
      <c r="C35" s="6" t="s">
        <v>42</v>
      </c>
      <c r="D35" s="8"/>
      <c r="E35" s="12"/>
      <c r="F35" s="16">
        <v>0</v>
      </c>
      <c r="G35" s="5"/>
      <c r="H35" s="16">
        <v>0</v>
      </c>
      <c r="I35" s="19"/>
      <c r="J35" s="16">
        <v>0</v>
      </c>
      <c r="K35" s="5"/>
      <c r="L35" s="16">
        <v>0</v>
      </c>
      <c r="M35" s="5">
        <f t="shared" si="12"/>
        <v>0</v>
      </c>
      <c r="N35" t="s">
        <v>175</v>
      </c>
    </row>
    <row r="36" ht="30" spans="1:14">
      <c r="A36" s="6"/>
      <c r="B36" s="7">
        <v>20.2</v>
      </c>
      <c r="C36" s="6" t="s">
        <v>43</v>
      </c>
      <c r="D36" s="8"/>
      <c r="E36" s="12"/>
      <c r="F36" s="16">
        <v>0</v>
      </c>
      <c r="G36" s="5"/>
      <c r="H36" s="16">
        <v>0</v>
      </c>
      <c r="I36" s="19"/>
      <c r="J36" s="16">
        <v>0</v>
      </c>
      <c r="K36" s="5"/>
      <c r="L36" s="16">
        <v>0</v>
      </c>
      <c r="M36" s="5">
        <f t="shared" si="12"/>
        <v>0</v>
      </c>
      <c r="N36" t="s">
        <v>176</v>
      </c>
    </row>
    <row r="37" ht="20" spans="1:14">
      <c r="A37" s="6"/>
      <c r="B37" s="7">
        <v>20.3</v>
      </c>
      <c r="C37" s="6" t="s">
        <v>44</v>
      </c>
      <c r="D37" s="8"/>
      <c r="E37" s="12"/>
      <c r="F37" s="16">
        <v>0</v>
      </c>
      <c r="G37" s="5"/>
      <c r="H37" s="16">
        <v>0</v>
      </c>
      <c r="I37" s="19"/>
      <c r="J37" s="16">
        <v>0</v>
      </c>
      <c r="K37" s="5"/>
      <c r="L37" s="16">
        <v>0</v>
      </c>
      <c r="M37" s="5">
        <f t="shared" si="12"/>
        <v>0</v>
      </c>
      <c r="N37" t="s">
        <v>177</v>
      </c>
    </row>
    <row r="38" ht="80" spans="1:14">
      <c r="A38" s="3">
        <v>21</v>
      </c>
      <c r="B38" s="2"/>
      <c r="C38" s="2" t="s">
        <v>45</v>
      </c>
      <c r="D38" s="4"/>
      <c r="E38" s="12"/>
      <c r="F38" s="5">
        <f t="shared" ref="F38:J38" si="14">SUM(F39:F40)</f>
        <v>0</v>
      </c>
      <c r="G38" s="5"/>
      <c r="H38" s="5">
        <f t="shared" si="14"/>
        <v>0</v>
      </c>
      <c r="I38" s="5"/>
      <c r="J38" s="5">
        <f t="shared" si="14"/>
        <v>13762</v>
      </c>
      <c r="K38" s="5"/>
      <c r="L38" s="5">
        <f>SUM(L39:L40)</f>
        <v>930267</v>
      </c>
      <c r="M38" s="5">
        <f>SUM(M39:M40)</f>
        <v>944029</v>
      </c>
      <c r="N38" t="s">
        <v>178</v>
      </c>
    </row>
    <row r="39" ht="110" spans="1:14">
      <c r="A39" s="6"/>
      <c r="B39" s="7">
        <v>21.1</v>
      </c>
      <c r="C39" s="6" t="s">
        <v>46</v>
      </c>
      <c r="D39" s="8" t="s">
        <v>179</v>
      </c>
      <c r="E39" s="12"/>
      <c r="F39" s="17">
        <f>0</f>
        <v>0</v>
      </c>
      <c r="G39" s="5"/>
      <c r="H39" s="17">
        <f>0</f>
        <v>0</v>
      </c>
      <c r="I39" s="19"/>
      <c r="J39" s="16">
        <v>13762</v>
      </c>
      <c r="K39" s="5"/>
      <c r="L39" s="16">
        <v>930267</v>
      </c>
      <c r="M39" s="5">
        <f t="shared" ref="M39:M45" si="15">+F39+H39+J39+L39</f>
        <v>944029</v>
      </c>
      <c r="N39" t="s">
        <v>180</v>
      </c>
    </row>
    <row r="40" ht="50" spans="1:14">
      <c r="A40" s="6"/>
      <c r="B40" s="7">
        <v>21.2</v>
      </c>
      <c r="C40" s="6" t="s">
        <v>47</v>
      </c>
      <c r="D40" s="8"/>
      <c r="E40" s="12"/>
      <c r="F40" s="17">
        <f>0</f>
        <v>0</v>
      </c>
      <c r="G40" s="5"/>
      <c r="H40" s="17">
        <f>0</f>
        <v>0</v>
      </c>
      <c r="I40" s="19"/>
      <c r="J40" s="16">
        <v>0</v>
      </c>
      <c r="K40" s="5"/>
      <c r="L40" s="16">
        <v>0</v>
      </c>
      <c r="M40" s="5">
        <f t="shared" si="15"/>
        <v>0</v>
      </c>
      <c r="N40" t="s">
        <v>181</v>
      </c>
    </row>
    <row r="41" ht="50" spans="1:14">
      <c r="A41" s="3">
        <v>22</v>
      </c>
      <c r="B41" s="2"/>
      <c r="C41" s="2" t="s">
        <v>48</v>
      </c>
      <c r="D41" s="4"/>
      <c r="E41" s="12"/>
      <c r="F41" s="5">
        <f t="shared" ref="F41:J41" si="16">SUM(F42:F45)</f>
        <v>0</v>
      </c>
      <c r="G41" s="5"/>
      <c r="H41" s="5">
        <f t="shared" si="16"/>
        <v>0</v>
      </c>
      <c r="I41" s="5"/>
      <c r="J41" s="5">
        <f t="shared" si="16"/>
        <v>0</v>
      </c>
      <c r="K41" s="5"/>
      <c r="L41" s="5">
        <f>SUM(L42:L45)</f>
        <v>3828</v>
      </c>
      <c r="M41" s="5">
        <f>SUM(M42:M45)</f>
        <v>3828</v>
      </c>
      <c r="N41" t="s">
        <v>182</v>
      </c>
    </row>
    <row r="42" ht="80" spans="1:14">
      <c r="A42" s="6"/>
      <c r="B42" s="7">
        <v>22.1</v>
      </c>
      <c r="C42" s="6" t="s">
        <v>49</v>
      </c>
      <c r="D42" s="8" t="s">
        <v>183</v>
      </c>
      <c r="E42" s="12"/>
      <c r="F42" s="9">
        <v>0</v>
      </c>
      <c r="G42" s="5"/>
      <c r="H42" s="9">
        <v>0</v>
      </c>
      <c r="I42" s="19"/>
      <c r="J42" s="9">
        <v>0</v>
      </c>
      <c r="K42" s="5"/>
      <c r="L42" s="9">
        <v>3828</v>
      </c>
      <c r="M42" s="5">
        <f t="shared" si="15"/>
        <v>3828</v>
      </c>
      <c r="N42" t="s">
        <v>184</v>
      </c>
    </row>
    <row r="43" ht="40" spans="1:14">
      <c r="A43" s="6"/>
      <c r="B43" s="7">
        <v>22.2</v>
      </c>
      <c r="C43" s="6" t="s">
        <v>50</v>
      </c>
      <c r="D43" s="8" t="s">
        <v>185</v>
      </c>
      <c r="E43" s="12"/>
      <c r="F43" s="9">
        <v>0</v>
      </c>
      <c r="G43" s="18"/>
      <c r="H43" s="9">
        <v>0</v>
      </c>
      <c r="I43" s="19"/>
      <c r="J43" s="9">
        <v>0</v>
      </c>
      <c r="K43" s="5"/>
      <c r="L43" s="9">
        <v>0</v>
      </c>
      <c r="M43" s="5">
        <f t="shared" si="15"/>
        <v>0</v>
      </c>
      <c r="N43" t="s">
        <v>186</v>
      </c>
    </row>
    <row r="44" ht="20" spans="1:14">
      <c r="A44" s="6"/>
      <c r="B44" s="7">
        <v>22.3</v>
      </c>
      <c r="C44" s="6" t="s">
        <v>51</v>
      </c>
      <c r="D44" s="8"/>
      <c r="E44" s="12"/>
      <c r="F44" s="9">
        <v>0</v>
      </c>
      <c r="G44" s="19"/>
      <c r="H44" s="9">
        <v>0</v>
      </c>
      <c r="I44" s="19"/>
      <c r="J44" s="9">
        <v>0</v>
      </c>
      <c r="K44" s="18"/>
      <c r="L44" s="9">
        <v>0</v>
      </c>
      <c r="M44" s="5">
        <f t="shared" si="15"/>
        <v>0</v>
      </c>
      <c r="N44" t="s">
        <v>187</v>
      </c>
    </row>
    <row r="45" ht="40" spans="1:14">
      <c r="A45" s="6"/>
      <c r="B45" s="7">
        <v>22.4</v>
      </c>
      <c r="C45" s="6" t="s">
        <v>37</v>
      </c>
      <c r="D45" s="8"/>
      <c r="E45" s="12"/>
      <c r="F45" s="9">
        <v>0</v>
      </c>
      <c r="G45" s="19"/>
      <c r="H45" s="9">
        <v>0</v>
      </c>
      <c r="I45" s="19"/>
      <c r="J45" s="9">
        <v>0</v>
      </c>
      <c r="K45" s="19"/>
      <c r="L45" s="9">
        <v>0</v>
      </c>
      <c r="M45" s="5">
        <f t="shared" si="15"/>
        <v>0</v>
      </c>
      <c r="N45" t="s">
        <v>188</v>
      </c>
    </row>
    <row r="46" ht="30" spans="1:14">
      <c r="A46" s="3">
        <v>23</v>
      </c>
      <c r="B46" s="2"/>
      <c r="C46" s="2" t="s">
        <v>52</v>
      </c>
      <c r="D46" s="4"/>
      <c r="E46" s="12"/>
      <c r="F46" s="5">
        <f t="shared" ref="F46:J46" si="17">SUM(F47:F48)</f>
        <v>0</v>
      </c>
      <c r="G46" s="5"/>
      <c r="H46" s="5">
        <f t="shared" si="17"/>
        <v>0</v>
      </c>
      <c r="I46" s="5"/>
      <c r="J46" s="5">
        <f t="shared" si="17"/>
        <v>0</v>
      </c>
      <c r="K46" s="5"/>
      <c r="L46" s="5">
        <f>SUM(L47:L48)</f>
        <v>0</v>
      </c>
      <c r="M46" s="5">
        <f>SUM(M47:M48)</f>
        <v>0</v>
      </c>
      <c r="N46" t="s">
        <v>189</v>
      </c>
    </row>
    <row r="47" ht="50" spans="1:14">
      <c r="A47" s="6"/>
      <c r="B47" s="7">
        <v>23.1</v>
      </c>
      <c r="C47" s="6" t="s">
        <v>53</v>
      </c>
      <c r="D47" s="8"/>
      <c r="E47" s="12"/>
      <c r="F47" s="16">
        <v>0</v>
      </c>
      <c r="G47" s="20"/>
      <c r="H47" s="16">
        <v>0</v>
      </c>
      <c r="I47" s="20"/>
      <c r="J47" s="16">
        <v>0</v>
      </c>
      <c r="K47" s="20"/>
      <c r="L47" s="16">
        <v>0</v>
      </c>
      <c r="M47" s="5">
        <f t="shared" ref="M47:M49" si="18">+F47+H47+J47+L47</f>
        <v>0</v>
      </c>
      <c r="N47" t="s">
        <v>190</v>
      </c>
    </row>
    <row r="48" ht="40" spans="1:14">
      <c r="A48" s="6"/>
      <c r="B48" s="7">
        <v>23.2</v>
      </c>
      <c r="C48" s="6" t="s">
        <v>54</v>
      </c>
      <c r="D48" s="8"/>
      <c r="E48" s="12"/>
      <c r="F48" s="16">
        <v>0</v>
      </c>
      <c r="G48" s="20"/>
      <c r="H48" s="16">
        <v>0</v>
      </c>
      <c r="I48" s="20"/>
      <c r="J48" s="16">
        <v>0</v>
      </c>
      <c r="K48" s="20"/>
      <c r="L48" s="16">
        <v>0</v>
      </c>
      <c r="M48" s="5">
        <f t="shared" si="18"/>
        <v>0</v>
      </c>
      <c r="N48" t="s">
        <v>191</v>
      </c>
    </row>
    <row r="49" ht="180" spans="1:14">
      <c r="A49" s="3">
        <v>24</v>
      </c>
      <c r="B49" s="2"/>
      <c r="C49" s="2" t="s">
        <v>55</v>
      </c>
      <c r="D49" s="4" t="s">
        <v>192</v>
      </c>
      <c r="E49" s="21"/>
      <c r="F49" s="16">
        <v>0</v>
      </c>
      <c r="G49" s="20"/>
      <c r="H49" s="16">
        <v>0</v>
      </c>
      <c r="I49" s="20"/>
      <c r="J49" s="17">
        <f>0</f>
        <v>0</v>
      </c>
      <c r="K49" s="20"/>
      <c r="L49" s="17">
        <f>0</f>
        <v>0</v>
      </c>
      <c r="M49" s="5">
        <f t="shared" si="18"/>
        <v>0</v>
      </c>
      <c r="N49" t="s">
        <v>193</v>
      </c>
    </row>
    <row r="50" ht="60" spans="1:14">
      <c r="A50" s="3">
        <v>25</v>
      </c>
      <c r="B50" s="2"/>
      <c r="C50" s="2" t="s">
        <v>56</v>
      </c>
      <c r="D50" s="4"/>
      <c r="E50" s="21"/>
      <c r="F50" s="5">
        <f t="shared" ref="F50:J50" si="19">SUM(F51:F59)-F52</f>
        <v>2318123</v>
      </c>
      <c r="G50" s="5"/>
      <c r="H50" s="5">
        <f t="shared" si="19"/>
        <v>461165</v>
      </c>
      <c r="I50" s="5"/>
      <c r="J50" s="5">
        <f t="shared" si="19"/>
        <v>79993</v>
      </c>
      <c r="K50" s="5"/>
      <c r="L50" s="5">
        <f>SUM(L51:L59)-L52</f>
        <v>1310621</v>
      </c>
      <c r="M50" s="5">
        <f>SUM(M51:M59)-M52</f>
        <v>4169902</v>
      </c>
      <c r="N50" t="s">
        <v>194</v>
      </c>
    </row>
    <row r="51" ht="60" spans="1:14">
      <c r="A51" s="6"/>
      <c r="B51" s="7">
        <v>25.1</v>
      </c>
      <c r="C51" s="22" t="s">
        <v>57</v>
      </c>
      <c r="D51" s="23" t="s">
        <v>195</v>
      </c>
      <c r="E51" s="21"/>
      <c r="F51" s="15">
        <v>1389325</v>
      </c>
      <c r="G51" s="20"/>
      <c r="H51" s="15">
        <v>322236</v>
      </c>
      <c r="I51" s="20"/>
      <c r="J51" s="15">
        <v>0</v>
      </c>
      <c r="K51" s="20"/>
      <c r="L51" s="15">
        <v>862255</v>
      </c>
      <c r="M51" s="5">
        <f t="shared" ref="M51:M89" si="20">+F51+H51+J51+L51</f>
        <v>2573816</v>
      </c>
      <c r="N51" t="s">
        <v>196</v>
      </c>
    </row>
    <row r="52" ht="20" spans="1:14">
      <c r="A52" s="6"/>
      <c r="B52" s="7">
        <v>25.2</v>
      </c>
      <c r="C52" s="6" t="s">
        <v>58</v>
      </c>
      <c r="D52" s="8"/>
      <c r="E52" s="21"/>
      <c r="F52" s="5">
        <f t="shared" ref="F52:J52" si="21">SUM(F53:F55)</f>
        <v>236236</v>
      </c>
      <c r="G52" s="5"/>
      <c r="H52" s="5">
        <f t="shared" si="21"/>
        <v>0</v>
      </c>
      <c r="I52" s="5"/>
      <c r="J52" s="5">
        <f t="shared" si="21"/>
        <v>0</v>
      </c>
      <c r="K52" s="5"/>
      <c r="L52" s="5">
        <f>SUM(L53:L55)</f>
        <v>0</v>
      </c>
      <c r="M52" s="5">
        <f t="shared" si="20"/>
        <v>236236</v>
      </c>
      <c r="N52" t="s">
        <v>197</v>
      </c>
    </row>
    <row r="53" ht="30" spans="1:14">
      <c r="A53" s="6"/>
      <c r="B53" s="10" t="s">
        <v>59</v>
      </c>
      <c r="C53" s="24" t="s">
        <v>60</v>
      </c>
      <c r="D53" s="25"/>
      <c r="E53" s="12"/>
      <c r="F53" s="9">
        <v>0</v>
      </c>
      <c r="G53" s="21"/>
      <c r="H53" s="9">
        <v>0</v>
      </c>
      <c r="I53" s="21"/>
      <c r="J53" s="9">
        <v>0</v>
      </c>
      <c r="K53" s="20"/>
      <c r="L53" s="9">
        <v>0</v>
      </c>
      <c r="M53" s="5">
        <f t="shared" si="20"/>
        <v>0</v>
      </c>
      <c r="N53" t="s">
        <v>198</v>
      </c>
    </row>
    <row r="54" ht="80" spans="1:14">
      <c r="A54" s="6"/>
      <c r="B54" s="10" t="s">
        <v>61</v>
      </c>
      <c r="C54" s="26" t="s">
        <v>62</v>
      </c>
      <c r="D54" s="27"/>
      <c r="E54" s="12"/>
      <c r="F54" s="9">
        <v>0</v>
      </c>
      <c r="G54" s="21"/>
      <c r="H54" s="9">
        <v>0</v>
      </c>
      <c r="I54" s="21"/>
      <c r="J54" s="9">
        <v>0</v>
      </c>
      <c r="K54" s="20"/>
      <c r="L54" s="9">
        <v>0</v>
      </c>
      <c r="M54" s="5">
        <f t="shared" si="20"/>
        <v>0</v>
      </c>
      <c r="N54" t="s">
        <v>199</v>
      </c>
    </row>
    <row r="55" ht="70" spans="1:14">
      <c r="A55" s="6"/>
      <c r="B55" s="28" t="s">
        <v>63</v>
      </c>
      <c r="C55" s="26" t="s">
        <v>64</v>
      </c>
      <c r="D55" s="27" t="s">
        <v>200</v>
      </c>
      <c r="E55" s="12"/>
      <c r="F55" s="9">
        <v>236236</v>
      </c>
      <c r="G55" s="21"/>
      <c r="H55" s="9">
        <v>0</v>
      </c>
      <c r="I55" s="21"/>
      <c r="J55" s="9">
        <v>0</v>
      </c>
      <c r="K55" s="21"/>
      <c r="L55" s="9">
        <v>0</v>
      </c>
      <c r="M55" s="5">
        <f t="shared" si="20"/>
        <v>236236</v>
      </c>
      <c r="N55" t="s">
        <v>201</v>
      </c>
    </row>
    <row r="56" ht="30" spans="1:14">
      <c r="A56" s="6"/>
      <c r="B56" s="7">
        <v>25.3</v>
      </c>
      <c r="C56" s="6" t="s">
        <v>65</v>
      </c>
      <c r="D56" s="8" t="s">
        <v>202</v>
      </c>
      <c r="E56" s="12"/>
      <c r="F56" s="9">
        <v>612292</v>
      </c>
      <c r="G56" s="21"/>
      <c r="H56" s="9">
        <v>138929</v>
      </c>
      <c r="I56" s="21"/>
      <c r="J56" s="9">
        <v>0</v>
      </c>
      <c r="K56" s="21"/>
      <c r="L56" s="9">
        <v>430001</v>
      </c>
      <c r="M56" s="5">
        <f t="shared" si="20"/>
        <v>1181222</v>
      </c>
      <c r="N56" t="s">
        <v>203</v>
      </c>
    </row>
    <row r="57" ht="70" spans="1:14">
      <c r="A57" s="6"/>
      <c r="B57" s="7">
        <v>25.4</v>
      </c>
      <c r="C57" s="6" t="s">
        <v>66</v>
      </c>
      <c r="D57" s="8" t="s">
        <v>204</v>
      </c>
      <c r="E57" s="29"/>
      <c r="F57" s="9">
        <v>6295</v>
      </c>
      <c r="G57" s="21"/>
      <c r="H57" s="9">
        <v>0</v>
      </c>
      <c r="I57" s="21"/>
      <c r="J57" s="9">
        <v>79993</v>
      </c>
      <c r="K57" s="21"/>
      <c r="L57" s="9">
        <v>18365</v>
      </c>
      <c r="M57" s="5">
        <f t="shared" si="20"/>
        <v>104653</v>
      </c>
      <c r="N57" t="s">
        <v>205</v>
      </c>
    </row>
    <row r="58" ht="40" spans="1:14">
      <c r="A58" s="6"/>
      <c r="B58" s="7">
        <v>25.5</v>
      </c>
      <c r="C58" s="6" t="s">
        <v>67</v>
      </c>
      <c r="D58" s="8" t="s">
        <v>206</v>
      </c>
      <c r="E58" s="12"/>
      <c r="F58" s="9">
        <v>26431</v>
      </c>
      <c r="G58" s="21"/>
      <c r="H58" s="9">
        <v>0</v>
      </c>
      <c r="I58" s="21"/>
      <c r="J58" s="38">
        <v>0</v>
      </c>
      <c r="K58" s="21"/>
      <c r="L58" s="38">
        <v>0</v>
      </c>
      <c r="M58" s="5">
        <f t="shared" si="20"/>
        <v>26431</v>
      </c>
      <c r="N58" t="s">
        <v>207</v>
      </c>
    </row>
    <row r="59" ht="60" spans="1:14">
      <c r="A59" s="6"/>
      <c r="B59" s="7">
        <v>25.6</v>
      </c>
      <c r="C59" s="6" t="s">
        <v>68</v>
      </c>
      <c r="D59" s="8" t="s">
        <v>208</v>
      </c>
      <c r="E59" s="30"/>
      <c r="F59" s="9">
        <v>47544</v>
      </c>
      <c r="G59" s="21"/>
      <c r="H59" s="9">
        <v>0</v>
      </c>
      <c r="I59" s="21"/>
      <c r="J59" s="38">
        <v>0</v>
      </c>
      <c r="K59" s="21"/>
      <c r="L59" s="38">
        <v>0</v>
      </c>
      <c r="M59" s="5">
        <f t="shared" si="20"/>
        <v>47544</v>
      </c>
      <c r="N59" t="s">
        <v>209</v>
      </c>
    </row>
    <row r="60" ht="20" spans="1:14">
      <c r="A60" s="3">
        <v>26</v>
      </c>
      <c r="B60" s="2"/>
      <c r="C60" s="2" t="s">
        <v>69</v>
      </c>
      <c r="D60" s="4"/>
      <c r="E60" s="12"/>
      <c r="F60" s="5">
        <f t="shared" ref="F60:J60" si="22">SUM(F61:F69)</f>
        <v>305504</v>
      </c>
      <c r="G60" s="5"/>
      <c r="H60" s="5">
        <f t="shared" si="22"/>
        <v>216255</v>
      </c>
      <c r="I60" s="5"/>
      <c r="J60" s="5">
        <f t="shared" si="22"/>
        <v>0</v>
      </c>
      <c r="K60" s="5"/>
      <c r="L60" s="5">
        <f>SUM(L61:L69)</f>
        <v>14986</v>
      </c>
      <c r="M60" s="5">
        <f t="shared" si="20"/>
        <v>536745</v>
      </c>
      <c r="N60" t="s">
        <v>210</v>
      </c>
    </row>
    <row r="61" ht="409.5" spans="1:14">
      <c r="A61" s="6"/>
      <c r="B61" s="7">
        <v>26.1</v>
      </c>
      <c r="C61" s="6" t="s">
        <v>70</v>
      </c>
      <c r="D61" s="8" t="s">
        <v>211</v>
      </c>
      <c r="E61" s="12"/>
      <c r="F61" s="31">
        <v>97915</v>
      </c>
      <c r="G61" s="32"/>
      <c r="H61" s="31">
        <v>51233</v>
      </c>
      <c r="I61" s="32"/>
      <c r="J61" s="31">
        <v>0</v>
      </c>
      <c r="K61" s="32"/>
      <c r="L61" s="31">
        <v>14986</v>
      </c>
      <c r="M61" s="5">
        <f t="shared" si="20"/>
        <v>164134</v>
      </c>
      <c r="N61" t="s">
        <v>212</v>
      </c>
    </row>
    <row r="62" ht="20" spans="1:14">
      <c r="A62" s="6"/>
      <c r="B62" s="7">
        <v>26.2</v>
      </c>
      <c r="C62" s="6" t="s">
        <v>71</v>
      </c>
      <c r="D62" s="8" t="s">
        <v>213</v>
      </c>
      <c r="E62" s="12"/>
      <c r="F62" s="31">
        <v>60000</v>
      </c>
      <c r="G62" s="32"/>
      <c r="H62" s="31">
        <v>0</v>
      </c>
      <c r="I62" s="32"/>
      <c r="J62" s="31">
        <v>0</v>
      </c>
      <c r="K62" s="32"/>
      <c r="L62" s="31">
        <v>0</v>
      </c>
      <c r="M62" s="5">
        <f t="shared" si="20"/>
        <v>60000</v>
      </c>
      <c r="N62" t="s">
        <v>214</v>
      </c>
    </row>
    <row r="63" ht="140" spans="1:14">
      <c r="A63" s="6"/>
      <c r="B63" s="7">
        <v>26.3</v>
      </c>
      <c r="C63" s="6" t="s">
        <v>72</v>
      </c>
      <c r="D63" s="8" t="s">
        <v>215</v>
      </c>
      <c r="E63" s="33"/>
      <c r="F63" s="31">
        <v>147589</v>
      </c>
      <c r="G63" s="34"/>
      <c r="H63" s="31">
        <v>165022</v>
      </c>
      <c r="I63" s="34"/>
      <c r="J63" s="31">
        <v>0</v>
      </c>
      <c r="K63" s="34"/>
      <c r="L63" s="31">
        <v>0</v>
      </c>
      <c r="M63" s="5">
        <f t="shared" si="20"/>
        <v>312611</v>
      </c>
      <c r="N63" t="s">
        <v>216</v>
      </c>
    </row>
    <row r="64" spans="1:14">
      <c r="A64" s="6"/>
      <c r="B64" s="7">
        <v>26.4</v>
      </c>
      <c r="C64" s="6" t="s">
        <v>73</v>
      </c>
      <c r="D64" s="8"/>
      <c r="E64" s="35"/>
      <c r="F64" s="9">
        <v>0</v>
      </c>
      <c r="G64" s="36"/>
      <c r="H64" s="9">
        <v>0</v>
      </c>
      <c r="I64" s="36"/>
      <c r="J64" s="9">
        <v>0</v>
      </c>
      <c r="K64" s="32"/>
      <c r="L64" s="9">
        <v>0</v>
      </c>
      <c r="M64" s="5">
        <f t="shared" si="20"/>
        <v>0</v>
      </c>
      <c r="N64" t="s">
        <v>217</v>
      </c>
    </row>
    <row r="65" spans="1:14">
      <c r="A65" s="6"/>
      <c r="B65" s="7">
        <v>26.5</v>
      </c>
      <c r="C65" s="6" t="s">
        <v>74</v>
      </c>
      <c r="D65" s="8"/>
      <c r="E65" s="35"/>
      <c r="F65" s="9">
        <v>0</v>
      </c>
      <c r="G65" s="36"/>
      <c r="H65" s="9">
        <v>0</v>
      </c>
      <c r="I65" s="36"/>
      <c r="J65" s="9">
        <v>0</v>
      </c>
      <c r="K65" s="36"/>
      <c r="L65" s="9">
        <v>0</v>
      </c>
      <c r="M65" s="5">
        <f t="shared" si="20"/>
        <v>0</v>
      </c>
      <c r="N65" t="s">
        <v>218</v>
      </c>
    </row>
    <row r="66" ht="50" spans="1:14">
      <c r="A66" s="6"/>
      <c r="B66" s="7">
        <v>26.6</v>
      </c>
      <c r="C66" s="6" t="s">
        <v>75</v>
      </c>
      <c r="D66" s="8"/>
      <c r="E66" s="35"/>
      <c r="F66" s="39">
        <v>0</v>
      </c>
      <c r="G66" s="36"/>
      <c r="H66" s="39">
        <v>0</v>
      </c>
      <c r="I66" s="36"/>
      <c r="J66" s="39">
        <v>0</v>
      </c>
      <c r="K66" s="36"/>
      <c r="L66" s="39">
        <v>0</v>
      </c>
      <c r="M66" s="5">
        <f t="shared" si="20"/>
        <v>0</v>
      </c>
      <c r="N66" t="s">
        <v>219</v>
      </c>
    </row>
    <row r="67" ht="40" spans="1:14">
      <c r="A67" s="6"/>
      <c r="B67" s="7">
        <v>26.7</v>
      </c>
      <c r="C67" s="6" t="s">
        <v>76</v>
      </c>
      <c r="D67" s="8"/>
      <c r="E67" s="35"/>
      <c r="F67" s="39">
        <v>0</v>
      </c>
      <c r="G67" s="36"/>
      <c r="H67" s="39">
        <v>0</v>
      </c>
      <c r="I67" s="36"/>
      <c r="J67" s="39">
        <v>0</v>
      </c>
      <c r="K67" s="36"/>
      <c r="L67" s="39">
        <v>0</v>
      </c>
      <c r="M67" s="5">
        <f t="shared" si="20"/>
        <v>0</v>
      </c>
      <c r="N67" t="s">
        <v>220</v>
      </c>
    </row>
    <row r="68" ht="20" spans="1:14">
      <c r="A68" s="6"/>
      <c r="B68" s="7">
        <v>26.8</v>
      </c>
      <c r="C68" s="6" t="s">
        <v>77</v>
      </c>
      <c r="D68" s="8"/>
      <c r="E68" s="35"/>
      <c r="F68" s="39">
        <v>0</v>
      </c>
      <c r="G68" s="5"/>
      <c r="H68" s="39">
        <v>0</v>
      </c>
      <c r="I68" s="5"/>
      <c r="J68" s="39">
        <v>0</v>
      </c>
      <c r="K68" s="5"/>
      <c r="L68" s="39">
        <v>0</v>
      </c>
      <c r="M68" s="5">
        <f t="shared" si="20"/>
        <v>0</v>
      </c>
      <c r="N68" t="s">
        <v>221</v>
      </c>
    </row>
    <row r="69" ht="20" spans="1:14">
      <c r="A69" s="6"/>
      <c r="B69" s="7">
        <v>26.9</v>
      </c>
      <c r="C69" s="6" t="s">
        <v>78</v>
      </c>
      <c r="D69" s="8"/>
      <c r="E69" s="35"/>
      <c r="F69" s="40">
        <v>0</v>
      </c>
      <c r="G69" s="41"/>
      <c r="H69" s="40">
        <v>0</v>
      </c>
      <c r="I69" s="41"/>
      <c r="J69" s="40">
        <v>0</v>
      </c>
      <c r="K69" s="41"/>
      <c r="L69" s="40">
        <v>0</v>
      </c>
      <c r="M69" s="34">
        <f t="shared" si="20"/>
        <v>0</v>
      </c>
      <c r="N69" t="s">
        <v>222</v>
      </c>
    </row>
    <row r="70" ht="50" spans="1:14">
      <c r="A70" s="3">
        <v>27</v>
      </c>
      <c r="B70" s="2"/>
      <c r="C70" s="2" t="s">
        <v>79</v>
      </c>
      <c r="D70" s="4"/>
      <c r="E70" s="42"/>
      <c r="F70" s="5">
        <f t="shared" ref="F70:J70" si="23">SUM(F71:F77)</f>
        <v>0</v>
      </c>
      <c r="G70" s="5"/>
      <c r="H70" s="5">
        <f t="shared" si="23"/>
        <v>0</v>
      </c>
      <c r="I70" s="5"/>
      <c r="J70" s="5">
        <f t="shared" si="23"/>
        <v>0</v>
      </c>
      <c r="K70" s="5"/>
      <c r="L70" s="5">
        <f>SUM(L71:L77)</f>
        <v>0</v>
      </c>
      <c r="M70" s="34">
        <f t="shared" si="20"/>
        <v>0</v>
      </c>
      <c r="N70" t="s">
        <v>223</v>
      </c>
    </row>
    <row r="71" ht="50" spans="1:14">
      <c r="A71" s="6"/>
      <c r="B71" s="7">
        <v>27.1</v>
      </c>
      <c r="C71" s="6" t="s">
        <v>80</v>
      </c>
      <c r="D71" s="8"/>
      <c r="E71" s="42"/>
      <c r="F71" s="9">
        <v>0</v>
      </c>
      <c r="G71" s="29"/>
      <c r="H71" s="9">
        <v>0</v>
      </c>
      <c r="I71" s="29"/>
      <c r="J71" s="9">
        <v>0</v>
      </c>
      <c r="K71" s="29"/>
      <c r="L71" s="9">
        <v>0</v>
      </c>
      <c r="M71" s="5">
        <f t="shared" si="20"/>
        <v>0</v>
      </c>
      <c r="N71" t="s">
        <v>224</v>
      </c>
    </row>
    <row r="72" ht="20" spans="1:14">
      <c r="A72" s="6"/>
      <c r="B72" s="7">
        <v>27.2</v>
      </c>
      <c r="C72" s="6" t="s">
        <v>81</v>
      </c>
      <c r="D72" s="8"/>
      <c r="E72" s="42"/>
      <c r="F72" s="9">
        <v>0</v>
      </c>
      <c r="G72" s="29"/>
      <c r="H72" s="9">
        <v>0</v>
      </c>
      <c r="I72" s="29"/>
      <c r="J72" s="9">
        <v>0</v>
      </c>
      <c r="K72" s="29"/>
      <c r="L72" s="9">
        <v>0</v>
      </c>
      <c r="M72" s="5">
        <f t="shared" si="20"/>
        <v>0</v>
      </c>
      <c r="N72" t="s">
        <v>225</v>
      </c>
    </row>
    <row r="73" ht="60" spans="1:14">
      <c r="A73" s="6"/>
      <c r="B73" s="7">
        <v>27.3</v>
      </c>
      <c r="C73" s="6" t="s">
        <v>82</v>
      </c>
      <c r="D73" s="8"/>
      <c r="E73" s="42"/>
      <c r="F73" s="9">
        <v>0</v>
      </c>
      <c r="G73" s="29"/>
      <c r="H73" s="9">
        <v>0</v>
      </c>
      <c r="I73" s="29"/>
      <c r="J73" s="9">
        <v>0</v>
      </c>
      <c r="K73" s="29"/>
      <c r="L73" s="9">
        <v>0</v>
      </c>
      <c r="M73" s="5">
        <f t="shared" si="20"/>
        <v>0</v>
      </c>
      <c r="N73" t="s">
        <v>226</v>
      </c>
    </row>
    <row r="74" ht="30" spans="1:14">
      <c r="A74" s="6"/>
      <c r="B74" s="7">
        <v>27.4</v>
      </c>
      <c r="C74" s="6" t="s">
        <v>83</v>
      </c>
      <c r="D74" s="8"/>
      <c r="E74" s="42"/>
      <c r="F74" s="9">
        <v>0</v>
      </c>
      <c r="G74" s="29"/>
      <c r="H74" s="9">
        <v>0</v>
      </c>
      <c r="I74" s="29"/>
      <c r="J74" s="9">
        <v>0</v>
      </c>
      <c r="K74" s="29"/>
      <c r="L74" s="9">
        <v>0</v>
      </c>
      <c r="M74" s="5">
        <f t="shared" si="20"/>
        <v>0</v>
      </c>
      <c r="N74" t="s">
        <v>227</v>
      </c>
    </row>
    <row r="75" ht="30" spans="1:14">
      <c r="A75" s="6"/>
      <c r="B75" s="7">
        <v>27.5</v>
      </c>
      <c r="C75" s="6" t="s">
        <v>84</v>
      </c>
      <c r="D75" s="8"/>
      <c r="E75" s="12"/>
      <c r="F75" s="16">
        <v>0</v>
      </c>
      <c r="G75" s="29"/>
      <c r="H75" s="16">
        <v>0</v>
      </c>
      <c r="I75" s="29"/>
      <c r="J75" s="16">
        <v>0</v>
      </c>
      <c r="K75" s="29"/>
      <c r="L75" s="16">
        <v>0</v>
      </c>
      <c r="M75" s="5">
        <f t="shared" si="20"/>
        <v>0</v>
      </c>
      <c r="N75" t="s">
        <v>228</v>
      </c>
    </row>
    <row r="76" ht="30" spans="1:14">
      <c r="A76" s="6"/>
      <c r="B76" s="7">
        <v>27.6</v>
      </c>
      <c r="C76" s="6" t="s">
        <v>85</v>
      </c>
      <c r="D76" s="8"/>
      <c r="E76" s="12"/>
      <c r="F76" s="16">
        <v>0</v>
      </c>
      <c r="G76" s="29"/>
      <c r="H76" s="16">
        <v>0</v>
      </c>
      <c r="I76" s="29"/>
      <c r="J76" s="16">
        <v>0</v>
      </c>
      <c r="K76" s="29"/>
      <c r="L76" s="16">
        <v>0</v>
      </c>
      <c r="M76" s="5">
        <f t="shared" si="20"/>
        <v>0</v>
      </c>
      <c r="N76" t="s">
        <v>229</v>
      </c>
    </row>
    <row r="77" ht="30" spans="1:14">
      <c r="A77" s="6"/>
      <c r="B77" s="7">
        <v>27.7</v>
      </c>
      <c r="C77" s="6" t="s">
        <v>86</v>
      </c>
      <c r="D77" s="8"/>
      <c r="E77" s="29"/>
      <c r="F77" s="16">
        <v>0</v>
      </c>
      <c r="G77" s="29"/>
      <c r="H77" s="16">
        <v>0</v>
      </c>
      <c r="I77" s="29"/>
      <c r="J77" s="16">
        <v>0</v>
      </c>
      <c r="K77" s="29"/>
      <c r="L77" s="16">
        <v>0</v>
      </c>
      <c r="M77" s="5">
        <f t="shared" si="20"/>
        <v>0</v>
      </c>
      <c r="N77" t="s">
        <v>230</v>
      </c>
    </row>
    <row r="78" ht="20" spans="1:14">
      <c r="A78" s="3">
        <v>28</v>
      </c>
      <c r="B78" s="2"/>
      <c r="C78" s="2" t="s">
        <v>87</v>
      </c>
      <c r="D78" s="4"/>
      <c r="E78" s="12"/>
      <c r="F78" s="5">
        <f t="shared" ref="F78:J78" si="24">+F79+F82+F89</f>
        <v>2661445</v>
      </c>
      <c r="G78" s="5"/>
      <c r="H78" s="5">
        <f t="shared" si="24"/>
        <v>0</v>
      </c>
      <c r="I78" s="5"/>
      <c r="J78" s="5">
        <f t="shared" si="24"/>
        <v>0</v>
      </c>
      <c r="K78" s="5"/>
      <c r="L78" s="5">
        <f>+L79+L82+L89</f>
        <v>0</v>
      </c>
      <c r="M78" s="5">
        <f t="shared" si="20"/>
        <v>2661445</v>
      </c>
      <c r="N78" t="s">
        <v>231</v>
      </c>
    </row>
    <row r="79" ht="20" spans="1:14">
      <c r="A79" s="6"/>
      <c r="B79" s="7">
        <v>28.1</v>
      </c>
      <c r="C79" s="6" t="s">
        <v>88</v>
      </c>
      <c r="D79" s="8"/>
      <c r="E79" s="12"/>
      <c r="F79" s="5">
        <f t="shared" ref="F79:J79" si="25">SUM(F80:F81)</f>
        <v>760000</v>
      </c>
      <c r="G79" s="5"/>
      <c r="H79" s="5">
        <f t="shared" si="25"/>
        <v>0</v>
      </c>
      <c r="I79" s="5"/>
      <c r="J79" s="5">
        <f t="shared" si="25"/>
        <v>0</v>
      </c>
      <c r="K79" s="5"/>
      <c r="L79" s="5">
        <f>SUM(L80:L81)</f>
        <v>0</v>
      </c>
      <c r="M79" s="5">
        <f t="shared" si="20"/>
        <v>760000</v>
      </c>
      <c r="N79" t="s">
        <v>232</v>
      </c>
    </row>
    <row r="80" ht="60" spans="1:14">
      <c r="A80" s="6"/>
      <c r="B80" s="10" t="s">
        <v>89</v>
      </c>
      <c r="C80" s="6" t="s">
        <v>90</v>
      </c>
      <c r="D80" s="8" t="s">
        <v>233</v>
      </c>
      <c r="E80" s="30"/>
      <c r="F80" s="39">
        <v>760000</v>
      </c>
      <c r="G80" s="36"/>
      <c r="H80" s="39">
        <v>0</v>
      </c>
      <c r="I80" s="36"/>
      <c r="J80" s="39">
        <v>0</v>
      </c>
      <c r="K80" s="36"/>
      <c r="L80" s="39">
        <v>0</v>
      </c>
      <c r="M80" s="5">
        <f t="shared" si="20"/>
        <v>760000</v>
      </c>
      <c r="N80" t="s">
        <v>234</v>
      </c>
    </row>
    <row r="81" ht="20" spans="1:14">
      <c r="A81" s="6"/>
      <c r="B81" s="10" t="s">
        <v>91</v>
      </c>
      <c r="C81" s="6" t="s">
        <v>92</v>
      </c>
      <c r="D81" s="8"/>
      <c r="E81" s="12"/>
      <c r="F81" s="39">
        <v>0</v>
      </c>
      <c r="G81" s="36"/>
      <c r="H81" s="39">
        <v>0</v>
      </c>
      <c r="I81" s="36"/>
      <c r="J81" s="39">
        <v>0</v>
      </c>
      <c r="K81" s="36"/>
      <c r="L81" s="39">
        <v>0</v>
      </c>
      <c r="M81" s="5">
        <f t="shared" si="20"/>
        <v>0</v>
      </c>
      <c r="N81" t="s">
        <v>235</v>
      </c>
    </row>
    <row r="82" ht="20" spans="1:14">
      <c r="A82" s="6"/>
      <c r="B82" s="7">
        <v>28.2</v>
      </c>
      <c r="C82" s="6" t="s">
        <v>93</v>
      </c>
      <c r="D82" s="8"/>
      <c r="E82" s="43"/>
      <c r="F82" s="5">
        <f t="shared" ref="F82:J82" si="26">SUM(F83:F88)</f>
        <v>1901445</v>
      </c>
      <c r="G82" s="5"/>
      <c r="H82" s="5">
        <f t="shared" si="26"/>
        <v>0</v>
      </c>
      <c r="I82" s="5"/>
      <c r="J82" s="5">
        <f t="shared" si="26"/>
        <v>0</v>
      </c>
      <c r="K82" s="5"/>
      <c r="L82" s="5">
        <f>SUM(L83:L88)</f>
        <v>0</v>
      </c>
      <c r="M82" s="5">
        <f t="shared" si="20"/>
        <v>1901445</v>
      </c>
      <c r="N82" t="s">
        <v>236</v>
      </c>
    </row>
    <row r="83" ht="60" spans="1:14">
      <c r="A83" s="6"/>
      <c r="B83" s="10" t="s">
        <v>94</v>
      </c>
      <c r="C83" s="6" t="s">
        <v>95</v>
      </c>
      <c r="D83" s="8" t="s">
        <v>237</v>
      </c>
      <c r="E83" s="29"/>
      <c r="F83" s="9">
        <v>97950</v>
      </c>
      <c r="G83" s="29"/>
      <c r="H83" s="9">
        <v>0</v>
      </c>
      <c r="I83" s="29"/>
      <c r="J83" s="9">
        <v>0</v>
      </c>
      <c r="K83" s="29"/>
      <c r="L83" s="9">
        <v>0</v>
      </c>
      <c r="M83" s="5">
        <f t="shared" si="20"/>
        <v>97950</v>
      </c>
      <c r="N83" t="s">
        <v>238</v>
      </c>
    </row>
    <row r="84" ht="30" spans="1:14">
      <c r="A84" s="6"/>
      <c r="B84" s="10" t="s">
        <v>96</v>
      </c>
      <c r="C84" s="6" t="s">
        <v>97</v>
      </c>
      <c r="D84" s="8"/>
      <c r="E84" s="29"/>
      <c r="F84" s="9">
        <v>0</v>
      </c>
      <c r="G84" s="29"/>
      <c r="H84" s="9">
        <v>0</v>
      </c>
      <c r="I84" s="29"/>
      <c r="J84" s="9">
        <v>0</v>
      </c>
      <c r="K84" s="29"/>
      <c r="L84" s="9">
        <v>0</v>
      </c>
      <c r="M84" s="5">
        <f t="shared" si="20"/>
        <v>0</v>
      </c>
      <c r="N84" t="s">
        <v>239</v>
      </c>
    </row>
    <row r="85" ht="40" spans="1:14">
      <c r="A85" s="6"/>
      <c r="B85" s="10" t="s">
        <v>98</v>
      </c>
      <c r="C85" s="6" t="s">
        <v>99</v>
      </c>
      <c r="D85" s="8"/>
      <c r="E85" s="29"/>
      <c r="F85" s="9">
        <v>0</v>
      </c>
      <c r="G85" s="29"/>
      <c r="H85" s="9">
        <v>0</v>
      </c>
      <c r="I85" s="29"/>
      <c r="J85" s="9">
        <v>0</v>
      </c>
      <c r="K85" s="29"/>
      <c r="L85" s="9">
        <v>0</v>
      </c>
      <c r="M85" s="5">
        <f t="shared" si="20"/>
        <v>0</v>
      </c>
      <c r="N85" t="s">
        <v>240</v>
      </c>
    </row>
    <row r="86" ht="40" spans="1:14">
      <c r="A86" s="6"/>
      <c r="B86" s="10" t="s">
        <v>100</v>
      </c>
      <c r="C86" s="22" t="s">
        <v>101</v>
      </c>
      <c r="D86" s="23"/>
      <c r="E86" s="29"/>
      <c r="F86" s="9">
        <v>0</v>
      </c>
      <c r="G86" s="29"/>
      <c r="H86" s="9">
        <v>0</v>
      </c>
      <c r="I86" s="29"/>
      <c r="J86" s="9">
        <v>0</v>
      </c>
      <c r="K86" s="29"/>
      <c r="L86" s="9">
        <v>0</v>
      </c>
      <c r="M86" s="5">
        <f t="shared" si="20"/>
        <v>0</v>
      </c>
      <c r="N86" t="s">
        <v>241</v>
      </c>
    </row>
    <row r="87" ht="60" spans="1:14">
      <c r="A87" s="6"/>
      <c r="B87" s="28" t="s">
        <v>102</v>
      </c>
      <c r="C87" s="6" t="s">
        <v>103</v>
      </c>
      <c r="D87" s="8" t="s">
        <v>242</v>
      </c>
      <c r="E87" s="29"/>
      <c r="F87" s="16">
        <v>1529944</v>
      </c>
      <c r="G87" s="29"/>
      <c r="H87" s="16">
        <v>0</v>
      </c>
      <c r="I87" s="29"/>
      <c r="J87" s="16">
        <v>0</v>
      </c>
      <c r="K87" s="29"/>
      <c r="L87" s="16">
        <v>0</v>
      </c>
      <c r="M87" s="5">
        <f t="shared" si="20"/>
        <v>1529944</v>
      </c>
      <c r="N87" t="s">
        <v>243</v>
      </c>
    </row>
    <row r="88" ht="40" spans="1:14">
      <c r="A88" s="6"/>
      <c r="B88" s="28" t="s">
        <v>104</v>
      </c>
      <c r="C88" s="6" t="s">
        <v>105</v>
      </c>
      <c r="D88" s="8" t="s">
        <v>244</v>
      </c>
      <c r="E88" s="29"/>
      <c r="F88" s="16">
        <v>273551</v>
      </c>
      <c r="G88" s="29"/>
      <c r="H88" s="16">
        <v>0</v>
      </c>
      <c r="I88" s="29"/>
      <c r="J88" s="16">
        <v>0</v>
      </c>
      <c r="K88" s="29"/>
      <c r="L88" s="16">
        <v>0</v>
      </c>
      <c r="M88" s="5">
        <f t="shared" si="20"/>
        <v>273551</v>
      </c>
      <c r="N88" t="s">
        <v>245</v>
      </c>
    </row>
    <row r="89" ht="40" spans="1:14">
      <c r="A89" s="6"/>
      <c r="B89" s="7">
        <v>28.3</v>
      </c>
      <c r="C89" s="6" t="s">
        <v>106</v>
      </c>
      <c r="D89" s="8"/>
      <c r="E89" s="29"/>
      <c r="F89" s="16">
        <v>0</v>
      </c>
      <c r="G89" s="29"/>
      <c r="H89" s="16">
        <v>0</v>
      </c>
      <c r="I89" s="29"/>
      <c r="J89" s="16">
        <v>0</v>
      </c>
      <c r="K89" s="29"/>
      <c r="L89" s="16">
        <v>0</v>
      </c>
      <c r="M89" s="5">
        <f t="shared" si="20"/>
        <v>0</v>
      </c>
      <c r="N89" t="s">
        <v>246</v>
      </c>
    </row>
    <row r="90" ht="40" spans="1:14">
      <c r="A90" s="3">
        <v>29</v>
      </c>
      <c r="B90" s="2"/>
      <c r="C90" s="2" t="s">
        <v>107</v>
      </c>
      <c r="D90" s="4"/>
      <c r="E90" s="29"/>
      <c r="F90" s="5">
        <f t="shared" ref="F90:J90" si="27">+F78+F70+F60+F50+F49+F46+F41+F38+F34+F33+F31+F26+F15+F10+F5</f>
        <v>16830777</v>
      </c>
      <c r="G90" s="5"/>
      <c r="H90" s="5">
        <f t="shared" si="27"/>
        <v>4806680</v>
      </c>
      <c r="I90" s="5"/>
      <c r="J90" s="5">
        <f t="shared" si="27"/>
        <v>215043</v>
      </c>
      <c r="K90" s="5"/>
      <c r="L90" s="5">
        <f>+L78+L70+L60+L50+L49+L46+L41+L38+L34+L33+L31+L26+L15+L10+L5</f>
        <v>2766056</v>
      </c>
      <c r="M90" s="5">
        <f>+M78+M70+M60+M50+M49+M46+M41+M38+M34+M33+M31+M26+M15+M10+M5</f>
        <v>24618556</v>
      </c>
      <c r="N90" t="s">
        <v>247</v>
      </c>
    </row>
  </sheetData>
  <mergeCells count="9">
    <mergeCell ref="A1:M1"/>
    <mergeCell ref="E2:H2"/>
    <mergeCell ref="I2:L2"/>
    <mergeCell ref="E3:F3"/>
    <mergeCell ref="G3:H3"/>
    <mergeCell ref="I3:J3"/>
    <mergeCell ref="K3:L3"/>
    <mergeCell ref="M2:M4"/>
    <mergeCell ref="A2:C3"/>
  </mergeCells>
  <dataValidations count="2">
    <dataValidation type="whole" operator="between" allowBlank="1" showInputMessage="1" showErrorMessage="1" error="Please input a valid data!" sqref="E33:E90 F81:F88 G33:G90 H81:H88 I33:I90 J81:J88 K33:K90 L81:M88">
      <formula1>-1000000000000</formula1>
      <formula2>1000000000000</formula2>
    </dataValidation>
    <dataValidation type="whole" operator="greaterThanOrEqual" allowBlank="1" showInputMessage="1" showErrorMessage="1" error="Please input a valid data!" sqref="F33:F80 F89:F90 H33:H80 H89:H90 J33:J80 J89:J90 E5:M32 L33:M80 L89:M90">
      <formula1>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MAPPING_DOCUMENT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sayshri</dc:creator>
  <cp:lastModifiedBy>sayshri</cp:lastModifiedBy>
  <dcterms:created xsi:type="dcterms:W3CDTF">2024-02-05T07:04:05Z</dcterms:created>
  <dcterms:modified xsi:type="dcterms:W3CDTF">2024-02-05T07:37:48Z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BEA2171CD41C406BB2144CF6760C57CB_11</vt:lpwstr>
  </property>
  <property fmtid="{D5CDD505-2E9C-101B-9397-08002B2CF9AE}" pid="3" name="KSOProductBuildVer">
    <vt:lpwstr>1033-12.2.0.13431</vt:lpwstr>
  </property>
</Properties>
</file>