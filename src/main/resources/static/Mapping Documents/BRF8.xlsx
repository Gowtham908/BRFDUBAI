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RF\LOGIC\"/>
    </mc:Choice>
  </mc:AlternateContent>
  <xr:revisionPtr revIDLastSave="0" documentId="13_ncr:1_{D2A7CF5C-90F4-43C1-891C-E634AF3127AF}" xr6:coauthVersionLast="36" xr6:coauthVersionMax="36" xr10:uidLastSave="{00000000-0000-0000-0000-000000000000}"/>
  <bookViews>
    <workbookView xWindow="0" yWindow="0" windowWidth="19200" windowHeight="6810" activeTab="1" xr2:uid="{00000000-000D-0000-FFFF-FFFF00000000}"/>
  </bookViews>
  <sheets>
    <sheet name="21June2015 BRF 8" sheetId="1" r:id="rId1"/>
    <sheet name="Sheet1" sheetId="2" r:id="rId2"/>
  </sheets>
  <definedNames>
    <definedName name="_xlnm.Print_Area" localSheetId="0">'21June2015 BRF 8'!$A$1:$E$24</definedName>
  </definedNames>
  <calcPr calcId="191029"/>
</workbook>
</file>

<file path=xl/calcChain.xml><?xml version="1.0" encoding="utf-8"?>
<calcChain xmlns="http://schemas.openxmlformats.org/spreadsheetml/2006/main">
  <c r="D17" i="2" l="1"/>
  <c r="D19" i="2" s="1"/>
  <c r="E12" i="2"/>
  <c r="D12" i="2"/>
  <c r="E17" i="2" l="1"/>
  <c r="E19" i="2" s="1"/>
  <c r="E21" i="2" s="1"/>
  <c r="E18" i="2"/>
  <c r="E22" i="1"/>
  <c r="D18" i="1"/>
  <c r="D13" i="1"/>
  <c r="D20" i="1"/>
  <c r="E13" i="1"/>
  <c r="E19" i="1"/>
  <c r="E18" i="1"/>
  <c r="E20" i="1"/>
</calcChain>
</file>

<file path=xl/sharedStrings.xml><?xml version="1.0" encoding="utf-8"?>
<sst xmlns="http://schemas.openxmlformats.org/spreadsheetml/2006/main" count="67" uniqueCount="36">
  <si>
    <t xml:space="preserve"> ID:</t>
  </si>
  <si>
    <t xml:space="preserve">Bank : </t>
  </si>
  <si>
    <t>As on:</t>
  </si>
  <si>
    <t>Nominal amount</t>
  </si>
  <si>
    <t>Physical cash in hand at the bank</t>
  </si>
  <si>
    <t>Statutory reserves with Central Bank</t>
  </si>
  <si>
    <t>Central Bank CDs (unencumbered)</t>
  </si>
  <si>
    <t>Note:</t>
  </si>
  <si>
    <t>UAE Federal Government Bonds and Sukuks</t>
  </si>
  <si>
    <r>
      <t xml:space="preserve">UAE local governments publicly traded debt securities (0% Risk Weighted  under BII Standardized Approach) </t>
    </r>
    <r>
      <rPr>
        <sz val="8"/>
        <color indexed="10"/>
        <rFont val="Arial"/>
        <family val="2"/>
      </rPr>
      <t>Rated A+ and above</t>
    </r>
  </si>
  <si>
    <r>
      <t xml:space="preserve">UAE Public sector publicly traded debt securities (non commercial, 0% Risk Weighted  under BII Standardized Approach) </t>
    </r>
    <r>
      <rPr>
        <sz val="8"/>
        <color indexed="10"/>
        <rFont val="Arial"/>
        <family val="2"/>
      </rPr>
      <t>Rated A+ and above</t>
    </r>
  </si>
  <si>
    <t>Foreign Sovereign debt instruments or instruments issued by their respective central banks (0% Risk Weighted under Basel II Standardized Approach)</t>
  </si>
  <si>
    <t>Free and other account balances at the Central Bank (excluding statutory reserves)</t>
  </si>
  <si>
    <t xml:space="preserve"> BANKING AND MONETARY STATISTICS-  LIQUID ASSETS RATIO (LAR) - BRF 8 (AED IN 000)</t>
  </si>
  <si>
    <r>
      <t xml:space="preserve">UAE local governments publicly traded debt securities (0% Risk Weighted  under BII Standardized Approach) </t>
    </r>
    <r>
      <rPr>
        <sz val="8"/>
        <color indexed="10"/>
        <rFont val="Arial"/>
        <family val="2"/>
      </rPr>
      <t>Rated A and below or unrated</t>
    </r>
  </si>
  <si>
    <r>
      <t xml:space="preserve">UAE Public sector publicly traded debt securities (non commercial, 0% Risk Weighted  under BII Standardized Approach) </t>
    </r>
    <r>
      <rPr>
        <sz val="8"/>
        <color indexed="10"/>
        <rFont val="Arial"/>
        <family val="2"/>
      </rPr>
      <t>Rated A and below or unrated</t>
    </r>
  </si>
  <si>
    <t>Eligible Liquid Asset</t>
  </si>
  <si>
    <t>Sub Total (1.1 to 1.5)</t>
  </si>
  <si>
    <t>Sub total (1.6 to 1.9)</t>
  </si>
  <si>
    <t xml:space="preserve">Total </t>
  </si>
  <si>
    <t>Eligible Liquid Assets Ratio (ELAR)</t>
  </si>
  <si>
    <t>High Quality Liquid Assets</t>
  </si>
  <si>
    <t>FORM NO BSD/ BRF 8-LR/APR16</t>
  </si>
  <si>
    <t>All securities should be unencumbered.  Assets of UAE operations only need be reported. (Ref Circular No 33/2015 of 27/05/2015)</t>
  </si>
  <si>
    <r>
      <t xml:space="preserve">Total liabilities (BRF-2 LIAB: Item nos. 29- 18.1- </t>
    </r>
    <r>
      <rPr>
        <b/>
        <sz val="8"/>
        <color indexed="10"/>
        <rFont val="Arial"/>
        <family val="2"/>
      </rPr>
      <t>(25- 25.5)- 26.7</t>
    </r>
    <r>
      <rPr>
        <sz val="8"/>
        <color indexed="8"/>
        <rFont val="Arial"/>
        <family val="2"/>
      </rPr>
      <t>- 28)</t>
    </r>
  </si>
  <si>
    <t>2-8-2-0</t>
  </si>
  <si>
    <t>Bank of Baroda</t>
  </si>
  <si>
    <t>30/06/2023</t>
  </si>
  <si>
    <t xml:space="preserve">As per the logic in BRF1 Others- unencumbered </t>
  </si>
  <si>
    <t>As per the logic in BRF1 Debit securities.</t>
  </si>
  <si>
    <t>As per the logic in BRF1 Debit securities(Only government bond others account)
KTP account (A31013016)</t>
  </si>
  <si>
    <t>NIL</t>
  </si>
  <si>
    <t>Calculate as per the logic (BRF-2 LIAB: Item nos. 29- 18.1- (25- 25.5)- 26.7- 28)</t>
  </si>
  <si>
    <t>gl_sub_head_code IN ('26671','21101')  AND SOL_ID IN ('9001','9002','9003','9004','9005','9008') 
AND ACCT_NUMBER NOT IN ('90011626671013', '90011626671028', '00001626671013', '00001626671028', '90081626671013', '90081626671028');</t>
  </si>
  <si>
    <t>GLSH_CODE IN ('22203') AND (FORACID LIKE '%1622203003%') AND SOL_ID IN ('9001','9002','9003','9004','9005','9008');
 FORACID IN ('A22010043','A22022019')-KTP</t>
  </si>
  <si>
    <t>ACCT_NO IN ('A22022020')-KTP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</si>
</sst>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"/>
  </numFmts>
  <fonts count="24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12"/>
      <color rgb="FFFFFF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3" fontId="16" fillId="2" borderId="1" xfId="0" applyNumberFormat="1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4" fontId="11" fillId="2" borderId="1" xfId="0" applyNumberFormat="1" applyFont="1" applyFill="1" applyBorder="1" applyAlignment="1">
      <alignment horizontal="right" vertical="center"/>
    </xf>
    <xf numFmtId="4" fontId="15" fillId="2" borderId="1" xfId="0" applyNumberFormat="1" applyFont="1" applyFill="1" applyBorder="1" applyAlignment="1">
      <alignment horizontal="right" vertical="center" wrapText="1"/>
    </xf>
    <xf numFmtId="165" fontId="11" fillId="2" borderId="1" xfId="0" applyNumberFormat="1" applyFont="1" applyFill="1" applyBorder="1" applyAlignment="1">
      <alignment horizontal="right" vertical="center"/>
    </xf>
    <xf numFmtId="3" fontId="10" fillId="3" borderId="1" xfId="0" applyNumberFormat="1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 wrapText="1"/>
    </xf>
    <xf numFmtId="15" fontId="5" fillId="2" borderId="2" xfId="0" applyNumberFormat="1" applyFont="1" applyFill="1" applyBorder="1" applyAlignment="1" applyProtection="1"/>
    <xf numFmtId="15" fontId="8" fillId="2" borderId="3" xfId="0" applyNumberFormat="1" applyFont="1" applyFill="1" applyBorder="1" applyAlignment="1" applyProtection="1"/>
    <xf numFmtId="3" fontId="13" fillId="0" borderId="1" xfId="0" applyNumberFormat="1" applyFont="1" applyFill="1" applyBorder="1" applyAlignment="1" applyProtection="1">
      <alignment vertical="center"/>
      <protection locked="0"/>
    </xf>
    <xf numFmtId="0" fontId="0" fillId="0" borderId="0" xfId="0" applyFill="1"/>
    <xf numFmtId="9" fontId="0" fillId="0" borderId="0" xfId="1" applyFont="1"/>
    <xf numFmtId="3" fontId="9" fillId="0" borderId="1" xfId="0" applyNumberFormat="1" applyFont="1" applyFill="1" applyBorder="1" applyAlignment="1">
      <alignment vertical="center" wrapText="1"/>
    </xf>
    <xf numFmtId="3" fontId="12" fillId="0" borderId="1" xfId="0" applyNumberFormat="1" applyFont="1" applyFill="1" applyBorder="1" applyAlignment="1">
      <alignment vertical="center" wrapText="1"/>
    </xf>
    <xf numFmtId="3" fontId="14" fillId="0" borderId="1" xfId="0" applyNumberFormat="1" applyFont="1" applyFill="1" applyBorder="1" applyAlignment="1">
      <alignment vertical="center" wrapText="1"/>
    </xf>
    <xf numFmtId="10" fontId="0" fillId="0" borderId="0" xfId="1" applyNumberFormat="1" applyFont="1"/>
    <xf numFmtId="10" fontId="0" fillId="0" borderId="0" xfId="0" applyNumberFormat="1"/>
    <xf numFmtId="3" fontId="9" fillId="4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/>
    <xf numFmtId="15" fontId="2" fillId="2" borderId="1" xfId="0" applyNumberFormat="1" applyFont="1" applyFill="1" applyBorder="1" applyAlignment="1" applyProtection="1"/>
    <xf numFmtId="15" fontId="5" fillId="2" borderId="1" xfId="0" applyNumberFormat="1" applyFont="1" applyFill="1" applyBorder="1" applyAlignment="1" applyProtection="1"/>
    <xf numFmtId="15" fontId="6" fillId="2" borderId="1" xfId="0" applyNumberFormat="1" applyFont="1" applyFill="1" applyBorder="1" applyAlignment="1">
      <alignment horizontal="left"/>
    </xf>
    <xf numFmtId="0" fontId="7" fillId="2" borderId="1" xfId="0" applyFont="1" applyFill="1" applyBorder="1"/>
    <xf numFmtId="15" fontId="8" fillId="2" borderId="1" xfId="0" applyNumberFormat="1" applyFont="1" applyFill="1" applyBorder="1" applyAlignment="1" applyProtection="1"/>
    <xf numFmtId="15" fontId="5" fillId="2" borderId="4" xfId="0" applyNumberFormat="1" applyFont="1" applyFill="1" applyBorder="1" applyAlignment="1" applyProtection="1"/>
    <xf numFmtId="15" fontId="5" fillId="2" borderId="5" xfId="0" applyNumberFormat="1" applyFont="1" applyFill="1" applyBorder="1" applyAlignment="1" applyProtection="1"/>
    <xf numFmtId="15" fontId="5" fillId="2" borderId="6" xfId="0" applyNumberFormat="1" applyFont="1" applyFill="1" applyBorder="1" applyAlignment="1" applyProtection="1"/>
    <xf numFmtId="15" fontId="8" fillId="2" borderId="7" xfId="0" applyNumberFormat="1" applyFont="1" applyFill="1" applyBorder="1" applyAlignment="1" applyProtection="1"/>
    <xf numFmtId="0" fontId="9" fillId="4" borderId="8" xfId="0" applyFont="1" applyFill="1" applyBorder="1" applyAlignment="1">
      <alignment vertical="center"/>
    </xf>
    <xf numFmtId="0" fontId="9" fillId="4" borderId="9" xfId="0" applyFont="1" applyFill="1" applyBorder="1" applyAlignment="1">
      <alignment vertical="center"/>
    </xf>
    <xf numFmtId="0" fontId="23" fillId="4" borderId="9" xfId="0" applyFont="1" applyFill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3" fontId="13" fillId="5" borderId="1" xfId="0" applyNumberFormat="1" applyFont="1" applyFill="1" applyBorder="1" applyAlignment="1" applyProtection="1">
      <alignment vertical="center"/>
    </xf>
    <xf numFmtId="3" fontId="17" fillId="5" borderId="1" xfId="0" applyNumberFormat="1" applyFont="1" applyFill="1" applyBorder="1" applyAlignment="1" applyProtection="1">
      <alignment vertical="center" wrapText="1"/>
    </xf>
    <xf numFmtId="0" fontId="0" fillId="6" borderId="0" xfId="0" applyFill="1" applyProtection="1"/>
    <xf numFmtId="3" fontId="9" fillId="2" borderId="1" xfId="0" applyNumberFormat="1" applyFont="1" applyFill="1" applyBorder="1" applyAlignment="1" applyProtection="1">
      <alignment vertical="center"/>
      <protection locked="0"/>
    </xf>
    <xf numFmtId="3" fontId="9" fillId="5" borderId="1" xfId="0" applyNumberFormat="1" applyFont="1" applyFill="1" applyBorder="1" applyAlignment="1" applyProtection="1">
      <alignment vertical="center" wrapText="1"/>
    </xf>
    <xf numFmtId="3" fontId="2" fillId="5" borderId="1" xfId="0" applyNumberFormat="1" applyFont="1" applyFill="1" applyBorder="1" applyAlignment="1" applyProtection="1">
      <alignment vertical="center" wrapText="1"/>
    </xf>
    <xf numFmtId="3" fontId="2" fillId="4" borderId="1" xfId="0" applyNumberFormat="1" applyFont="1" applyFill="1" applyBorder="1" applyAlignment="1">
      <alignment horizontal="left" vertical="center" wrapText="1"/>
    </xf>
    <xf numFmtId="3" fontId="16" fillId="4" borderId="1" xfId="0" applyNumberFormat="1" applyFont="1" applyFill="1" applyBorder="1" applyAlignment="1">
      <alignment vertical="center" wrapText="1"/>
    </xf>
    <xf numFmtId="3" fontId="13" fillId="4" borderId="1" xfId="0" applyNumberFormat="1" applyFont="1" applyFill="1" applyBorder="1" applyAlignment="1" applyProtection="1">
      <alignment vertical="center"/>
      <protection locked="0"/>
    </xf>
    <xf numFmtId="3" fontId="14" fillId="3" borderId="1" xfId="0" applyNumberFormat="1" applyFont="1" applyFill="1" applyBorder="1" applyAlignment="1">
      <alignment vertical="center" wrapText="1"/>
    </xf>
    <xf numFmtId="3" fontId="9" fillId="3" borderId="1" xfId="0" applyNumberFormat="1" applyFont="1" applyFill="1" applyBorder="1" applyAlignment="1">
      <alignment vertical="center" wrapText="1"/>
    </xf>
    <xf numFmtId="3" fontId="14" fillId="4" borderId="1" xfId="0" applyNumberFormat="1" applyFont="1" applyFill="1" applyBorder="1" applyAlignment="1">
      <alignment horizontal="left" vertical="center" wrapText="1"/>
    </xf>
    <xf numFmtId="164" fontId="18" fillId="5" borderId="1" xfId="0" applyNumberFormat="1" applyFont="1" applyFill="1" applyBorder="1" applyAlignment="1" applyProtection="1">
      <alignment vertical="center" wrapText="1"/>
    </xf>
    <xf numFmtId="3" fontId="14" fillId="4" borderId="1" xfId="0" applyNumberFormat="1" applyFont="1" applyFill="1" applyBorder="1" applyAlignment="1">
      <alignment horizontal="left" vertical="center" wrapText="1"/>
    </xf>
    <xf numFmtId="3" fontId="14" fillId="4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/>
    </xf>
    <xf numFmtId="3" fontId="2" fillId="0" borderId="1" xfId="0" applyNumberFormat="1" applyFont="1" applyFill="1" applyBorder="1" applyAlignment="1">
      <alignment horizontal="left" vertical="center" wrapText="1"/>
    </xf>
    <xf numFmtId="3" fontId="16" fillId="0" borderId="1" xfId="0" applyNumberFormat="1" applyFont="1" applyFill="1" applyBorder="1" applyAlignment="1">
      <alignment horizontal="left" vertical="center" wrapText="1"/>
    </xf>
    <xf numFmtId="3" fontId="9" fillId="6" borderId="1" xfId="0" applyNumberFormat="1" applyFont="1" applyFill="1" applyBorder="1" applyAlignment="1" applyProtection="1">
      <alignment horizontal="center" vertical="center"/>
    </xf>
    <xf numFmtId="3" fontId="9" fillId="6" borderId="11" xfId="0" applyNumberFormat="1" applyFont="1" applyFill="1" applyBorder="1" applyAlignment="1" applyProtection="1">
      <alignment horizontal="center" vertical="center"/>
    </xf>
    <xf numFmtId="3" fontId="9" fillId="6" borderId="12" xfId="0" applyNumberFormat="1" applyFont="1" applyFill="1" applyBorder="1" applyAlignment="1" applyProtection="1">
      <alignment horizontal="center" vertical="center"/>
    </xf>
    <xf numFmtId="3" fontId="9" fillId="6" borderId="13" xfId="0" applyNumberFormat="1" applyFont="1" applyFill="1" applyBorder="1" applyAlignment="1" applyProtection="1">
      <alignment horizontal="center" vertical="center"/>
    </xf>
    <xf numFmtId="15" fontId="2" fillId="2" borderId="4" xfId="0" applyNumberFormat="1" applyFont="1" applyFill="1" applyBorder="1" applyAlignment="1" applyProtection="1"/>
    <xf numFmtId="3" fontId="2" fillId="4" borderId="0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6"/>
  <sheetViews>
    <sheetView showGridLines="0" workbookViewId="0">
      <selection activeCell="C6" sqref="B2:E24"/>
    </sheetView>
  </sheetViews>
  <sheetFormatPr defaultColWidth="0" defaultRowHeight="12.5" zeroHeight="1" x14ac:dyDescent="0.25"/>
  <cols>
    <col min="1" max="1" width="3.1796875" customWidth="1"/>
    <col min="2" max="2" width="9.26953125" customWidth="1"/>
    <col min="3" max="3" width="50.81640625" customWidth="1"/>
    <col min="4" max="4" width="11.453125" customWidth="1"/>
    <col min="5" max="5" width="14.26953125" customWidth="1"/>
    <col min="6" max="6" width="3.1796875" customWidth="1"/>
    <col min="7" max="7" width="0" hidden="1" customWidth="1"/>
    <col min="8" max="8" width="10.26953125" hidden="1" customWidth="1"/>
  </cols>
  <sheetData>
    <row r="1" spans="2:8" ht="11.25" customHeight="1" x14ac:dyDescent="0.25"/>
    <row r="2" spans="2:8" ht="20.149999999999999" customHeight="1" x14ac:dyDescent="0.25">
      <c r="B2" s="50" t="s">
        <v>13</v>
      </c>
      <c r="C2" s="51"/>
      <c r="D2" s="51"/>
      <c r="E2" s="51"/>
    </row>
    <row r="3" spans="2:8" ht="20.149999999999999" customHeight="1" x14ac:dyDescent="0.25">
      <c r="B3" s="21" t="s">
        <v>0</v>
      </c>
      <c r="C3" s="22" t="s">
        <v>25</v>
      </c>
      <c r="D3" s="27"/>
      <c r="E3" s="28"/>
    </row>
    <row r="4" spans="2:8" ht="20.149999999999999" customHeight="1" x14ac:dyDescent="0.25">
      <c r="B4" s="24" t="s">
        <v>1</v>
      </c>
      <c r="C4" s="23" t="s">
        <v>26</v>
      </c>
      <c r="D4" s="29"/>
      <c r="E4" s="10"/>
    </row>
    <row r="5" spans="2:8" ht="20.149999999999999" customHeight="1" x14ac:dyDescent="0.25">
      <c r="B5" s="25" t="s">
        <v>2</v>
      </c>
      <c r="C5" s="26" t="s">
        <v>27</v>
      </c>
      <c r="D5" s="30"/>
      <c r="E5" s="11"/>
    </row>
    <row r="6" spans="2:8" ht="20.25" customHeight="1" x14ac:dyDescent="0.25">
      <c r="B6" s="31"/>
      <c r="C6" s="32"/>
      <c r="D6" s="33"/>
      <c r="E6" s="34"/>
    </row>
    <row r="7" spans="2:8" ht="24" customHeight="1" x14ac:dyDescent="0.25">
      <c r="B7" s="8">
        <v>1</v>
      </c>
      <c r="C7" s="9" t="s">
        <v>21</v>
      </c>
      <c r="D7" s="8" t="s">
        <v>3</v>
      </c>
      <c r="E7" s="40" t="s">
        <v>16</v>
      </c>
    </row>
    <row r="8" spans="2:8" ht="28.5" customHeight="1" x14ac:dyDescent="0.25">
      <c r="B8" s="7">
        <v>1.1000000000000001</v>
      </c>
      <c r="C8" s="15" t="s">
        <v>4</v>
      </c>
      <c r="D8" s="38">
        <v>187516</v>
      </c>
      <c r="E8" s="54"/>
    </row>
    <row r="9" spans="2:8" ht="32.25" customHeight="1" x14ac:dyDescent="0.25">
      <c r="B9" s="7">
        <v>1.2</v>
      </c>
      <c r="C9" s="16" t="s">
        <v>5</v>
      </c>
      <c r="D9" s="12">
        <v>1599389</v>
      </c>
      <c r="E9" s="54"/>
      <c r="F9" s="13"/>
      <c r="G9" s="13"/>
    </row>
    <row r="10" spans="2:8" ht="32.25" customHeight="1" x14ac:dyDescent="0.25">
      <c r="B10" s="7">
        <v>1.3</v>
      </c>
      <c r="C10" s="15" t="s">
        <v>12</v>
      </c>
      <c r="D10" s="12">
        <v>300000</v>
      </c>
      <c r="E10" s="54"/>
      <c r="F10" s="13"/>
      <c r="G10" s="13"/>
    </row>
    <row r="11" spans="2:8" ht="27" customHeight="1" x14ac:dyDescent="0.25">
      <c r="B11" s="7">
        <v>1.4</v>
      </c>
      <c r="C11" s="16" t="s">
        <v>6</v>
      </c>
      <c r="D11" s="12">
        <v>0</v>
      </c>
      <c r="E11" s="54"/>
      <c r="F11" s="13"/>
      <c r="G11" s="13"/>
    </row>
    <row r="12" spans="2:8" ht="29.25" customHeight="1" x14ac:dyDescent="0.25">
      <c r="B12" s="7">
        <v>1.5</v>
      </c>
      <c r="C12" s="17" t="s">
        <v>8</v>
      </c>
      <c r="D12" s="12">
        <v>843430</v>
      </c>
      <c r="E12" s="54"/>
      <c r="F12" s="13"/>
      <c r="G12" s="13"/>
    </row>
    <row r="13" spans="2:8" ht="29.25" customHeight="1" x14ac:dyDescent="0.25">
      <c r="B13" s="7"/>
      <c r="C13" s="44" t="s">
        <v>17</v>
      </c>
      <c r="D13" s="35">
        <f>SUM(D8:D12)</f>
        <v>2930335</v>
      </c>
      <c r="E13" s="35">
        <f>SUM(D8:D12)</f>
        <v>2930335</v>
      </c>
      <c r="F13" s="13"/>
      <c r="G13" s="13"/>
      <c r="H13" s="14"/>
    </row>
    <row r="14" spans="2:8" ht="39.75" customHeight="1" x14ac:dyDescent="0.25">
      <c r="B14" s="7">
        <v>1.6</v>
      </c>
      <c r="C14" s="15" t="s">
        <v>9</v>
      </c>
      <c r="D14" s="12">
        <v>26327</v>
      </c>
      <c r="E14" s="55"/>
      <c r="F14" s="13"/>
      <c r="G14" s="13"/>
    </row>
    <row r="15" spans="2:8" ht="36.75" customHeight="1" x14ac:dyDescent="0.25">
      <c r="B15" s="7">
        <v>1.7</v>
      </c>
      <c r="C15" s="15" t="s">
        <v>14</v>
      </c>
      <c r="D15" s="12">
        <v>0</v>
      </c>
      <c r="E15" s="56"/>
      <c r="F15" s="13"/>
      <c r="G15" s="13"/>
    </row>
    <row r="16" spans="2:8" ht="39.75" customHeight="1" x14ac:dyDescent="0.25">
      <c r="B16" s="7">
        <v>1.8</v>
      </c>
      <c r="C16" s="15" t="s">
        <v>10</v>
      </c>
      <c r="D16" s="12">
        <v>0</v>
      </c>
      <c r="E16" s="56"/>
      <c r="F16" s="13"/>
      <c r="G16" s="13"/>
    </row>
    <row r="17" spans="2:9" ht="33.75" customHeight="1" x14ac:dyDescent="0.25">
      <c r="B17" s="7">
        <v>1.9</v>
      </c>
      <c r="C17" s="15" t="s">
        <v>15</v>
      </c>
      <c r="D17" s="12">
        <v>0</v>
      </c>
      <c r="E17" s="57"/>
      <c r="F17" s="13"/>
      <c r="G17" s="13"/>
    </row>
    <row r="18" spans="2:9" ht="28.9" customHeight="1" x14ac:dyDescent="0.25">
      <c r="B18" s="7"/>
      <c r="C18" s="45" t="s">
        <v>18</v>
      </c>
      <c r="D18" s="35">
        <f>SUM(D14:D17)</f>
        <v>26327</v>
      </c>
      <c r="E18" s="35">
        <f>+IF(E13&gt;=D20*0.65,IF(D20*0.2&lt;=D18,D20*0.2,D18), IF((E13*0.2)/0.65&lt;=D18,(E13*0.2)/0.65,D18))</f>
        <v>26327</v>
      </c>
      <c r="F18" s="13"/>
      <c r="G18" s="13"/>
      <c r="H18" s="14"/>
    </row>
    <row r="19" spans="2:9" ht="37.5" customHeight="1" x14ac:dyDescent="0.25">
      <c r="B19" s="5">
        <v>1.1000000000000001</v>
      </c>
      <c r="C19" s="20" t="s">
        <v>11</v>
      </c>
      <c r="D19" s="12">
        <v>0</v>
      </c>
      <c r="E19" s="39">
        <f>+IF(E13&gt;=D20*0.65,IF(D20*0.15&lt;=D19,D20*0.15,D19), IF((E13*0.15)/0.65&lt;=D19,(E13*0.15)/0.65,D19))</f>
        <v>0</v>
      </c>
      <c r="F19" s="13"/>
      <c r="G19" s="13"/>
      <c r="H19" s="18"/>
      <c r="I19" s="19"/>
    </row>
    <row r="20" spans="2:9" ht="28.9" customHeight="1" x14ac:dyDescent="0.25">
      <c r="B20" s="6">
        <v>1.1100000000000001</v>
      </c>
      <c r="C20" s="44" t="s">
        <v>19</v>
      </c>
      <c r="D20" s="36">
        <f>+D13+D18+D19</f>
        <v>2956662</v>
      </c>
      <c r="E20" s="36">
        <f>SUM(E13+E18+E19)</f>
        <v>2956662</v>
      </c>
      <c r="F20" s="13"/>
      <c r="G20" s="13"/>
    </row>
    <row r="21" spans="2:9" ht="24.65" customHeight="1" x14ac:dyDescent="0.25">
      <c r="B21" s="42">
        <v>2</v>
      </c>
      <c r="C21" s="46" t="s">
        <v>24</v>
      </c>
      <c r="D21" s="37"/>
      <c r="E21" s="43">
        <v>17813640</v>
      </c>
      <c r="F21" s="13"/>
      <c r="G21" s="13"/>
    </row>
    <row r="22" spans="2:9" ht="37.9" customHeight="1" x14ac:dyDescent="0.25">
      <c r="B22" s="1">
        <v>3</v>
      </c>
      <c r="C22" s="41" t="s">
        <v>20</v>
      </c>
      <c r="D22" s="37"/>
      <c r="E22" s="47">
        <f>IF(E21=0,0, E20/E21)</f>
        <v>0.16597741955041193</v>
      </c>
      <c r="F22" s="13"/>
      <c r="G22" s="13"/>
    </row>
    <row r="23" spans="2:9" ht="27.65" customHeight="1" x14ac:dyDescent="0.25">
      <c r="B23" s="1" t="s">
        <v>7</v>
      </c>
      <c r="C23" s="52" t="s">
        <v>23</v>
      </c>
      <c r="D23" s="53"/>
      <c r="E23" s="53"/>
      <c r="F23" s="13"/>
      <c r="G23" s="13"/>
      <c r="H23" s="13"/>
    </row>
    <row r="24" spans="2:9" ht="19.5" customHeight="1" x14ac:dyDescent="0.25">
      <c r="B24" s="2"/>
      <c r="C24" s="49" t="s">
        <v>22</v>
      </c>
      <c r="D24" s="49"/>
      <c r="E24" s="49"/>
      <c r="F24" s="13"/>
      <c r="G24" s="13"/>
      <c r="H24" s="13"/>
    </row>
    <row r="25" spans="2:9" ht="18" customHeight="1" x14ac:dyDescent="0.25">
      <c r="B25" s="3"/>
      <c r="C25" s="3"/>
      <c r="D25" s="3"/>
      <c r="E25" s="3"/>
      <c r="F25" s="4"/>
    </row>
    <row r="26" spans="2:9" ht="11.25" hidden="1" customHeight="1" x14ac:dyDescent="0.25"/>
  </sheetData>
  <sheetProtection password="DE1B" sheet="1"/>
  <mergeCells count="5">
    <mergeCell ref="C24:E24"/>
    <mergeCell ref="B2:E2"/>
    <mergeCell ref="C23:E23"/>
    <mergeCell ref="E8:E12"/>
    <mergeCell ref="E14:E17"/>
  </mergeCells>
  <dataValidations count="1">
    <dataValidation type="whole" operator="greaterThanOrEqual" allowBlank="1" showInputMessage="1" showErrorMessage="1" error="Please input a valid data!" sqref="D8:D12 D14:D17 D19 E21" xr:uid="{00000000-0002-0000-0000-000000000000}">
      <formula1>0</formula1>
    </dataValidation>
  </dataValidations>
  <printOptions gridLines="1"/>
  <pageMargins left="0.23" right="0.17" top="0.354329615048119" bottom="0.27" header="0.19684820647419099" footer="0.15748031496063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54F5-48A0-4795-B3B7-0E8C127926AF}">
  <dimension ref="A1:E23"/>
  <sheetViews>
    <sheetView tabSelected="1" workbookViewId="0">
      <selection activeCell="C9" sqref="C9"/>
    </sheetView>
  </sheetViews>
  <sheetFormatPr defaultColWidth="29.1796875" defaultRowHeight="12.5" x14ac:dyDescent="0.25"/>
  <cols>
    <col min="1" max="1" width="5.7265625" bestFit="1" customWidth="1"/>
    <col min="2" max="2" width="29" bestFit="1" customWidth="1"/>
    <col min="3" max="3" width="63.54296875" customWidth="1"/>
    <col min="4" max="4" width="12.1796875" bestFit="1" customWidth="1"/>
    <col min="5" max="5" width="15" bestFit="1" customWidth="1"/>
  </cols>
  <sheetData>
    <row r="1" spans="1:5" x14ac:dyDescent="0.25">
      <c r="A1" s="50" t="s">
        <v>13</v>
      </c>
      <c r="B1" s="51"/>
      <c r="C1" s="51"/>
      <c r="D1" s="51"/>
      <c r="E1" s="51"/>
    </row>
    <row r="2" spans="1:5" x14ac:dyDescent="0.25">
      <c r="A2" s="21" t="s">
        <v>0</v>
      </c>
      <c r="B2" s="22" t="s">
        <v>25</v>
      </c>
      <c r="C2" s="58"/>
      <c r="D2" s="27"/>
      <c r="E2" s="28"/>
    </row>
    <row r="3" spans="1:5" x14ac:dyDescent="0.25">
      <c r="A3" s="24" t="s">
        <v>1</v>
      </c>
      <c r="B3" s="23" t="s">
        <v>26</v>
      </c>
      <c r="C3" s="29"/>
      <c r="D3" s="29"/>
      <c r="E3" s="10"/>
    </row>
    <row r="4" spans="1:5" x14ac:dyDescent="0.25">
      <c r="A4" s="25" t="s">
        <v>2</v>
      </c>
      <c r="B4" s="26" t="s">
        <v>27</v>
      </c>
      <c r="C4" s="30"/>
      <c r="D4" s="30"/>
      <c r="E4" s="11"/>
    </row>
    <row r="5" spans="1:5" ht="15.5" x14ac:dyDescent="0.25">
      <c r="A5" s="31"/>
      <c r="B5" s="32"/>
      <c r="C5" s="32"/>
      <c r="D5" s="33"/>
      <c r="E5" s="34"/>
    </row>
    <row r="6" spans="1:5" x14ac:dyDescent="0.25">
      <c r="A6" s="8">
        <v>1</v>
      </c>
      <c r="B6" s="9" t="s">
        <v>21</v>
      </c>
      <c r="C6" s="9"/>
      <c r="D6" s="8" t="s">
        <v>3</v>
      </c>
      <c r="E6" s="40" t="s">
        <v>16</v>
      </c>
    </row>
    <row r="7" spans="1:5" ht="62.5" x14ac:dyDescent="0.25">
      <c r="A7" s="7">
        <v>1.1000000000000001</v>
      </c>
      <c r="B7" s="15" t="s">
        <v>4</v>
      </c>
      <c r="C7" s="61" t="s">
        <v>33</v>
      </c>
      <c r="D7" s="38">
        <v>187516</v>
      </c>
      <c r="E7" s="54"/>
    </row>
    <row r="8" spans="1:5" ht="37.5" x14ac:dyDescent="0.25">
      <c r="A8" s="7">
        <v>1.2</v>
      </c>
      <c r="B8" s="16" t="s">
        <v>5</v>
      </c>
      <c r="C8" s="61" t="s">
        <v>34</v>
      </c>
      <c r="D8" s="12">
        <v>1599389</v>
      </c>
      <c r="E8" s="54"/>
    </row>
    <row r="9" spans="1:5" ht="20" x14ac:dyDescent="0.25">
      <c r="A9" s="7">
        <v>1.3</v>
      </c>
      <c r="B9" s="15" t="s">
        <v>12</v>
      </c>
      <c r="C9" s="61" t="s">
        <v>35</v>
      </c>
      <c r="D9" s="12">
        <v>300000</v>
      </c>
      <c r="E9" s="54"/>
    </row>
    <row r="10" spans="1:5" x14ac:dyDescent="0.25">
      <c r="A10" s="7">
        <v>1.4</v>
      </c>
      <c r="B10" s="16" t="s">
        <v>6</v>
      </c>
      <c r="C10" s="60" t="s">
        <v>28</v>
      </c>
      <c r="D10" s="12">
        <v>0</v>
      </c>
      <c r="E10" s="54"/>
    </row>
    <row r="11" spans="1:5" ht="20" x14ac:dyDescent="0.25">
      <c r="A11" s="7">
        <v>1.5</v>
      </c>
      <c r="B11" s="17" t="s">
        <v>8</v>
      </c>
      <c r="C11" s="60" t="s">
        <v>29</v>
      </c>
      <c r="D11" s="12">
        <v>843430</v>
      </c>
      <c r="E11" s="54"/>
    </row>
    <row r="12" spans="1:5" x14ac:dyDescent="0.25">
      <c r="A12" s="7"/>
      <c r="B12" s="44" t="s">
        <v>17</v>
      </c>
      <c r="C12" s="44"/>
      <c r="D12" s="35">
        <f>SUM(D7:D11)</f>
        <v>2930335</v>
      </c>
      <c r="E12" s="35">
        <f>SUM(D7:D11)</f>
        <v>2930335</v>
      </c>
    </row>
    <row r="13" spans="1:5" ht="40" x14ac:dyDescent="0.25">
      <c r="A13" s="7">
        <v>1.6</v>
      </c>
      <c r="B13" s="15" t="s">
        <v>9</v>
      </c>
      <c r="C13" s="60" t="s">
        <v>30</v>
      </c>
      <c r="D13" s="12">
        <v>26327</v>
      </c>
      <c r="E13" s="55"/>
    </row>
    <row r="14" spans="1:5" ht="40" x14ac:dyDescent="0.25">
      <c r="A14" s="7">
        <v>1.7</v>
      </c>
      <c r="B14" s="15" t="s">
        <v>14</v>
      </c>
      <c r="C14" s="60" t="s">
        <v>31</v>
      </c>
      <c r="D14" s="12">
        <v>0</v>
      </c>
      <c r="E14" s="56"/>
    </row>
    <row r="15" spans="1:5" ht="40" x14ac:dyDescent="0.25">
      <c r="A15" s="7">
        <v>1.8</v>
      </c>
      <c r="B15" s="15" t="s">
        <v>10</v>
      </c>
      <c r="C15" s="60" t="s">
        <v>31</v>
      </c>
      <c r="D15" s="12">
        <v>0</v>
      </c>
      <c r="E15" s="56"/>
    </row>
    <row r="16" spans="1:5" ht="40" x14ac:dyDescent="0.25">
      <c r="A16" s="7">
        <v>1.9</v>
      </c>
      <c r="B16" s="15" t="s">
        <v>15</v>
      </c>
      <c r="C16" s="60" t="s">
        <v>31</v>
      </c>
      <c r="D16" s="12">
        <v>0</v>
      </c>
      <c r="E16" s="57"/>
    </row>
    <row r="17" spans="1:5" x14ac:dyDescent="0.25">
      <c r="A17" s="7"/>
      <c r="B17" s="45" t="s">
        <v>18</v>
      </c>
      <c r="C17" s="60"/>
      <c r="D17" s="35">
        <f>SUM(D13:D16)</f>
        <v>26327</v>
      </c>
      <c r="E17" s="35">
        <f>+IF(E12&gt;=D19*0.65,IF(D19*0.2&lt;=D17,D19*0.2,D17), IF((E12*0.2)/0.65&lt;=D17,(E12*0.2)/0.65,D17))</f>
        <v>26327</v>
      </c>
    </row>
    <row r="18" spans="1:5" ht="40" x14ac:dyDescent="0.25">
      <c r="A18" s="5">
        <v>1.1000000000000001</v>
      </c>
      <c r="B18" s="20" t="s">
        <v>11</v>
      </c>
      <c r="C18" s="60" t="s">
        <v>31</v>
      </c>
      <c r="D18" s="12">
        <v>0</v>
      </c>
      <c r="E18" s="39">
        <f>+IF(E12&gt;=D19*0.65,IF(D19*0.15&lt;=D18,D19*0.15,D18), IF((E12*0.15)/0.65&lt;=D18,(E12*0.15)/0.65,D18))</f>
        <v>0</v>
      </c>
    </row>
    <row r="19" spans="1:5" x14ac:dyDescent="0.25">
      <c r="A19" s="6">
        <v>1.1100000000000001</v>
      </c>
      <c r="B19" s="44" t="s">
        <v>19</v>
      </c>
      <c r="C19" s="60"/>
      <c r="D19" s="36">
        <f>+D12+D17+D18</f>
        <v>2956662</v>
      </c>
      <c r="E19" s="36">
        <f>SUM(E12+E17+E18)</f>
        <v>2956662</v>
      </c>
    </row>
    <row r="20" spans="1:5" ht="25" x14ac:dyDescent="0.25">
      <c r="A20" s="42">
        <v>2</v>
      </c>
      <c r="B20" s="48" t="s">
        <v>24</v>
      </c>
      <c r="C20" s="60" t="s">
        <v>32</v>
      </c>
      <c r="D20" s="37"/>
      <c r="E20" s="43">
        <v>17813640</v>
      </c>
    </row>
    <row r="21" spans="1:5" x14ac:dyDescent="0.25">
      <c r="A21" s="1">
        <v>3</v>
      </c>
      <c r="B21" s="41" t="s">
        <v>20</v>
      </c>
      <c r="C21" s="59"/>
      <c r="D21" s="37"/>
      <c r="E21" s="47">
        <f>IF(E20=0,0, E19/E20)</f>
        <v>0.16597741955041193</v>
      </c>
    </row>
    <row r="22" spans="1:5" x14ac:dyDescent="0.25">
      <c r="A22" s="1" t="s">
        <v>7</v>
      </c>
      <c r="B22" s="52" t="s">
        <v>23</v>
      </c>
      <c r="C22" s="52"/>
      <c r="D22" s="53"/>
      <c r="E22" s="53"/>
    </row>
    <row r="23" spans="1:5" x14ac:dyDescent="0.25">
      <c r="A23" s="2"/>
      <c r="B23" s="49" t="s">
        <v>22</v>
      </c>
      <c r="C23" s="49"/>
      <c r="D23" s="49"/>
      <c r="E23" s="49"/>
    </row>
  </sheetData>
  <mergeCells count="5">
    <mergeCell ref="A1:E1"/>
    <mergeCell ref="E7:E11"/>
    <mergeCell ref="E13:E16"/>
    <mergeCell ref="B22:E22"/>
    <mergeCell ref="B23:E23"/>
  </mergeCells>
  <dataValidations count="1">
    <dataValidation type="whole" operator="greaterThanOrEqual" allowBlank="1" showInputMessage="1" showErrorMessage="1" error="Please input a valid data!" sqref="D7:D11 D13:D16 D18 E20" xr:uid="{03188AA3-1B41-4B6F-A8D0-D060C8094312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21June2015 BRF 8</vt:lpstr>
      <vt:lpstr>Sheet1</vt:lpstr>
      <vt:lpstr>'21June2015 BRF 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Sulayman Ali Gondal</dc:creator>
  <cp:lastModifiedBy>Amuthasenthuran s</cp:lastModifiedBy>
  <cp:lastPrinted>2015-06-07T06:27:51Z</cp:lastPrinted>
  <dcterms:created xsi:type="dcterms:W3CDTF">2015-06-16T07:03:22Z</dcterms:created>
  <dcterms:modified xsi:type="dcterms:W3CDTF">2023-12-25T11:30:23Z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96 96 1440 900</vt:lpwstr>
  </property>
</Properties>
</file>