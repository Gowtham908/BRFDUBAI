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6950" activeTab="1"/>
  </bookViews>
  <sheets>
    <sheet name="Sheet1" sheetId="1" r:id="rId1"/>
    <sheet name="MAPPING_DOCUMENT" sheetId="2" r:id="rId2"/>
  </sheets>
  <calcPr calcId="144525"/>
</workbook>
</file>

<file path=xl/sharedStrings.xml><?xml version="1.0" encoding="utf-8"?>
<sst xmlns="http://schemas.openxmlformats.org/spreadsheetml/2006/main" count="364" uniqueCount="226">
  <si>
    <t xml:space="preserve">                                                BANKING AND MONETARY STATISTICS-  ASSETS - BRF 1   (AED IN 000s)</t>
  </si>
  <si>
    <t>ID:</t>
  </si>
  <si>
    <t>2-1-1-0</t>
  </si>
  <si>
    <t>BANK</t>
  </si>
  <si>
    <t>Bank of Baroda</t>
  </si>
  <si>
    <t>As On</t>
  </si>
  <si>
    <t>30/06/2023</t>
  </si>
  <si>
    <t>UAE OPERATIONS</t>
  </si>
  <si>
    <t xml:space="preserve">         RESIDENT</t>
  </si>
  <si>
    <t xml:space="preserve"> NON-RESIDENT</t>
  </si>
  <si>
    <t>TOTAL (Amount)</t>
  </si>
  <si>
    <t>AED</t>
  </si>
  <si>
    <t>FCY</t>
  </si>
  <si>
    <t>No</t>
  </si>
  <si>
    <t>ASSETS</t>
  </si>
  <si>
    <t>Nos of A/cs</t>
  </si>
  <si>
    <t>Amount</t>
  </si>
  <si>
    <t>CASH &amp; BALANCES  WITH CENTRAL BANK</t>
  </si>
  <si>
    <t xml:space="preserve">Cash in hand </t>
  </si>
  <si>
    <t>Statutory reserve with CB</t>
  </si>
  <si>
    <t>Free deposits (30% of Dirham lending to non residents)</t>
  </si>
  <si>
    <t>Other balances</t>
  </si>
  <si>
    <t>Central Bank CDs held</t>
  </si>
  <si>
    <t>1.5.1</t>
  </si>
  <si>
    <t>Repoed to UAE Central Bank (gross)</t>
  </si>
  <si>
    <t>1.5.2</t>
  </si>
  <si>
    <t>Others- unencumbered</t>
  </si>
  <si>
    <t>DUE FROM HEAD OFFICE /OWN BRANCHES/ BANKING SUBS. (GROSS)</t>
  </si>
  <si>
    <t>Due from Head Office of foreign banks &amp; their banking subs.</t>
  </si>
  <si>
    <t>Due from overseas BR of national banks/ Banking Subs.</t>
  </si>
  <si>
    <t xml:space="preserve">Bills discounted on own branches, subsidiaries,etc  without recourse </t>
  </si>
  <si>
    <t xml:space="preserve"> </t>
  </si>
  <si>
    <t>BALANCES DUE FROM OTHER BANKS (GROSS)</t>
  </si>
  <si>
    <t>Money at call and short notice, placements on demand and remaining balances</t>
  </si>
  <si>
    <t>Interbank placements</t>
  </si>
  <si>
    <t>Other term placements (loans)</t>
  </si>
  <si>
    <t>Cheques in the course of collection</t>
  </si>
  <si>
    <t>Banks' bills purchased  without recourse</t>
  </si>
  <si>
    <t>Lending covered by repurchase agreements</t>
  </si>
  <si>
    <t>NON BANKING FINANCIAL INSTITUTIONS</t>
  </si>
  <si>
    <t>Loans and advances</t>
  </si>
  <si>
    <t>Placements</t>
  </si>
  <si>
    <t>INVESTMENTS AND FINANCIAL ASSETS-BRF 5</t>
  </si>
  <si>
    <t xml:space="preserve">Trading Book Securities (market value) </t>
  </si>
  <si>
    <t>5.1.1</t>
  </si>
  <si>
    <t>Debt securities</t>
  </si>
  <si>
    <t>5.1.2</t>
  </si>
  <si>
    <t>Equities</t>
  </si>
  <si>
    <t>5.1.3</t>
  </si>
  <si>
    <t>Commodities</t>
  </si>
  <si>
    <t>Banking Book</t>
  </si>
  <si>
    <t>5.2.1</t>
  </si>
  <si>
    <t xml:space="preserve">Available for sale </t>
  </si>
  <si>
    <t>5.2.1.1</t>
  </si>
  <si>
    <t>5.2.1.2</t>
  </si>
  <si>
    <t>5.2.2</t>
  </si>
  <si>
    <t>Held to maturity (amortised cost)</t>
  </si>
  <si>
    <t>OTHER INVESTMENTS - BRF 5</t>
  </si>
  <si>
    <t>Investment in subsidiaries (Cost or fair value)</t>
  </si>
  <si>
    <t>Investment in affiliates (Cost or fair value)</t>
  </si>
  <si>
    <t>TRADE BILLS DISCOUNTED</t>
  </si>
  <si>
    <t>TRADE BILLS DISCOUNTED- Gov &amp; Public Sector</t>
  </si>
  <si>
    <t>7.1.1</t>
  </si>
  <si>
    <t>Inland trade bills/ PDCs</t>
  </si>
  <si>
    <t>7.1.2</t>
  </si>
  <si>
    <t>Foreign trade bills (Import and export)</t>
  </si>
  <si>
    <t>TRADE BILLS DISCOUNTED- Private</t>
  </si>
  <si>
    <t>7.2.1</t>
  </si>
  <si>
    <t>7.2.2</t>
  </si>
  <si>
    <t>LOANS &amp; ADVANCES (GROSS)</t>
  </si>
  <si>
    <t>Government &amp; Public Sector</t>
  </si>
  <si>
    <t>8.1.1</t>
  </si>
  <si>
    <t xml:space="preserve">Federal Govt </t>
  </si>
  <si>
    <t>8.1.2</t>
  </si>
  <si>
    <t>Non Commercial entities (Federal Govt)</t>
  </si>
  <si>
    <t>8.1.3</t>
  </si>
  <si>
    <t>Emirates Governments</t>
  </si>
  <si>
    <t>8.1.4</t>
  </si>
  <si>
    <t>Non-commercial entities (Emirates Govt)</t>
  </si>
  <si>
    <t>8.1.5</t>
  </si>
  <si>
    <t>GREs (Govt ownership more than 50%) (BRF 79 &amp; 80)</t>
  </si>
  <si>
    <t>Private Sector (corporate)</t>
  </si>
  <si>
    <t>8.2.1</t>
  </si>
  <si>
    <t>Corporates with Govt ownership of less than 50%</t>
  </si>
  <si>
    <t>8.2.2</t>
  </si>
  <si>
    <t>Other corporates</t>
  </si>
  <si>
    <t>8.2.3</t>
  </si>
  <si>
    <t>High Networth Individuals (HNI)</t>
  </si>
  <si>
    <t>8.2.4</t>
  </si>
  <si>
    <t>Small &amp; Medium Enterprises (SMEs)</t>
  </si>
  <si>
    <t>Individuals (BRF 31)</t>
  </si>
  <si>
    <t>NET FIXED ASSETS</t>
  </si>
  <si>
    <t>Business premises including staff premises</t>
  </si>
  <si>
    <t>Premises acquired towards loan settlement</t>
  </si>
  <si>
    <t>Furniture &amp; fixtures</t>
  </si>
  <si>
    <t>Capital funds for overseas offices of local banks</t>
  </si>
  <si>
    <t>Capital Work in progress</t>
  </si>
  <si>
    <t>NET INTER BRANCH TRANS (excl 2.1 &amp; 2.2)</t>
  </si>
  <si>
    <t>OTHER ASSETS</t>
  </si>
  <si>
    <t>Interest receivable</t>
  </si>
  <si>
    <t>Prepaid expenses</t>
  </si>
  <si>
    <t>Goodwill</t>
  </si>
  <si>
    <t>Other Intangible assets</t>
  </si>
  <si>
    <t>Capitalized expenditure</t>
  </si>
  <si>
    <t>Property Investments under own account</t>
  </si>
  <si>
    <t xml:space="preserve">Dividend receivables/Others </t>
  </si>
  <si>
    <t>Acceptances</t>
  </si>
  <si>
    <t>POSITIVE FAIR VALUE OF DERIVATIVES</t>
  </si>
  <si>
    <t>Market value Forward contracts (including FX swaps)</t>
  </si>
  <si>
    <t>Market value FX options</t>
  </si>
  <si>
    <t>Market value interest rate derivatives (swaps, options, FRAs, etc..)</t>
  </si>
  <si>
    <t>Market value Financial Futures</t>
  </si>
  <si>
    <t>Market value Credit derivatives</t>
  </si>
  <si>
    <t>Market value Equity derivatives</t>
  </si>
  <si>
    <t>Market value Commodity derivatives</t>
  </si>
  <si>
    <t>TOTAL ASSETS</t>
  </si>
  <si>
    <t>Form No: BSD/BRF 1 -ASSETS/FEB15</t>
  </si>
  <si>
    <t>CORRECTED VALUE</t>
  </si>
  <si>
    <t>ROW101</t>
  </si>
  <si>
    <t>GLSH_CODE IN ('26671','21101') AND  SOL_ID IN ('9001','9002','9003','9004','9005','9008')</t>
  </si>
  <si>
    <t>NOT CORRECT</t>
  </si>
  <si>
    <t>ROW102</t>
  </si>
  <si>
    <t>GLSH_CODE IN ('22203') AND  (FORACID LIKE '%1622203003%') AND SOL_ID IN ('9001','9002','9003','9004','9005','9008');
 --KTP -  FORACID IN ('A22010043','A22022019')</t>
  </si>
  <si>
    <t>ROW103</t>
  </si>
  <si>
    <t>NIL</t>
  </si>
  <si>
    <t>ROW104</t>
  </si>
  <si>
    <t>FORACID IN ('A22022020')</t>
  </si>
  <si>
    <t>ROW105</t>
  </si>
  <si>
    <t>ROW106</t>
  </si>
  <si>
    <t>ROW107</t>
  </si>
  <si>
    <t>FORACID IN ('A22022018')</t>
  </si>
  <si>
    <t>ROW108</t>
  </si>
  <si>
    <t>ROW109</t>
  </si>
  <si>
    <t xml:space="preserve"> --&gt; FORACID IN ('A61111001','A61111002','A61111003','A61111004','A61150000')AND acct_balance_lc&lt;0 
 --&gt;  FORACID IN ('A61160000')
--&gt;  GLSH_CODE IN ('31104') AND  FORACID IN ('90010200012605','90010200012604','90010200018894') AND SOL_ID IN ('9001','9002','9003','9004','9005','9008') AND acct_balance_lc&lt;0</t>
  </si>
  <si>
    <t>ROW110</t>
  </si>
  <si>
    <t>ROW111</t>
  </si>
  <si>
    <t>ROW112</t>
  </si>
  <si>
    <t>ROW113</t>
  </si>
  <si>
    <t xml:space="preserve">FORACID IN ('A22010009', 'A22010004', 'A22010022', 'A22010029', 'A22010032', 'A22010040', 'A22010046', 'A22010054', 'A22010059', 'A22010060', 'A22010061', 'A22010078', 'A22010081') AND  acct_balance_lc&lt;0;
</t>
  </si>
  <si>
    <t>ROW114</t>
  </si>
  <si>
    <t>FORACID IN ('A21012202', 'A22022009', 'A22022008') AND acct_crncy_code='AED'
FORACID IN ('A21012202', 'A22022009', 'A22022008')  AND acct_crncy_code NOT IN ('AED'</t>
  </si>
  <si>
    <t>ROW115</t>
  </si>
  <si>
    <t xml:space="preserve">CONSTITUTION_CODE NOT IN ('44101', '44102','44103', '44104', '44105', '44106', '44107', '44108', '44109', '44110', '44111', '44112', 
'44113', '44114', '44115', '44116', '44199','44201', '44202', '44203', '44204', '44205', '44206', '44207', '44208', '44209', '44210', '44211', 
'44212', '44213', '44214', '44215', '44216', '44217', '44299', '71005', 'HUFJT', 'INDL','INDL ', 'INDVF', 'INDVM', 'NREIN', 'RESIN','WPS') and 
legal_entity_type not in('GOVTF','CGOVB','CB','GOVT','GOVTL','GOVTE','PSENO','PSEN','PSEC','PSECO')
and purpose_of_advn  in ('9001','9002','9003','9004','9005','9007','9009','9034','9035','9036','9037') AND acct_balance_lc&lt;0 AND SOL_ID IN ('9001','9002','9003','9004','9005','9008') 
</t>
  </si>
  <si>
    <t>ROW116</t>
  </si>
  <si>
    <t>ROW117</t>
  </si>
  <si>
    <t>ROW118</t>
  </si>
  <si>
    <t>ROW119</t>
  </si>
  <si>
    <t>ROW120</t>
  </si>
  <si>
    <t xml:space="preserve">legal_entity_type  IN ('NBFC','MXC','MXC  ','NBFC ') 
AND SOL_ID IN ('9001','9002','9003','9004','9005','9008') AND acct_balance_lc&lt;0 
</t>
  </si>
  <si>
    <t>ROW121</t>
  </si>
  <si>
    <t>ROW122</t>
  </si>
  <si>
    <t>ROW123</t>
  </si>
  <si>
    <t>ROW124</t>
  </si>
  <si>
    <t>ROW125</t>
  </si>
  <si>
    <t>ROW126</t>
  </si>
  <si>
    <t>ROW127</t>
  </si>
  <si>
    <t>ROW128</t>
  </si>
  <si>
    <t>ROW129</t>
  </si>
  <si>
    <t>ROW130</t>
  </si>
  <si>
    <t>FORACID IN ('A31013016', 'A31031210', 'A34022024', 'A34022200', 'A66044200')</t>
  </si>
  <si>
    <t>ROW131</t>
  </si>
  <si>
    <t xml:space="preserve">FORACID IN ('A33012100') </t>
  </si>
  <si>
    <t>ROW132</t>
  </si>
  <si>
    <t>ROW133</t>
  </si>
  <si>
    <t>ROW134</t>
  </si>
  <si>
    <t>ROW135</t>
  </si>
  <si>
    <t>ROW136</t>
  </si>
  <si>
    <t>ROW137</t>
  </si>
  <si>
    <t>ROW138</t>
  </si>
  <si>
    <t>ROW139</t>
  </si>
  <si>
    <t>ROW140</t>
  </si>
  <si>
    <t>ROW141</t>
  </si>
  <si>
    <t>constitution_code not in ('44101', '44102',
'44103', '44104', '44105', '44106', '44107', '44108', '44109', '44110', '44111', '44112', '44113', '44114', '44115', '44116', '44199',
'44201', '44202', '44203', '44204', '44205', '44206', '44207', '44208', '44209', '44210', '44211', '44212', '44213', '44214', '44215', 
'44216', '44217', '44299', '71005', 'HUFJT', 'INDL','INDL ', 'INDVM', 'NREIN', 'RESIN','WPS') and 
legal_entity_type not in('GOVTF','CGOVB','CB','GOVT','GOVTL','GOVTE','PSENO','PSEN','PSEC','PSECO','NBFC','MXC','MXC  ','NBFC ')
and purpose_of_advn not in ('9001','9002','9003','9004','9005','9007','9009','9034','9035','9036','9037')
and GLSH_CODE  in('24101','24102','24116','24117','24122','24146') AND acct_balance_lc&lt;0 AND SOL_ID IN ('9001','9002','9003','9004','9005','9008') 
-- foracid in ('90010800000206') AND acct_balance_lc&lt;0</t>
  </si>
  <si>
    <t>ROW142</t>
  </si>
  <si>
    <t xml:space="preserve">GLSH_CODE IN ('24171','24176','24181') AND acct_balance_lc&lt;0 AND SOL_ID IN ('9001','9002','9003','9004','9005','9008') </t>
  </si>
  <si>
    <t>ROW143</t>
  </si>
  <si>
    <t>ROW144</t>
  </si>
  <si>
    <t>ROW145</t>
  </si>
  <si>
    <t>constitution_code not in ('44101', '44102',
'44103', '44104', '44105', '44106', '44107', '44108', '44109', '44110', '44111', '44112', '44113', '44114', '44115', '44116', '44199',
'44201', '44202', '44203', '44204', '44205', '44206', '44207', '44208', '44209', '44210', '44211', '44212', '44213', '44214', '44215', 
'44216', '44217', '44299', '71005', 'HUFJT', 'INDL','INDL ', 'INDVF', 'INDVM', 'NREIN', 'RESIN','WPS') and 
legal_entity_type in('GOVTF','CGOVB','CB','GOVT','GOVTL') AND acct_balance_lc&lt;0 AND SOL_ID IN ('9001','9002','9003','9004','9005','9008')</t>
  </si>
  <si>
    <t>ROW146</t>
  </si>
  <si>
    <t>ROW147</t>
  </si>
  <si>
    <t xml:space="preserve">constitution_code not in ('44101', '44102',
'44103', '44104', '44105', '44106', '44107', '44108', '44109', '44110', '44111', '44112', '44113', '44114', '44115', '44116', '44199',
'44201', '44202', '44203', '44204', '44205', '44206', '44207', '44208', '44209', '44210', '44211', '44212', '44213', '44214', '44215', 
'44216', '44217', '44299', '71005', 'HUFJT', 'INDL','INDL ', 'INDVF', 'INDVM', 'NREIN', 'RESIN','WPS') and 
legal_entity_type NOT in('GOVTF','CGOVB','CB','GOVT','GOVTL','NBFC','MXC','MXC  ','NBFC ') AND acct_balance_lc&lt;0 AND legal_entity_type IN ('GOVTE') AND SOL_ID IN ('9001','9002','9003','9004','9005','9008') </t>
  </si>
  <si>
    <t>ROW148</t>
  </si>
  <si>
    <t>constitution_code not in ('44101', '44102',
'44103', '44104', '44105', '44106', '44107', '44108', '44109', '44110', '44111', '44112', '44113', '44114', '44115', '44116', '44199',
'44201', '44202', '44203', '44204', '44205', '44206', '44207', '44208', '44209', '44210', '44211', '44212', '44213', '44214', '44215', 
'44216', '44217', '44299', '71005', 'HUFJT', 'INDL','INDL ', 'INDVF', 'INDVM', 'NREIN', 'RESIN','WPS') and 
legal_entity_type NOT in('GOVTF','CGOVB','CB','GOVT','GOVTL','GOVTE','NBFC','MXC','MXC  ','NBFC ') AND acct_balance_lc&lt;0 AND legal_entity_type IN ('PSENO','PSEN') AND SOL_ID IN ('9001','9002','9003','9004','9005','9008')</t>
  </si>
  <si>
    <t>ROW149</t>
  </si>
  <si>
    <t xml:space="preserve">constitution_code not in ('44101', '44102',
'44103', '44104', '44105', '44106', '44107', '44108', '44109', '44110', '44111', '44112', '44113', '44114', '44115', '44116', '44199',
'44201', '44202', '44203', '44204', '44205', '44206', '44207', '44208', '44209', '44210', '44211', '44212', '44213', '44214', '44215', 
'44216', '44217', '44299', '71005', 'HUFJT', 'INDL','INDL ', 'INDVF', 'INDVM', 'NREIN', 'RESIN','WPS') and 
legal_entity_type NOT in('GOVTF','CGOVB','CB','GOVT','GOVTL','GOVTE','PSENO','PSEN') AND acct_balance_lc&lt;0 AND legal_entity_type IN ('PSEC','PSECO') AND SOL_ID IN ('9001','9002','9003','9004','9005','9008') </t>
  </si>
  <si>
    <t>ROW150</t>
  </si>
  <si>
    <t>ROW151</t>
  </si>
  <si>
    <t>ROW152</t>
  </si>
  <si>
    <t xml:space="preserve">constitution_code not in ('44101', '44102',
'44103', '44104', '44105', '44106', '44107', '44108', '44109', '44110', '44111', '44112', '44113', '44114', '44115', '44116', '44199',
'44201', '44202', '44203', '44204', '44205', '44206', '44207', '44208', '44209', '44210', '44211', '44212', '44213', '44214', '44215', 
'44216', '44217', '44299', '71005', 'HUFJT', 'INDL','INDL ', 'INDVF', 'INDVM', 'NREIN', 'RESIN','WPS') and 
legal_entity_type not in('GOVTF','CGOVB','CB','GOVT','GOVTL','GOVTE','PSENO','PSEN','PSEC','PSECO','NBFC','MXC','MXC  ','NBFC ')
and NVL(purpose_of_advn,0) not in ('9001','9002','9003','9004','9005','9007','9009','9034','9035','9036','9037')
and GLSH_CODE not in('24101','24102','24116','24117','24122','24146','24171','24176','24181') AND acct_balance_lc&lt;0 AND TURNOVER&gt;250000000 AND SOL_ID IN ('9001','9002','9003','9004','9005','9008') ;
</t>
  </si>
  <si>
    <t>ROW153</t>
  </si>
  <si>
    <t xml:space="preserve">constitution_code  in ('44101', '44102',
'44103', '44104', '44105', '44106', '44107', '44108', '44109', '44110', '44111', '44112', '44113', '44114', '44115', '44116', '44199',
'44201', '44202', '44203', '44204', '44205', '44206', '44207', '44208', '44209', '44210', '44211', '44212', '44213', '44214', '44215', 
'44216', '44217', '44299', '71005', 'HUFJT', 'INDL','INDL ', 'INDVF', 'INDVM', 'NREIN', 'RESIN','WPS') and 
legal_entity_type not in('GOVTF','CGOVB','CB','GOVT','GOVTL','GOVTE','PSENO','PSEN','PSEC','PSECO','NBFC','MXC','MXC  ','NBFC ')
and NVL(purpose_of_advn,0) not in ('9001','9002','9003','9004','9005','9007','9009','9034','9035','9036','9037')
and GLSH_CODE not in('24101','24102','24116','24117','24122','24146','24171','24176','24181') AND acct_balance_lc&lt;0 AND NETWORTH&gt;20000000 AND SOL_ID IN ('9001','9002','9003','9004','9005','9008') 
</t>
  </si>
  <si>
    <t>ROW154</t>
  </si>
  <si>
    <t xml:space="preserve">constitution_code not in ('44101', '44102',
'44103', '44104', '44105', '44106', '44107', '44108', '44109', '44110', '44111', '44112', '44113', '44114', '44115', '44116', '44199',
'44201', '44202', '44203', '44204', '44205', '44206', '44207', '44208', '44209', '44210', '44211', '44212', '44213', '44214', '44215', 
'44216', '44217', '44299', '71005', 'HUFJT', 'INDL','INDL ', 'INDVF', 'INDVM', 'NREIN', 'RESIN','WPS') and 
legal_entity_type not in('GOVTF','CGOVB','CB','GOVT','GOVTL','GOVTE','PSENO','PSEN','PSEC','PSECO','NBFC','MXC','MXC  ','NBFC ')
and NVL(purpose_of_advn,0) not in ('9001','9002','9003','9004','9005','9007','9009','9034','9035','9036','9037')
and GLSH_CODE not in('24101','24102','24116','24117','24122','24146','24171','24176','24181','31106') AND acct_balance_lc&lt;0 AND NVL(TURNOVER,0)&lt;=250000000 AND SOL_ID IN ('9001','9002','9003','9004','9005','9008') 
</t>
  </si>
  <si>
    <t>ROW155</t>
  </si>
  <si>
    <t xml:space="preserve"> constitution_code  in ('44101', '44102',
'44103', '44104', '44105', '44106', '44107', '44108', '44109', '44110', '44111', '44112', '44113', '44114', '44115', '44116', '44199',
'44201', '44202', '44203', '44204', '44205', '44206', '44207', '44208', '44209', '44210', '44211', '44212', '44213', '44214', '44215', 
'44216', '44217', '44299', '71005', 'HUFJT', 'INDL','INDL ', 'INDVF', 'INDVM', 'NREIN', 'RESIN','WPS') and 
legal_entity_type not in('GOVTF','CGOVB','CB','GOVT','GOVTL','GOVTE','PSENO','PSEN','PSEC','PSECO','NBFC','MXC','MXC  ','NBFC ')
and NVL(purpose_of_advn,0) not in ('9001','9002','9003','9004','9005','9007','9009','9034','9035','9036','9037')
and GLSH_CODE not in('24101','24102','24116','24117','24122','24146','24171','24176','24181') AND acct_balance_lc&lt;0 AND NVL(NETWORTH,0)&lt;=20000000 AND SOL_ID IN ('9001','9002','9003','9004','9005','9008') </t>
  </si>
  <si>
    <t>ROW156</t>
  </si>
  <si>
    <t>ROW157</t>
  </si>
  <si>
    <t>ROW158</t>
  </si>
  <si>
    <t>ROW159</t>
  </si>
  <si>
    <t>GLSH_CODE in ('15501','25101') AND SOL_ID IN ('9001','9002','9003','9004','9005','9008')</t>
  </si>
  <si>
    <t>ROW160</t>
  </si>
  <si>
    <t>ROW161</t>
  </si>
  <si>
    <t>ROW162</t>
  </si>
  <si>
    <t>&gt;&gt; FORACID IN ('S81001001','S81001002','S81001004','S81001007','S81001010','S81001008','S81001011','S81001013','S81001017','S81001018','S81001020','S81002005',
'S81002025','S81002081','S81002082','S81002083','S81004002','S81004006','S81004010','S81004011'); 
&gt;&gt; glsh_code IN ('31106','81011','82001','82011','82041','82061','82071','82081')
and sol_id in('9001' ,'9002' ,'9003' ,'9004' ,'9005' ,'9008');
 &gt;&gt;glsh_code IN ('31101')
and sol_id in('9001' ,'9002' ,'9003' ,'9004' ,'9005' ,'9008') ;
&gt;&gt;FORACID IN ('90031681081034','90030181081034');</t>
  </si>
  <si>
    <t>ROW163</t>
  </si>
  <si>
    <t>ROW164</t>
  </si>
  <si>
    <t>&gt;&gt;GLSH_CODE IN ('26101') AND SOL_ID IN ('9001','9002','9003','9004','9005','9008');
&gt;&gt;FORACID IN ('A62011102', 'A62011117', 'A62011118','A62013102','A62013207', 'A62013218', 'A62013219','A62014202','A62042000', 'A62052000');</t>
  </si>
  <si>
    <t>ROW165</t>
  </si>
  <si>
    <t>ROW166</t>
  </si>
  <si>
    <t>ROW167</t>
  </si>
  <si>
    <t>ROW168</t>
  </si>
  <si>
    <t>ROW169</t>
  </si>
  <si>
    <t>ROW170</t>
  </si>
  <si>
    <t xml:space="preserve">&gt;&gt;FORACID IN ('A62013203') AND acct_balance_lc&lt;0;
&gt;&gt;GLSH_CODE IN ('26681') AND BACID IN ('26681168','26681017','26681018','26681019','26681024','26681043') AND SOL_ID IN ('9001','9002','9003','9004','9005','9008');
&gt;&gt;GLSH_CODE IN ('26681') AND BACID IN ('26681049') AND acct_balance_lc&lt;0 AND SOL_ID IN ('9001','9002','9003','9004','9005','9008');
&gt;&gt;GLSH_CODE IN ('26671') AND BACID IN ('26671028','26671013') AND 
SOL_ID IN ('9001','9002','9003','9004','9005','9008') ;
&gt;&gt; GLSH_CODE IN ('26301','26501','81001','81081') AND BACID IN ('26301004','26501002','26501103',
'26501007','26501019','26501043','26501008','26501011','26501072','81081034','81001001') AND
 SOL_ID IN ('9001','9002','9003','9004','9005','9008') ;
&gt;&gt; GLSH_CODE IN ('26551','81041') AND BACID IN ('81041001','26551024')  AND acct_balance_lc&lt;0 AND SOL_ID IN ('9001','9002','9003','9004','9005','9008') AND report_date=V_REPORT_DATE;
&gt;&gt; GLSH_CODE IN ('81081')  AND acct_balance_lc&lt;0 AND
 SOL_ID IN ('9001','9002','9003','9004','9005','9008');
</t>
  </si>
  <si>
    <t>ROW171</t>
  </si>
  <si>
    <t>ROW172</t>
  </si>
  <si>
    <t>ROW173</t>
  </si>
  <si>
    <t>ROW174</t>
  </si>
  <si>
    <t>ROW175</t>
  </si>
  <si>
    <t>ROW176</t>
  </si>
  <si>
    <t>ROW177</t>
  </si>
  <si>
    <t>ROW178</t>
  </si>
  <si>
    <t>ROW179</t>
  </si>
  <si>
    <t>ROW180</t>
  </si>
  <si>
    <t>ROW181</t>
  </si>
</sst>
</file>

<file path=xl/styles.xml><?xml version="1.0" encoding="utf-8"?>
<styleSheet xmlns="http://schemas.openxmlformats.org/spreadsheetml/2006/main" xmlns:xr9="http://schemas.microsoft.com/office/spreadsheetml/2016/revision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
  </numFmts>
  <fonts count="30">
    <font>
      <sz val="11"/>
      <color theme="1"/>
      <name val="Calibri"/>
      <charset val="134"/>
      <scheme val="minor"/>
    </font>
    <font>
      <sz val="10"/>
      <name val="Arial"/>
      <charset val="0"/>
    </font>
    <font>
      <b/>
      <sz val="8"/>
      <name val="Arial"/>
      <charset val="0"/>
    </font>
    <font>
      <sz val="8"/>
      <name val="Arial"/>
      <charset val="0"/>
    </font>
    <font>
      <b/>
      <i/>
      <sz val="8"/>
      <name val="Arial"/>
      <charset val="0"/>
    </font>
    <font>
      <sz val="8"/>
      <name val="Calibri"/>
      <charset val="0"/>
    </font>
    <font>
      <b/>
      <sz val="10"/>
      <name val="Arial"/>
      <charset val="0"/>
    </font>
    <font>
      <sz val="10"/>
      <name val="Arial"/>
      <charset val="0"/>
    </font>
    <font>
      <b/>
      <sz val="8"/>
      <color indexed="8"/>
      <name val="Arial"/>
      <charset val="0"/>
    </font>
    <font>
      <sz val="11"/>
      <color indexed="8"/>
      <name val="Arial"/>
      <charset val="0"/>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indexed="8"/>
      <name val="Calibri"/>
      <charset val="0"/>
    </font>
  </fonts>
  <fills count="37">
    <fill>
      <patternFill patternType="none"/>
    </fill>
    <fill>
      <patternFill patternType="gray125"/>
    </fill>
    <fill>
      <patternFill patternType="solid">
        <fgColor indexed="22"/>
        <bgColor indexed="64"/>
      </patternFill>
    </fill>
    <fill>
      <patternFill patternType="solid">
        <fgColor rgb="FFFFFF00"/>
        <bgColor indexed="64"/>
      </patternFill>
    </fill>
    <fill>
      <patternFill patternType="solid">
        <fgColor theme="0"/>
        <bgColor indexed="64"/>
      </patternFill>
    </fill>
    <fill>
      <patternFill patternType="solid">
        <fgColor theme="0"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diagonal/>
    </border>
    <border>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6" borderId="16"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17" applyNumberFormat="0" applyFill="0" applyAlignment="0" applyProtection="0">
      <alignment vertical="center"/>
    </xf>
    <xf numFmtId="0" fontId="16" fillId="0" borderId="17" applyNumberFormat="0" applyFill="0" applyAlignment="0" applyProtection="0">
      <alignment vertical="center"/>
    </xf>
    <xf numFmtId="0" fontId="17" fillId="0" borderId="18" applyNumberFormat="0" applyFill="0" applyAlignment="0" applyProtection="0">
      <alignment vertical="center"/>
    </xf>
    <xf numFmtId="0" fontId="17" fillId="0" borderId="0" applyNumberFormat="0" applyFill="0" applyBorder="0" applyAlignment="0" applyProtection="0">
      <alignment vertical="center"/>
    </xf>
    <xf numFmtId="0" fontId="18" fillId="7" borderId="19" applyNumberFormat="0" applyAlignment="0" applyProtection="0">
      <alignment vertical="center"/>
    </xf>
    <xf numFmtId="0" fontId="19" fillId="8" borderId="20" applyNumberFormat="0" applyAlignment="0" applyProtection="0">
      <alignment vertical="center"/>
    </xf>
    <xf numFmtId="0" fontId="20" fillId="8" borderId="19" applyNumberFormat="0" applyAlignment="0" applyProtection="0">
      <alignment vertical="center"/>
    </xf>
    <xf numFmtId="0" fontId="21" fillId="9" borderId="21" applyNumberFormat="0" applyAlignment="0" applyProtection="0">
      <alignment vertical="center"/>
    </xf>
    <xf numFmtId="0" fontId="22" fillId="0" borderId="22" applyNumberFormat="0" applyFill="0" applyAlignment="0" applyProtection="0">
      <alignment vertical="center"/>
    </xf>
    <xf numFmtId="0" fontId="23" fillId="0" borderId="23" applyNumberFormat="0" applyFill="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8" fillId="34" borderId="0" applyNumberFormat="0" applyBorder="0" applyAlignment="0" applyProtection="0">
      <alignment vertical="center"/>
    </xf>
    <xf numFmtId="0" fontId="28" fillId="35" borderId="0" applyNumberFormat="0" applyBorder="0" applyAlignment="0" applyProtection="0">
      <alignment vertical="center"/>
    </xf>
    <xf numFmtId="0" fontId="27" fillId="36" borderId="0" applyNumberFormat="0" applyBorder="0" applyAlignment="0" applyProtection="0">
      <alignment vertical="center"/>
    </xf>
    <xf numFmtId="0" fontId="7" fillId="0" borderId="0"/>
    <xf numFmtId="0" fontId="7" fillId="0" borderId="0"/>
    <xf numFmtId="0" fontId="7" fillId="0" borderId="0"/>
    <xf numFmtId="0" fontId="29" fillId="0" borderId="0"/>
  </cellStyleXfs>
  <cellXfs count="105">
    <xf numFmtId="0" fontId="0" fillId="0" borderId="0" xfId="0">
      <alignment vertical="center"/>
    </xf>
    <xf numFmtId="0" fontId="1" fillId="0" borderId="0" xfId="0" applyFont="1" applyFill="1" applyBorder="1" applyAlignment="1"/>
    <xf numFmtId="0" fontId="2" fillId="2" borderId="1" xfId="49" applyFont="1" applyFill="1" applyBorder="1" applyAlignment="1" applyProtection="1">
      <alignment horizontal="center"/>
    </xf>
    <xf numFmtId="0" fontId="2" fillId="2" borderId="2" xfId="49" applyFont="1" applyFill="1" applyBorder="1" applyAlignment="1" applyProtection="1">
      <alignment horizontal="center"/>
    </xf>
    <xf numFmtId="0" fontId="3" fillId="2" borderId="3" xfId="49" applyFont="1" applyFill="1" applyBorder="1" applyAlignment="1" applyProtection="1">
      <alignment horizontal="center"/>
    </xf>
    <xf numFmtId="0" fontId="3" fillId="2" borderId="4" xfId="49" applyFont="1" applyFill="1" applyBorder="1" applyAlignment="1" applyProtection="1">
      <alignment horizontal="center"/>
    </xf>
    <xf numFmtId="0" fontId="3" fillId="2" borderId="5" xfId="49" applyFont="1" applyFill="1" applyBorder="1" applyAlignment="1" applyProtection="1">
      <alignment horizontal="center"/>
    </xf>
    <xf numFmtId="0" fontId="3" fillId="2" borderId="6" xfId="49" applyFont="1" applyFill="1" applyBorder="1" applyAlignment="1" applyProtection="1">
      <alignment horizontal="center"/>
    </xf>
    <xf numFmtId="0" fontId="3" fillId="2" borderId="7" xfId="49" applyFont="1" applyFill="1" applyBorder="1" applyAlignment="1" applyProtection="1">
      <alignment horizontal="center"/>
    </xf>
    <xf numFmtId="0" fontId="3" fillId="2" borderId="8" xfId="49" applyFont="1" applyFill="1" applyBorder="1" applyAlignment="1" applyProtection="1">
      <alignment horizontal="center"/>
    </xf>
    <xf numFmtId="0" fontId="2" fillId="2" borderId="9" xfId="49" applyFont="1" applyFill="1" applyBorder="1" applyAlignment="1" applyProtection="1">
      <alignment horizontal="center"/>
    </xf>
    <xf numFmtId="0" fontId="2" fillId="2" borderId="10" xfId="49" applyFont="1" applyFill="1" applyBorder="1" applyAlignment="1" applyProtection="1">
      <alignment wrapText="1"/>
    </xf>
    <xf numFmtId="0" fontId="2" fillId="2" borderId="10" xfId="49" applyFont="1" applyFill="1" applyBorder="1" applyAlignment="1" applyProtection="1">
      <alignment horizontal="right" wrapText="1"/>
    </xf>
    <xf numFmtId="0" fontId="2" fillId="2" borderId="10" xfId="49" applyFont="1" applyFill="1" applyBorder="1" applyAlignment="1" applyProtection="1">
      <alignment horizontal="left" wrapText="1"/>
    </xf>
    <xf numFmtId="0" fontId="2" fillId="2" borderId="10" xfId="49" applyFont="1" applyFill="1" applyBorder="1" applyAlignment="1">
      <alignment wrapText="1"/>
    </xf>
    <xf numFmtId="0" fontId="2" fillId="2" borderId="10" xfId="49" applyFont="1" applyFill="1" applyBorder="1" applyAlignment="1">
      <alignment horizontal="right" wrapText="1"/>
    </xf>
    <xf numFmtId="1" fontId="2" fillId="2" borderId="10" xfId="49" applyNumberFormat="1" applyFont="1" applyFill="1" applyBorder="1" applyAlignment="1">
      <alignment horizontal="right" wrapText="1"/>
    </xf>
    <xf numFmtId="3" fontId="2" fillId="2" borderId="10" xfId="49" applyNumberFormat="1" applyFont="1" applyFill="1" applyBorder="1" applyAlignment="1">
      <alignment horizontal="right" wrapText="1"/>
    </xf>
    <xf numFmtId="0" fontId="3" fillId="0" borderId="10" xfId="49" applyFont="1" applyFill="1" applyBorder="1" applyAlignment="1">
      <alignment wrapText="1"/>
    </xf>
    <xf numFmtId="0" fontId="3" fillId="0" borderId="10" xfId="49" applyFont="1" applyFill="1" applyBorder="1" applyAlignment="1">
      <alignment horizontal="right" wrapText="1"/>
    </xf>
    <xf numFmtId="3" fontId="2" fillId="0" borderId="10" xfId="49" applyNumberFormat="1" applyFont="1" applyFill="1" applyBorder="1" applyAlignment="1" applyProtection="1">
      <alignment horizontal="right" wrapText="1"/>
      <protection locked="0"/>
    </xf>
    <xf numFmtId="0" fontId="3" fillId="2" borderId="10" xfId="49" applyFont="1" applyFill="1" applyBorder="1" applyAlignment="1">
      <alignment wrapText="1"/>
    </xf>
    <xf numFmtId="0" fontId="3" fillId="2" borderId="10" xfId="49" applyFont="1" applyFill="1" applyBorder="1" applyAlignment="1">
      <alignment horizontal="right" wrapText="1"/>
    </xf>
    <xf numFmtId="0" fontId="2" fillId="0" borderId="10" xfId="49" applyFont="1" applyFill="1" applyBorder="1" applyAlignment="1">
      <alignment wrapText="1"/>
    </xf>
    <xf numFmtId="3" fontId="2" fillId="3" borderId="10" xfId="49" applyNumberFormat="1" applyFont="1" applyFill="1" applyBorder="1" applyAlignment="1" applyProtection="1">
      <alignment horizontal="right" wrapText="1"/>
    </xf>
    <xf numFmtId="0" fontId="3" fillId="4" borderId="10" xfId="49" applyFont="1" applyFill="1" applyBorder="1" applyAlignment="1">
      <alignment wrapText="1"/>
    </xf>
    <xf numFmtId="0" fontId="3" fillId="4" borderId="10" xfId="49" applyFont="1" applyFill="1" applyBorder="1" applyAlignment="1"/>
    <xf numFmtId="0" fontId="3" fillId="0" borderId="10" xfId="49" applyFont="1" applyFill="1" applyBorder="1" applyAlignment="1"/>
    <xf numFmtId="0" fontId="2" fillId="2" borderId="10" xfId="49" applyFont="1" applyFill="1" applyBorder="1" applyAlignment="1"/>
    <xf numFmtId="1" fontId="2" fillId="2" borderId="10" xfId="49" applyNumberFormat="1" applyFont="1" applyFill="1" applyBorder="1" applyAlignment="1">
      <alignment horizontal="right"/>
    </xf>
    <xf numFmtId="178" fontId="3" fillId="0" borderId="10" xfId="51" applyNumberFormat="1" applyFont="1" applyFill="1" applyBorder="1" applyAlignment="1">
      <alignment horizontal="right" wrapText="1"/>
    </xf>
    <xf numFmtId="0" fontId="3" fillId="0" borderId="10" xfId="51" applyFont="1" applyFill="1" applyBorder="1" applyAlignment="1">
      <alignment wrapText="1"/>
    </xf>
    <xf numFmtId="1" fontId="2" fillId="2" borderId="10" xfId="51" applyNumberFormat="1" applyFont="1" applyFill="1" applyBorder="1" applyAlignment="1">
      <alignment horizontal="right" wrapText="1"/>
    </xf>
    <xf numFmtId="3" fontId="2" fillId="2" borderId="10" xfId="51" applyNumberFormat="1" applyFont="1" applyFill="1" applyBorder="1" applyAlignment="1">
      <alignment horizontal="right" wrapText="1"/>
    </xf>
    <xf numFmtId="178" fontId="4" fillId="2" borderId="10" xfId="51" applyNumberFormat="1" applyFont="1" applyFill="1" applyBorder="1" applyAlignment="1">
      <alignment horizontal="right" wrapText="1"/>
    </xf>
    <xf numFmtId="0" fontId="4" fillId="2" borderId="10" xfId="51" applyFont="1" applyFill="1" applyBorder="1" applyAlignment="1">
      <alignment horizontal="left" wrapText="1"/>
    </xf>
    <xf numFmtId="0" fontId="4" fillId="2" borderId="10" xfId="51" applyFont="1" applyFill="1" applyBorder="1" applyAlignment="1">
      <alignment wrapText="1"/>
    </xf>
    <xf numFmtId="178" fontId="2" fillId="2" borderId="10" xfId="51" applyNumberFormat="1" applyFont="1" applyFill="1" applyBorder="1" applyAlignment="1">
      <alignment horizontal="right" wrapText="1"/>
    </xf>
    <xf numFmtId="0" fontId="2" fillId="2" borderId="10" xfId="51" applyFont="1" applyFill="1" applyBorder="1" applyAlignment="1">
      <alignment wrapText="1"/>
    </xf>
    <xf numFmtId="1" fontId="2" fillId="2" borderId="10" xfId="51" applyNumberFormat="1" applyFont="1" applyFill="1" applyBorder="1" applyAlignment="1">
      <alignment horizontal="right"/>
    </xf>
    <xf numFmtId="3" fontId="2" fillId="0" borderId="10" xfId="51" applyNumberFormat="1" applyFont="1" applyFill="1" applyBorder="1" applyAlignment="1" applyProtection="1">
      <alignment horizontal="right"/>
      <protection locked="0"/>
    </xf>
    <xf numFmtId="3" fontId="2" fillId="2" borderId="10" xfId="51" applyNumberFormat="1" applyFont="1" applyFill="1" applyBorder="1" applyAlignment="1">
      <alignment horizontal="right"/>
    </xf>
    <xf numFmtId="3" fontId="2" fillId="0" borderId="10" xfId="51" applyNumberFormat="1" applyFont="1" applyFill="1" applyBorder="1" applyAlignment="1" applyProtection="1">
      <alignment horizontal="right" wrapText="1"/>
      <protection locked="0"/>
    </xf>
    <xf numFmtId="178" fontId="3" fillId="2" borderId="10" xfId="51" applyNumberFormat="1" applyFont="1" applyFill="1" applyBorder="1" applyAlignment="1">
      <alignment horizontal="right" wrapText="1"/>
    </xf>
    <xf numFmtId="0" fontId="3" fillId="2" borderId="10" xfId="49" applyFont="1" applyFill="1" applyBorder="1"/>
    <xf numFmtId="1" fontId="2" fillId="0" borderId="10" xfId="51" applyNumberFormat="1" applyFont="1" applyFill="1" applyBorder="1" applyAlignment="1" applyProtection="1">
      <alignment horizontal="right"/>
      <protection locked="0"/>
    </xf>
    <xf numFmtId="1" fontId="2" fillId="0" borderId="10" xfId="51" applyNumberFormat="1" applyFont="1" applyFill="1" applyBorder="1" applyAlignment="1" applyProtection="1">
      <alignment horizontal="right" wrapText="1"/>
      <protection locked="0"/>
    </xf>
    <xf numFmtId="0" fontId="2" fillId="2" borderId="10" xfId="49" applyFont="1" applyFill="1" applyBorder="1" applyAlignment="1">
      <alignment horizontal="left"/>
    </xf>
    <xf numFmtId="49" fontId="2" fillId="2" borderId="10" xfId="49" applyNumberFormat="1" applyFont="1" applyFill="1" applyBorder="1"/>
    <xf numFmtId="49" fontId="2" fillId="0" borderId="10" xfId="49" applyNumberFormat="1" applyFont="1" applyFill="1" applyBorder="1"/>
    <xf numFmtId="0" fontId="5" fillId="0" borderId="10" xfId="49" applyFont="1" applyFill="1" applyBorder="1" applyAlignment="1">
      <alignment horizontal="right" wrapText="1"/>
    </xf>
    <xf numFmtId="0" fontId="3" fillId="0" borderId="10" xfId="52" applyFont="1" applyFill="1" applyBorder="1" applyAlignment="1">
      <alignment horizontal="left" wrapText="1"/>
    </xf>
    <xf numFmtId="1" fontId="2" fillId="0" borderId="10" xfId="49" applyNumberFormat="1" applyFont="1" applyFill="1" applyBorder="1" applyAlignment="1" applyProtection="1">
      <alignment horizontal="right" wrapText="1"/>
      <protection locked="0"/>
    </xf>
    <xf numFmtId="0" fontId="3" fillId="4" borderId="10" xfId="52" applyFont="1" applyFill="1" applyBorder="1" applyAlignment="1">
      <alignment horizontal="left" wrapText="1"/>
    </xf>
    <xf numFmtId="0" fontId="2" fillId="2" borderId="10" xfId="49" applyNumberFormat="1" applyFont="1" applyFill="1" applyBorder="1" applyAlignment="1">
      <alignment horizontal="right"/>
    </xf>
    <xf numFmtId="49" fontId="3" fillId="0" borderId="10" xfId="49" applyNumberFormat="1" applyFont="1" applyFill="1" applyBorder="1" applyAlignment="1">
      <alignment horizontal="right"/>
    </xf>
    <xf numFmtId="0" fontId="3" fillId="0" borderId="10" xfId="49" applyFont="1" applyFill="1" applyBorder="1" applyAlignment="1">
      <alignment horizontal="left"/>
    </xf>
    <xf numFmtId="0" fontId="3" fillId="0" borderId="10" xfId="49" applyFont="1" applyFill="1" applyBorder="1" applyAlignment="1">
      <alignment horizontal="left" wrapText="1"/>
    </xf>
    <xf numFmtId="178" fontId="3" fillId="0" borderId="10" xfId="49" applyNumberFormat="1" applyFont="1" applyFill="1" applyBorder="1"/>
    <xf numFmtId="178" fontId="3" fillId="2" borderId="10" xfId="49" applyNumberFormat="1" applyFont="1" applyFill="1" applyBorder="1"/>
    <xf numFmtId="0" fontId="6" fillId="2" borderId="11" xfId="50" applyFont="1" applyFill="1" applyBorder="1" applyAlignment="1" applyProtection="1">
      <alignment horizontal="center" wrapText="1"/>
    </xf>
    <xf numFmtId="0" fontId="6" fillId="2" borderId="12" xfId="50" applyFont="1" applyFill="1" applyBorder="1" applyAlignment="1" applyProtection="1">
      <alignment horizontal="center" wrapText="1"/>
    </xf>
    <xf numFmtId="0" fontId="7" fillId="0" borderId="0" xfId="0" applyFont="1" applyFill="1" applyBorder="1" applyAlignment="1"/>
    <xf numFmtId="0" fontId="2" fillId="2" borderId="10" xfId="49" applyFont="1" applyFill="1" applyBorder="1" applyProtection="1"/>
    <xf numFmtId="0" fontId="6" fillId="2" borderId="13" xfId="50" applyFont="1" applyFill="1" applyBorder="1" applyAlignment="1" applyProtection="1">
      <alignment horizontal="center" wrapText="1"/>
    </xf>
    <xf numFmtId="3" fontId="2" fillId="5" borderId="10" xfId="49" applyNumberFormat="1" applyFont="1" applyFill="1" applyBorder="1" applyAlignment="1" applyProtection="1">
      <alignment horizontal="right" wrapText="1"/>
    </xf>
    <xf numFmtId="3" fontId="2" fillId="2" borderId="10" xfId="52" applyNumberFormat="1" applyFont="1" applyFill="1" applyBorder="1" applyAlignment="1">
      <alignment horizontal="right"/>
    </xf>
    <xf numFmtId="0" fontId="2" fillId="2" borderId="10" xfId="52" applyFont="1" applyFill="1" applyBorder="1"/>
    <xf numFmtId="0" fontId="2" fillId="4" borderId="10" xfId="49" applyFont="1" applyFill="1" applyBorder="1" applyAlignment="1">
      <alignment wrapText="1"/>
    </xf>
    <xf numFmtId="0" fontId="3" fillId="0" borderId="10" xfId="52" applyFont="1" applyFill="1" applyBorder="1"/>
    <xf numFmtId="0" fontId="3" fillId="0" borderId="10" xfId="52" applyFont="1" applyFill="1" applyBorder="1" applyAlignment="1">
      <alignment horizontal="right"/>
    </xf>
    <xf numFmtId="0" fontId="3" fillId="0" borderId="10" xfId="49" applyFont="1" applyFill="1" applyBorder="1"/>
    <xf numFmtId="0" fontId="1" fillId="0" borderId="0" xfId="0" applyFont="1" applyFill="1" applyBorder="1" applyAlignment="1">
      <alignment wrapText="1"/>
    </xf>
    <xf numFmtId="0" fontId="2" fillId="2" borderId="10" xfId="52" applyFont="1" applyFill="1" applyBorder="1" applyAlignment="1">
      <alignment horizontal="right"/>
    </xf>
    <xf numFmtId="3" fontId="2" fillId="0" borderId="10" xfId="50" applyNumberFormat="1" applyFont="1" applyFill="1" applyBorder="1" applyAlignment="1" applyProtection="1">
      <alignment horizontal="right"/>
      <protection locked="0"/>
    </xf>
    <xf numFmtId="3" fontId="2" fillId="2" borderId="9" xfId="49" applyNumberFormat="1" applyFont="1" applyFill="1" applyBorder="1" applyAlignment="1">
      <alignment horizontal="right" wrapText="1"/>
    </xf>
    <xf numFmtId="0" fontId="3" fillId="0" borderId="1" xfId="49" applyFont="1" applyFill="1" applyBorder="1" applyAlignment="1">
      <alignment horizontal="center"/>
    </xf>
    <xf numFmtId="0" fontId="3" fillId="0" borderId="9" xfId="49" applyFont="1" applyFill="1" applyBorder="1" applyAlignment="1">
      <alignment horizontal="center"/>
    </xf>
    <xf numFmtId="0" fontId="3" fillId="5" borderId="10" xfId="49" applyFont="1" applyFill="1" applyBorder="1" applyAlignment="1">
      <alignment wrapText="1"/>
    </xf>
    <xf numFmtId="0" fontId="3" fillId="5" borderId="1" xfId="49" applyFont="1" applyFill="1" applyBorder="1" applyAlignment="1">
      <alignment wrapText="1"/>
    </xf>
    <xf numFmtId="0" fontId="3" fillId="0" borderId="2" xfId="49" applyFont="1" applyFill="1" applyBorder="1" applyAlignment="1">
      <alignment horizontal="center"/>
    </xf>
    <xf numFmtId="3" fontId="8" fillId="2" borderId="9" xfId="52" applyNumberFormat="1" applyFont="1" applyFill="1" applyBorder="1" applyAlignment="1">
      <alignment horizontal="right"/>
    </xf>
    <xf numFmtId="0" fontId="3" fillId="0" borderId="0" xfId="49" applyFont="1" applyFill="1" applyBorder="1"/>
    <xf numFmtId="0" fontId="3" fillId="0" borderId="0" xfId="49" applyFont="1" applyFill="1" applyBorder="1" applyAlignment="1">
      <alignment wrapText="1"/>
    </xf>
    <xf numFmtId="0" fontId="3" fillId="0" borderId="0" xfId="49" applyFont="1" applyFill="1" applyBorder="1" applyAlignment="1">
      <alignment horizontal="right"/>
    </xf>
    <xf numFmtId="0" fontId="9" fillId="0" borderId="0" xfId="0" applyFont="1" applyFill="1" applyBorder="1" applyAlignment="1"/>
    <xf numFmtId="0" fontId="6" fillId="2" borderId="1" xfId="51" applyFont="1" applyFill="1" applyBorder="1" applyAlignment="1" applyProtection="1">
      <alignment horizontal="center"/>
    </xf>
    <xf numFmtId="0" fontId="6" fillId="2" borderId="2" xfId="51" applyFont="1" applyFill="1" applyBorder="1" applyAlignment="1" applyProtection="1">
      <alignment horizontal="center"/>
    </xf>
    <xf numFmtId="0" fontId="8" fillId="2" borderId="10" xfId="50" applyFont="1" applyFill="1" applyBorder="1" applyAlignment="1" applyProtection="1"/>
    <xf numFmtId="15" fontId="2" fillId="0" borderId="1" xfId="49" applyNumberFormat="1" applyFont="1" applyFill="1" applyBorder="1" applyAlignment="1" applyProtection="1">
      <alignment horizontal="left"/>
    </xf>
    <xf numFmtId="15" fontId="2" fillId="0" borderId="9" xfId="49" applyNumberFormat="1" applyFont="1" applyFill="1" applyBorder="1" applyAlignment="1" applyProtection="1">
      <alignment horizontal="left"/>
    </xf>
    <xf numFmtId="0" fontId="1" fillId="0" borderId="3" xfId="0" applyFont="1" applyFill="1" applyBorder="1" applyAlignment="1" applyProtection="1"/>
    <xf numFmtId="0" fontId="1" fillId="0" borderId="4" xfId="0" applyFont="1" applyFill="1" applyBorder="1" applyAlignment="1" applyProtection="1"/>
    <xf numFmtId="15" fontId="2" fillId="2" borderId="10" xfId="49" applyNumberFormat="1" applyFont="1" applyFill="1" applyBorder="1" applyAlignment="1" applyProtection="1">
      <alignment horizontal="left"/>
    </xf>
    <xf numFmtId="0" fontId="1" fillId="0" borderId="14" xfId="0" applyFont="1" applyFill="1" applyBorder="1" applyAlignment="1" applyProtection="1"/>
    <xf numFmtId="0" fontId="1" fillId="0" borderId="0" xfId="0" applyFont="1" applyFill="1" applyBorder="1" applyAlignment="1" applyProtection="1"/>
    <xf numFmtId="0" fontId="1" fillId="0" borderId="6" xfId="0" applyFont="1" applyFill="1" applyBorder="1" applyAlignment="1" applyProtection="1"/>
    <xf numFmtId="0" fontId="1" fillId="0" borderId="7" xfId="0" applyFont="1" applyFill="1" applyBorder="1" applyAlignment="1" applyProtection="1"/>
    <xf numFmtId="15" fontId="3" fillId="0" borderId="1" xfId="49" applyNumberFormat="1" applyFont="1" applyFill="1" applyBorder="1" applyAlignment="1" applyProtection="1">
      <alignment horizontal="left"/>
    </xf>
    <xf numFmtId="15" fontId="3" fillId="0" borderId="2" xfId="49" applyNumberFormat="1" applyFont="1" applyFill="1" applyBorder="1" applyAlignment="1" applyProtection="1">
      <alignment horizontal="left"/>
    </xf>
    <xf numFmtId="0" fontId="6" fillId="2" borderId="9" xfId="51" applyFont="1" applyFill="1" applyBorder="1" applyAlignment="1" applyProtection="1">
      <alignment horizontal="center"/>
    </xf>
    <xf numFmtId="0" fontId="1" fillId="0" borderId="5" xfId="0" applyFont="1" applyFill="1" applyBorder="1" applyAlignment="1" applyProtection="1"/>
    <xf numFmtId="0" fontId="1" fillId="0" borderId="15" xfId="0" applyFont="1" applyFill="1" applyBorder="1" applyAlignment="1" applyProtection="1"/>
    <xf numFmtId="0" fontId="1" fillId="0" borderId="8" xfId="0" applyFont="1" applyFill="1" applyBorder="1" applyAlignment="1" applyProtection="1"/>
    <xf numFmtId="15" fontId="3" fillId="0" borderId="9" xfId="49" applyNumberFormat="1" applyFont="1" applyFill="1" applyBorder="1" applyAlignment="1" applyProtection="1">
      <alignment horizontal="left"/>
    </xf>
  </cellXfs>
  <cellStyles count="53">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3" xfId="49"/>
    <cellStyle name="Normal 2" xfId="50"/>
    <cellStyle name="Normal 5" xfId="51"/>
    <cellStyle name="Normal_Sheet1" xf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M93"/>
  <sheetViews>
    <sheetView topLeftCell="A66" workbookViewId="0">
      <selection activeCell="F73" sqref="F73"/>
    </sheetView>
  </sheetViews>
  <sheetFormatPr defaultColWidth="8.72727272727273" defaultRowHeight="13" customHeight="1" zeroHeight="1"/>
  <cols>
    <col min="1" max="1" width="2.18181818181818" style="82" customWidth="1"/>
    <col min="2" max="2" width="5.72727272727273" style="82"/>
    <col min="3" max="3" width="5.72727272727273" style="84"/>
    <col min="4" max="4" width="50.1818181818182" style="82"/>
    <col min="5" max="5" width="10.7272727272727" style="82" customWidth="1"/>
    <col min="6" max="6" width="12.7272727272727" style="82"/>
    <col min="7" max="7" width="9.81818181818182" style="82"/>
    <col min="8" max="12" width="10.7272727272727" style="82" customWidth="1"/>
    <col min="13" max="13" width="12.7272727272727" style="85" customWidth="1"/>
    <col min="14" max="14" width="2" style="82" customWidth="1"/>
    <col min="15" max="16384" width="8.72727272727273" style="82" hidden="1"/>
  </cols>
  <sheetData>
    <row r="1" s="82" customFormat="1" ht="6" customHeight="1" spans="3:13">
      <c r="C1" s="84"/>
      <c r="M1" s="85"/>
    </row>
    <row r="2" s="82" customFormat="1" spans="2:13">
      <c r="B2" s="86" t="s">
        <v>0</v>
      </c>
      <c r="C2" s="87"/>
      <c r="D2" s="87"/>
      <c r="E2" s="87"/>
      <c r="F2" s="87"/>
      <c r="G2" s="87"/>
      <c r="H2" s="87"/>
      <c r="I2" s="87"/>
      <c r="J2" s="87"/>
      <c r="K2" s="87"/>
      <c r="L2" s="87"/>
      <c r="M2" s="100"/>
    </row>
    <row r="3" s="82" customFormat="1" ht="12" customHeight="1" spans="2:13">
      <c r="B3" s="88" t="s">
        <v>1</v>
      </c>
      <c r="C3" s="89" t="s">
        <v>2</v>
      </c>
      <c r="D3" s="90"/>
      <c r="E3" s="91"/>
      <c r="F3" s="92"/>
      <c r="G3" s="92"/>
      <c r="H3" s="92"/>
      <c r="I3" s="92"/>
      <c r="J3" s="92"/>
      <c r="K3" s="92"/>
      <c r="L3" s="92"/>
      <c r="M3" s="101"/>
    </row>
    <row r="4" s="82" customFormat="1" ht="18" customHeight="1" spans="2:13">
      <c r="B4" s="93" t="s">
        <v>3</v>
      </c>
      <c r="C4" s="89" t="s">
        <v>4</v>
      </c>
      <c r="D4" s="90"/>
      <c r="E4" s="94"/>
      <c r="F4" s="95"/>
      <c r="G4" s="95"/>
      <c r="H4" s="95"/>
      <c r="I4" s="95"/>
      <c r="J4" s="95"/>
      <c r="K4" s="95"/>
      <c r="L4" s="95"/>
      <c r="M4" s="102"/>
    </row>
    <row r="5" s="82" customFormat="1" ht="16.5" customHeight="1" spans="2:13">
      <c r="B5" s="63" t="s">
        <v>5</v>
      </c>
      <c r="C5" s="89" t="s">
        <v>6</v>
      </c>
      <c r="D5" s="90"/>
      <c r="E5" s="96"/>
      <c r="F5" s="97"/>
      <c r="G5" s="97"/>
      <c r="H5" s="97"/>
      <c r="I5" s="97"/>
      <c r="J5" s="97"/>
      <c r="K5" s="97"/>
      <c r="L5" s="97"/>
      <c r="M5" s="103"/>
    </row>
    <row r="6" s="82" customFormat="1" ht="9.75" customHeight="1" spans="2:13">
      <c r="B6" s="98"/>
      <c r="C6" s="99"/>
      <c r="D6" s="99"/>
      <c r="E6" s="99"/>
      <c r="F6" s="99"/>
      <c r="G6" s="99"/>
      <c r="H6" s="99"/>
      <c r="I6" s="99"/>
      <c r="J6" s="99"/>
      <c r="K6" s="99"/>
      <c r="L6" s="99"/>
      <c r="M6" s="104"/>
    </row>
    <row r="7" s="82" customFormat="1" ht="12" customHeight="1" spans="2:13">
      <c r="B7" s="2" t="s">
        <v>7</v>
      </c>
      <c r="C7" s="3"/>
      <c r="D7" s="3"/>
      <c r="E7" s="3"/>
      <c r="F7" s="3"/>
      <c r="G7" s="3"/>
      <c r="H7" s="3"/>
      <c r="I7" s="3"/>
      <c r="J7" s="3"/>
      <c r="K7" s="3"/>
      <c r="L7" s="3"/>
      <c r="M7" s="10"/>
    </row>
    <row r="8" s="82" customFormat="1" ht="12.75" customHeight="1" spans="2:13">
      <c r="B8" s="4"/>
      <c r="C8" s="5"/>
      <c r="D8" s="6"/>
      <c r="E8" s="2" t="s">
        <v>8</v>
      </c>
      <c r="F8" s="3"/>
      <c r="G8" s="3"/>
      <c r="H8" s="10"/>
      <c r="I8" s="2" t="s">
        <v>9</v>
      </c>
      <c r="J8" s="3"/>
      <c r="K8" s="3"/>
      <c r="L8" s="10"/>
      <c r="M8" s="60" t="s">
        <v>10</v>
      </c>
    </row>
    <row r="9" s="82" customFormat="1" ht="16.5" customHeight="1" spans="2:13">
      <c r="B9" s="7"/>
      <c r="C9" s="8"/>
      <c r="D9" s="9"/>
      <c r="E9" s="2" t="s">
        <v>11</v>
      </c>
      <c r="F9" s="10"/>
      <c r="G9" s="2" t="s">
        <v>12</v>
      </c>
      <c r="H9" s="10"/>
      <c r="I9" s="2" t="s">
        <v>11</v>
      </c>
      <c r="J9" s="10"/>
      <c r="K9" s="2" t="s">
        <v>12</v>
      </c>
      <c r="L9" s="10"/>
      <c r="M9" s="61"/>
    </row>
    <row r="10" s="82" customFormat="1" ht="18" customHeight="1" spans="2:13">
      <c r="B10" s="11" t="s">
        <v>13</v>
      </c>
      <c r="C10" s="12"/>
      <c r="D10" s="13" t="s">
        <v>14</v>
      </c>
      <c r="E10" s="13" t="s">
        <v>15</v>
      </c>
      <c r="F10" s="13" t="s">
        <v>16</v>
      </c>
      <c r="G10" s="13" t="s">
        <v>15</v>
      </c>
      <c r="H10" s="13" t="s">
        <v>16</v>
      </c>
      <c r="I10" s="13" t="s">
        <v>15</v>
      </c>
      <c r="J10" s="63" t="s">
        <v>16</v>
      </c>
      <c r="K10" s="13" t="s">
        <v>15</v>
      </c>
      <c r="L10" s="63" t="s">
        <v>16</v>
      </c>
      <c r="M10" s="64"/>
    </row>
    <row r="11" s="82" customFormat="1" ht="14.15" customHeight="1" spans="2:13">
      <c r="B11" s="14">
        <v>1</v>
      </c>
      <c r="C11" s="15"/>
      <c r="D11" s="14" t="s">
        <v>17</v>
      </c>
      <c r="E11" s="16"/>
      <c r="F11" s="17">
        <f t="shared" ref="F11:J11" si="0">SUM(F12:F16)</f>
        <v>2086905</v>
      </c>
      <c r="G11" s="17"/>
      <c r="H11" s="17">
        <f t="shared" si="0"/>
        <v>0</v>
      </c>
      <c r="I11" s="17"/>
      <c r="J11" s="17">
        <f t="shared" si="0"/>
        <v>0</v>
      </c>
      <c r="K11" s="17"/>
      <c r="L11" s="17">
        <f>SUM(L12:L16)</f>
        <v>0</v>
      </c>
      <c r="M11" s="17">
        <f t="shared" ref="M11:M46" si="1">+F11+H11+J11+L11</f>
        <v>2086905</v>
      </c>
    </row>
    <row r="12" s="82" customFormat="1" ht="14.15" customHeight="1" spans="2:13">
      <c r="B12" s="18"/>
      <c r="C12" s="19">
        <v>1.1</v>
      </c>
      <c r="D12" s="18" t="s">
        <v>18</v>
      </c>
      <c r="E12" s="16"/>
      <c r="F12" s="20">
        <v>187516</v>
      </c>
      <c r="G12" s="17"/>
      <c r="H12" s="20">
        <v>0</v>
      </c>
      <c r="I12" s="17"/>
      <c r="J12" s="24">
        <f t="shared" ref="J12:J15" si="2">0</f>
        <v>0</v>
      </c>
      <c r="K12" s="17"/>
      <c r="L12" s="24">
        <f t="shared" ref="L12:L14" si="3">0</f>
        <v>0</v>
      </c>
      <c r="M12" s="17">
        <f t="shared" si="1"/>
        <v>187516</v>
      </c>
    </row>
    <row r="13" s="82" customFormat="1" ht="14.15" customHeight="1" spans="2:13">
      <c r="B13" s="18"/>
      <c r="C13" s="19">
        <v>1.2</v>
      </c>
      <c r="D13" s="18" t="s">
        <v>19</v>
      </c>
      <c r="E13" s="16"/>
      <c r="F13" s="20">
        <v>1599389</v>
      </c>
      <c r="G13" s="17"/>
      <c r="H13" s="20">
        <v>0</v>
      </c>
      <c r="I13" s="17"/>
      <c r="J13" s="24">
        <f t="shared" si="2"/>
        <v>0</v>
      </c>
      <c r="K13" s="17"/>
      <c r="L13" s="24">
        <f t="shared" si="3"/>
        <v>0</v>
      </c>
      <c r="M13" s="17">
        <f t="shared" si="1"/>
        <v>1599389</v>
      </c>
    </row>
    <row r="14" s="82" customFormat="1" ht="14.15" customHeight="1" spans="2:13">
      <c r="B14" s="18"/>
      <c r="C14" s="19">
        <v>1.3</v>
      </c>
      <c r="D14" s="18" t="s">
        <v>20</v>
      </c>
      <c r="E14" s="16"/>
      <c r="F14" s="20">
        <v>0</v>
      </c>
      <c r="G14" s="17"/>
      <c r="H14" s="20">
        <v>0</v>
      </c>
      <c r="I14" s="17"/>
      <c r="J14" s="24">
        <f t="shared" si="2"/>
        <v>0</v>
      </c>
      <c r="K14" s="17"/>
      <c r="L14" s="24">
        <f t="shared" si="3"/>
        <v>0</v>
      </c>
      <c r="M14" s="17">
        <f t="shared" si="1"/>
        <v>0</v>
      </c>
    </row>
    <row r="15" s="82" customFormat="1" ht="14.15" customHeight="1" spans="2:13">
      <c r="B15" s="18"/>
      <c r="C15" s="19">
        <v>1.4</v>
      </c>
      <c r="D15" s="18" t="s">
        <v>21</v>
      </c>
      <c r="E15" s="16"/>
      <c r="F15" s="20">
        <v>300000</v>
      </c>
      <c r="G15" s="17"/>
      <c r="H15" s="20">
        <v>0</v>
      </c>
      <c r="I15" s="17"/>
      <c r="J15" s="24">
        <f t="shared" si="2"/>
        <v>0</v>
      </c>
      <c r="K15" s="17"/>
      <c r="L15" s="20">
        <v>0</v>
      </c>
      <c r="M15" s="17">
        <f t="shared" si="1"/>
        <v>300000</v>
      </c>
    </row>
    <row r="16" s="82" customFormat="1" ht="14.15" customHeight="1" spans="2:13">
      <c r="B16" s="21"/>
      <c r="C16" s="22">
        <v>1.5</v>
      </c>
      <c r="D16" s="14" t="s">
        <v>22</v>
      </c>
      <c r="E16" s="16"/>
      <c r="F16" s="17">
        <f t="shared" ref="F16:J16" si="4">SUM(F17:F18)</f>
        <v>0</v>
      </c>
      <c r="G16" s="17"/>
      <c r="H16" s="17">
        <f t="shared" si="4"/>
        <v>0</v>
      </c>
      <c r="I16" s="17"/>
      <c r="J16" s="65">
        <f t="shared" si="4"/>
        <v>0</v>
      </c>
      <c r="K16" s="17"/>
      <c r="L16" s="17">
        <f>SUM(L17:L18)</f>
        <v>0</v>
      </c>
      <c r="M16" s="17">
        <f t="shared" si="1"/>
        <v>0</v>
      </c>
    </row>
    <row r="17" s="82" customFormat="1" ht="14.15" customHeight="1" spans="2:13">
      <c r="B17" s="18"/>
      <c r="C17" s="19" t="s">
        <v>23</v>
      </c>
      <c r="D17" s="18" t="s">
        <v>24</v>
      </c>
      <c r="E17" s="16"/>
      <c r="F17" s="20">
        <v>0</v>
      </c>
      <c r="G17" s="17"/>
      <c r="H17" s="20">
        <v>0</v>
      </c>
      <c r="I17" s="17"/>
      <c r="J17" s="24">
        <f>0</f>
        <v>0</v>
      </c>
      <c r="K17" s="17"/>
      <c r="L17" s="20">
        <v>0</v>
      </c>
      <c r="M17" s="17">
        <f t="shared" si="1"/>
        <v>0</v>
      </c>
    </row>
    <row r="18" s="82" customFormat="1" ht="14.15" customHeight="1" spans="2:13">
      <c r="B18" s="18"/>
      <c r="C18" s="19" t="s">
        <v>25</v>
      </c>
      <c r="D18" s="18" t="s">
        <v>26</v>
      </c>
      <c r="E18" s="16"/>
      <c r="F18" s="20">
        <v>0</v>
      </c>
      <c r="G18" s="17"/>
      <c r="H18" s="20">
        <v>0</v>
      </c>
      <c r="I18" s="17"/>
      <c r="J18" s="24">
        <f>0</f>
        <v>0</v>
      </c>
      <c r="K18" s="17"/>
      <c r="L18" s="20">
        <v>0</v>
      </c>
      <c r="M18" s="17">
        <f t="shared" si="1"/>
        <v>0</v>
      </c>
    </row>
    <row r="19" s="82" customFormat="1" ht="23.25" customHeight="1" spans="2:13">
      <c r="B19" s="14">
        <v>2</v>
      </c>
      <c r="C19" s="15"/>
      <c r="D19" s="14" t="s">
        <v>27</v>
      </c>
      <c r="E19" s="16"/>
      <c r="F19" s="17">
        <f t="shared" ref="F19:J19" si="5">SUM(F20:F22)</f>
        <v>0</v>
      </c>
      <c r="G19" s="17"/>
      <c r="H19" s="17">
        <f t="shared" si="5"/>
        <v>0</v>
      </c>
      <c r="I19" s="17"/>
      <c r="J19" s="17">
        <f t="shared" si="5"/>
        <v>0</v>
      </c>
      <c r="K19" s="17"/>
      <c r="L19" s="17">
        <f>SUM(L20:L22)</f>
        <v>42954</v>
      </c>
      <c r="M19" s="17">
        <f t="shared" si="1"/>
        <v>42954</v>
      </c>
    </row>
    <row r="20" s="82" customFormat="1" ht="14.15" customHeight="1" spans="2:13">
      <c r="B20" s="23"/>
      <c r="C20" s="19">
        <v>2.1</v>
      </c>
      <c r="D20" s="18" t="s">
        <v>28</v>
      </c>
      <c r="E20" s="16"/>
      <c r="F20" s="24">
        <f>0</f>
        <v>0</v>
      </c>
      <c r="G20" s="17"/>
      <c r="H20" s="24">
        <f>0</f>
        <v>0</v>
      </c>
      <c r="I20" s="17"/>
      <c r="J20" s="20">
        <v>0</v>
      </c>
      <c r="K20" s="17"/>
      <c r="L20" s="20">
        <v>42954</v>
      </c>
      <c r="M20" s="17">
        <f t="shared" si="1"/>
        <v>42954</v>
      </c>
    </row>
    <row r="21" s="82" customFormat="1" ht="14.15" customHeight="1" spans="2:13">
      <c r="B21" s="23"/>
      <c r="C21" s="19">
        <v>2.2</v>
      </c>
      <c r="D21" s="18" t="s">
        <v>29</v>
      </c>
      <c r="E21" s="16"/>
      <c r="F21" s="24">
        <f>0</f>
        <v>0</v>
      </c>
      <c r="G21" s="17"/>
      <c r="H21" s="24">
        <f>0</f>
        <v>0</v>
      </c>
      <c r="I21" s="17"/>
      <c r="J21" s="20">
        <v>0</v>
      </c>
      <c r="K21" s="17"/>
      <c r="L21" s="20">
        <v>0</v>
      </c>
      <c r="M21" s="17">
        <f t="shared" si="1"/>
        <v>0</v>
      </c>
    </row>
    <row r="22" s="82" customFormat="1" ht="14.15" customHeight="1" spans="2:13">
      <c r="B22" s="23"/>
      <c r="C22" s="19">
        <v>2.3</v>
      </c>
      <c r="D22" s="18" t="s">
        <v>30</v>
      </c>
      <c r="E22" s="16"/>
      <c r="F22" s="20">
        <v>0</v>
      </c>
      <c r="G22" s="17"/>
      <c r="H22" s="20">
        <v>0</v>
      </c>
      <c r="I22" s="17"/>
      <c r="J22" s="20">
        <v>0</v>
      </c>
      <c r="K22" s="17"/>
      <c r="L22" s="20">
        <v>0</v>
      </c>
      <c r="M22" s="17">
        <f t="shared" si="1"/>
        <v>0</v>
      </c>
    </row>
    <row r="23" s="82" customFormat="1" ht="14.15" customHeight="1" spans="2:13">
      <c r="B23" s="14">
        <v>3</v>
      </c>
      <c r="C23" s="15" t="s">
        <v>31</v>
      </c>
      <c r="D23" s="14" t="s">
        <v>32</v>
      </c>
      <c r="E23" s="16"/>
      <c r="F23" s="17">
        <f t="shared" ref="F23:J23" si="6">SUM(F24:F29)</f>
        <v>200000</v>
      </c>
      <c r="G23" s="17"/>
      <c r="H23" s="17">
        <f t="shared" si="6"/>
        <v>0</v>
      </c>
      <c r="I23" s="17"/>
      <c r="J23" s="17">
        <f t="shared" si="6"/>
        <v>1122</v>
      </c>
      <c r="K23" s="17"/>
      <c r="L23" s="17">
        <f>SUM(L24:L29)</f>
        <v>5411136</v>
      </c>
      <c r="M23" s="17">
        <f t="shared" si="1"/>
        <v>5612258</v>
      </c>
    </row>
    <row r="24" s="82" customFormat="1" ht="24" customHeight="1" spans="2:13">
      <c r="B24" s="18"/>
      <c r="C24" s="19">
        <v>3.1</v>
      </c>
      <c r="D24" s="25" t="s">
        <v>33</v>
      </c>
      <c r="E24" s="16"/>
      <c r="F24" s="20">
        <v>0</v>
      </c>
      <c r="G24" s="17"/>
      <c r="H24" s="20">
        <v>0</v>
      </c>
      <c r="I24" s="17"/>
      <c r="J24" s="20">
        <v>0</v>
      </c>
      <c r="K24" s="17"/>
      <c r="L24" s="20">
        <v>42162</v>
      </c>
      <c r="M24" s="17">
        <f t="shared" si="1"/>
        <v>42162</v>
      </c>
    </row>
    <row r="25" s="82" customFormat="1" ht="14.15" customHeight="1" spans="2:13">
      <c r="B25" s="18"/>
      <c r="C25" s="19">
        <v>3.2</v>
      </c>
      <c r="D25" s="25" t="s">
        <v>34</v>
      </c>
      <c r="E25" s="16"/>
      <c r="F25" s="20">
        <v>200000</v>
      </c>
      <c r="G25" s="17"/>
      <c r="H25" s="20">
        <v>0</v>
      </c>
      <c r="I25" s="17"/>
      <c r="J25" s="20">
        <v>0</v>
      </c>
      <c r="K25" s="17"/>
      <c r="L25" s="20">
        <v>1216384</v>
      </c>
      <c r="M25" s="17">
        <f t="shared" si="1"/>
        <v>1416384</v>
      </c>
    </row>
    <row r="26" s="82" customFormat="1" ht="14.15" customHeight="1" spans="2:13">
      <c r="B26" s="18"/>
      <c r="C26" s="19">
        <v>3.3</v>
      </c>
      <c r="D26" s="25" t="s">
        <v>35</v>
      </c>
      <c r="E26" s="16"/>
      <c r="F26" s="20">
        <v>0</v>
      </c>
      <c r="G26" s="17"/>
      <c r="H26" s="20">
        <v>0</v>
      </c>
      <c r="I26" s="17"/>
      <c r="J26" s="20">
        <v>1122</v>
      </c>
      <c r="K26" s="17"/>
      <c r="L26" s="20">
        <v>4152590</v>
      </c>
      <c r="M26" s="17">
        <f t="shared" si="1"/>
        <v>4153712</v>
      </c>
    </row>
    <row r="27" s="82" customFormat="1" ht="14.15" customHeight="1" spans="2:13">
      <c r="B27" s="18"/>
      <c r="C27" s="19">
        <v>3.4</v>
      </c>
      <c r="D27" s="25" t="s">
        <v>36</v>
      </c>
      <c r="E27" s="16"/>
      <c r="F27" s="20">
        <v>0</v>
      </c>
      <c r="G27" s="17"/>
      <c r="H27" s="20">
        <v>0</v>
      </c>
      <c r="I27" s="17"/>
      <c r="J27" s="20">
        <v>0</v>
      </c>
      <c r="K27" s="17"/>
      <c r="L27" s="20">
        <v>0</v>
      </c>
      <c r="M27" s="17">
        <f t="shared" si="1"/>
        <v>0</v>
      </c>
    </row>
    <row r="28" s="82" customFormat="1" ht="14.15" customHeight="1" spans="2:13">
      <c r="B28" s="18"/>
      <c r="C28" s="19">
        <v>3.5</v>
      </c>
      <c r="D28" s="25" t="s">
        <v>37</v>
      </c>
      <c r="E28" s="16"/>
      <c r="F28" s="20">
        <v>0</v>
      </c>
      <c r="G28" s="17"/>
      <c r="H28" s="20">
        <v>0</v>
      </c>
      <c r="I28" s="17"/>
      <c r="J28" s="20">
        <v>0</v>
      </c>
      <c r="K28" s="17"/>
      <c r="L28" s="20">
        <v>0</v>
      </c>
      <c r="M28" s="17">
        <f t="shared" si="1"/>
        <v>0</v>
      </c>
    </row>
    <row r="29" s="82" customFormat="1" ht="14.15" customHeight="1" spans="2:13">
      <c r="B29" s="18"/>
      <c r="C29" s="19">
        <v>3.6</v>
      </c>
      <c r="D29" s="26" t="s">
        <v>38</v>
      </c>
      <c r="E29" s="16"/>
      <c r="F29" s="20">
        <v>0</v>
      </c>
      <c r="G29" s="17"/>
      <c r="H29" s="20">
        <v>0</v>
      </c>
      <c r="I29" s="17"/>
      <c r="J29" s="20">
        <v>0</v>
      </c>
      <c r="K29" s="17"/>
      <c r="L29" s="20">
        <v>0</v>
      </c>
      <c r="M29" s="17">
        <f t="shared" si="1"/>
        <v>0</v>
      </c>
    </row>
    <row r="30" s="82" customFormat="1" ht="14.15" customHeight="1" spans="2:13">
      <c r="B30" s="21">
        <v>4</v>
      </c>
      <c r="C30" s="22"/>
      <c r="D30" s="14" t="s">
        <v>39</v>
      </c>
      <c r="E30" s="16"/>
      <c r="F30" s="17">
        <f t="shared" ref="F30:J30" si="7">SUM(F31:F33)</f>
        <v>406527</v>
      </c>
      <c r="G30" s="17"/>
      <c r="H30" s="17">
        <f t="shared" si="7"/>
        <v>44500</v>
      </c>
      <c r="I30" s="17"/>
      <c r="J30" s="17">
        <f t="shared" si="7"/>
        <v>0</v>
      </c>
      <c r="K30" s="17"/>
      <c r="L30" s="17">
        <f>SUM(L31:L33)</f>
        <v>651957</v>
      </c>
      <c r="M30" s="17">
        <f t="shared" si="1"/>
        <v>1102984</v>
      </c>
    </row>
    <row r="31" s="82" customFormat="1" ht="14.15" customHeight="1" spans="2:13">
      <c r="B31" s="18"/>
      <c r="C31" s="19">
        <v>4.1</v>
      </c>
      <c r="D31" s="18" t="s">
        <v>40</v>
      </c>
      <c r="E31" s="16"/>
      <c r="F31" s="20">
        <v>406527</v>
      </c>
      <c r="G31" s="17"/>
      <c r="H31" s="20">
        <v>44500</v>
      </c>
      <c r="I31" s="17"/>
      <c r="J31" s="20">
        <v>0</v>
      </c>
      <c r="K31" s="17"/>
      <c r="L31" s="20">
        <v>651957</v>
      </c>
      <c r="M31" s="17">
        <f t="shared" si="1"/>
        <v>1102984</v>
      </c>
    </row>
    <row r="32" s="82" customFormat="1" ht="14.15" customHeight="1" spans="2:13">
      <c r="B32" s="18"/>
      <c r="C32" s="19">
        <v>4.2</v>
      </c>
      <c r="D32" s="18" t="s">
        <v>41</v>
      </c>
      <c r="E32" s="16"/>
      <c r="F32" s="20">
        <v>0</v>
      </c>
      <c r="G32" s="17"/>
      <c r="H32" s="20">
        <v>0</v>
      </c>
      <c r="I32" s="17"/>
      <c r="J32" s="20">
        <v>0</v>
      </c>
      <c r="K32" s="17"/>
      <c r="L32" s="20">
        <v>0</v>
      </c>
      <c r="M32" s="17">
        <f t="shared" si="1"/>
        <v>0</v>
      </c>
    </row>
    <row r="33" s="82" customFormat="1" ht="14.15" customHeight="1" spans="2:13">
      <c r="B33" s="18"/>
      <c r="C33" s="19">
        <v>4.3</v>
      </c>
      <c r="D33" s="27" t="s">
        <v>38</v>
      </c>
      <c r="E33" s="16"/>
      <c r="F33" s="20">
        <v>0</v>
      </c>
      <c r="G33" s="17"/>
      <c r="H33" s="20">
        <v>0</v>
      </c>
      <c r="I33" s="17"/>
      <c r="J33" s="20">
        <v>0</v>
      </c>
      <c r="K33" s="17"/>
      <c r="L33" s="20">
        <v>0</v>
      </c>
      <c r="M33" s="17">
        <f t="shared" si="1"/>
        <v>0</v>
      </c>
    </row>
    <row r="34" s="82" customFormat="1" ht="14.15" customHeight="1" spans="2:13">
      <c r="B34" s="21">
        <v>5</v>
      </c>
      <c r="C34" s="22"/>
      <c r="D34" s="14" t="s">
        <v>42</v>
      </c>
      <c r="E34" s="16"/>
      <c r="F34" s="17">
        <f t="shared" ref="F34:J34" si="8">+F35+F39</f>
        <v>843430</v>
      </c>
      <c r="G34" s="17"/>
      <c r="H34" s="17">
        <f t="shared" si="8"/>
        <v>61072</v>
      </c>
      <c r="I34" s="17"/>
      <c r="J34" s="17">
        <f t="shared" si="8"/>
        <v>0</v>
      </c>
      <c r="K34" s="17"/>
      <c r="L34" s="17">
        <f>+L35+L39</f>
        <v>126846</v>
      </c>
      <c r="M34" s="17">
        <f t="shared" si="1"/>
        <v>1031348</v>
      </c>
    </row>
    <row r="35" s="82" customFormat="1" ht="14.15" customHeight="1" spans="2:13">
      <c r="B35" s="14"/>
      <c r="C35" s="15">
        <v>5.1</v>
      </c>
      <c r="D35" s="28" t="s">
        <v>43</v>
      </c>
      <c r="E35" s="29"/>
      <c r="F35" s="17">
        <f t="shared" ref="F35:J35" si="9">SUM(F36:F38)</f>
        <v>0</v>
      </c>
      <c r="G35" s="17"/>
      <c r="H35" s="17">
        <f t="shared" si="9"/>
        <v>0</v>
      </c>
      <c r="I35" s="17"/>
      <c r="J35" s="17">
        <f t="shared" si="9"/>
        <v>0</v>
      </c>
      <c r="K35" s="17"/>
      <c r="L35" s="17">
        <f>SUM(L36:L38)</f>
        <v>0</v>
      </c>
      <c r="M35" s="17">
        <f t="shared" si="1"/>
        <v>0</v>
      </c>
    </row>
    <row r="36" s="82" customFormat="1" ht="14.15" customHeight="1" spans="2:13">
      <c r="B36" s="23"/>
      <c r="C36" s="30" t="s">
        <v>44</v>
      </c>
      <c r="D36" s="31" t="s">
        <v>45</v>
      </c>
      <c r="E36" s="32"/>
      <c r="F36" s="20">
        <v>0</v>
      </c>
      <c r="G36" s="33"/>
      <c r="H36" s="20">
        <v>0</v>
      </c>
      <c r="I36" s="33"/>
      <c r="J36" s="20">
        <v>0</v>
      </c>
      <c r="K36" s="17"/>
      <c r="L36" s="20">
        <v>0</v>
      </c>
      <c r="M36" s="17">
        <f t="shared" si="1"/>
        <v>0</v>
      </c>
    </row>
    <row r="37" s="82" customFormat="1" ht="14.15" customHeight="1" spans="2:13">
      <c r="B37" s="23"/>
      <c r="C37" s="30" t="s">
        <v>46</v>
      </c>
      <c r="D37" s="31" t="s">
        <v>47</v>
      </c>
      <c r="E37" s="32"/>
      <c r="F37" s="20">
        <v>0</v>
      </c>
      <c r="G37" s="33"/>
      <c r="H37" s="20">
        <v>0</v>
      </c>
      <c r="I37" s="33"/>
      <c r="J37" s="20">
        <v>0</v>
      </c>
      <c r="K37" s="17"/>
      <c r="L37" s="20">
        <v>0</v>
      </c>
      <c r="M37" s="17">
        <f t="shared" si="1"/>
        <v>0</v>
      </c>
    </row>
    <row r="38" s="82" customFormat="1" ht="14.15" customHeight="1" spans="2:13">
      <c r="B38" s="23"/>
      <c r="C38" s="30" t="s">
        <v>48</v>
      </c>
      <c r="D38" s="31" t="s">
        <v>49</v>
      </c>
      <c r="E38" s="32"/>
      <c r="F38" s="20">
        <v>0</v>
      </c>
      <c r="G38" s="33"/>
      <c r="H38" s="20">
        <v>0</v>
      </c>
      <c r="I38" s="33"/>
      <c r="J38" s="20">
        <v>0</v>
      </c>
      <c r="K38" s="17"/>
      <c r="L38" s="20">
        <v>0</v>
      </c>
      <c r="M38" s="17">
        <f t="shared" si="1"/>
        <v>0</v>
      </c>
    </row>
    <row r="39" s="82" customFormat="1" ht="14.15" customHeight="1" spans="2:13">
      <c r="B39" s="14"/>
      <c r="C39" s="15">
        <v>5.2</v>
      </c>
      <c r="D39" s="14" t="s">
        <v>50</v>
      </c>
      <c r="E39" s="16"/>
      <c r="F39" s="17">
        <f t="shared" ref="F39:J39" si="10">+F40+F43</f>
        <v>843430</v>
      </c>
      <c r="G39" s="17"/>
      <c r="H39" s="17">
        <f t="shared" si="10"/>
        <v>61072</v>
      </c>
      <c r="I39" s="17"/>
      <c r="J39" s="17">
        <f t="shared" si="10"/>
        <v>0</v>
      </c>
      <c r="K39" s="17"/>
      <c r="L39" s="17">
        <f>+L40+L43</f>
        <v>126846</v>
      </c>
      <c r="M39" s="17">
        <f t="shared" si="1"/>
        <v>1031348</v>
      </c>
    </row>
    <row r="40" s="82" customFormat="1" ht="14.15" customHeight="1" spans="2:13">
      <c r="B40" s="14"/>
      <c r="C40" s="34" t="s">
        <v>51</v>
      </c>
      <c r="D40" s="35" t="s">
        <v>52</v>
      </c>
      <c r="E40" s="32"/>
      <c r="F40" s="33">
        <f t="shared" ref="F40:J40" si="11">SUM(F41:F42)</f>
        <v>843430</v>
      </c>
      <c r="G40" s="33"/>
      <c r="H40" s="33">
        <f t="shared" si="11"/>
        <v>61072</v>
      </c>
      <c r="I40" s="33"/>
      <c r="J40" s="33">
        <f t="shared" si="11"/>
        <v>0</v>
      </c>
      <c r="K40" s="33"/>
      <c r="L40" s="33">
        <f>SUM(L41:L42)</f>
        <v>126846</v>
      </c>
      <c r="M40" s="17">
        <f t="shared" si="1"/>
        <v>1031348</v>
      </c>
    </row>
    <row r="41" s="82" customFormat="1" ht="14.15" customHeight="1" spans="2:13">
      <c r="B41" s="23"/>
      <c r="C41" s="30" t="s">
        <v>53</v>
      </c>
      <c r="D41" s="31" t="s">
        <v>45</v>
      </c>
      <c r="E41" s="32"/>
      <c r="F41" s="20">
        <v>843430</v>
      </c>
      <c r="G41" s="33"/>
      <c r="H41" s="20">
        <v>61072</v>
      </c>
      <c r="I41" s="33"/>
      <c r="J41" s="20">
        <v>0</v>
      </c>
      <c r="K41" s="17"/>
      <c r="L41" s="20">
        <v>88228</v>
      </c>
      <c r="M41" s="17">
        <f t="shared" si="1"/>
        <v>992730</v>
      </c>
    </row>
    <row r="42" s="82" customFormat="1" ht="14.15" customHeight="1" spans="2:13">
      <c r="B42" s="23"/>
      <c r="C42" s="30" t="s">
        <v>54</v>
      </c>
      <c r="D42" s="31" t="s">
        <v>47</v>
      </c>
      <c r="E42" s="32"/>
      <c r="F42" s="20">
        <v>0</v>
      </c>
      <c r="G42" s="33"/>
      <c r="H42" s="20">
        <v>0</v>
      </c>
      <c r="I42" s="33"/>
      <c r="J42" s="20">
        <v>0</v>
      </c>
      <c r="K42" s="17"/>
      <c r="L42" s="20">
        <v>38618</v>
      </c>
      <c r="M42" s="17">
        <f t="shared" si="1"/>
        <v>38618</v>
      </c>
    </row>
    <row r="43" s="82" customFormat="1" ht="14.15" customHeight="1" spans="2:13">
      <c r="B43" s="14"/>
      <c r="C43" s="34" t="s">
        <v>55</v>
      </c>
      <c r="D43" s="36" t="s">
        <v>56</v>
      </c>
      <c r="E43" s="32"/>
      <c r="F43" s="20">
        <v>0</v>
      </c>
      <c r="G43" s="33"/>
      <c r="H43" s="20">
        <v>0</v>
      </c>
      <c r="I43" s="33"/>
      <c r="J43" s="20">
        <v>0</v>
      </c>
      <c r="K43" s="17"/>
      <c r="L43" s="20">
        <v>0</v>
      </c>
      <c r="M43" s="17">
        <f t="shared" si="1"/>
        <v>0</v>
      </c>
    </row>
    <row r="44" s="82" customFormat="1" ht="14.15" customHeight="1" spans="2:13">
      <c r="B44" s="14">
        <v>6</v>
      </c>
      <c r="C44" s="37"/>
      <c r="D44" s="38" t="s">
        <v>57</v>
      </c>
      <c r="E44" s="32"/>
      <c r="F44" s="33">
        <f t="shared" ref="F44:J44" si="12">SUM(F45:F46)</f>
        <v>0</v>
      </c>
      <c r="G44" s="33"/>
      <c r="H44" s="33">
        <f t="shared" si="12"/>
        <v>0</v>
      </c>
      <c r="I44" s="33"/>
      <c r="J44" s="33">
        <f t="shared" si="12"/>
        <v>0</v>
      </c>
      <c r="K44" s="33"/>
      <c r="L44" s="33">
        <f>SUM(L45:L46)</f>
        <v>0</v>
      </c>
      <c r="M44" s="17">
        <f t="shared" si="1"/>
        <v>0</v>
      </c>
    </row>
    <row r="45" s="82" customFormat="1" ht="14.15" customHeight="1" spans="2:13">
      <c r="B45" s="23"/>
      <c r="C45" s="30">
        <v>6.1</v>
      </c>
      <c r="D45" s="31" t="s">
        <v>58</v>
      </c>
      <c r="E45" s="39"/>
      <c r="F45" s="40">
        <v>0</v>
      </c>
      <c r="G45" s="41"/>
      <c r="H45" s="40">
        <v>0</v>
      </c>
      <c r="I45" s="41"/>
      <c r="J45" s="40">
        <v>0</v>
      </c>
      <c r="K45" s="17"/>
      <c r="L45" s="40">
        <v>0</v>
      </c>
      <c r="M45" s="17">
        <f t="shared" si="1"/>
        <v>0</v>
      </c>
    </row>
    <row r="46" s="83" customFormat="1" ht="14.15" customHeight="1" spans="2:13">
      <c r="B46" s="23"/>
      <c r="C46" s="30">
        <v>6.2</v>
      </c>
      <c r="D46" s="31" t="s">
        <v>59</v>
      </c>
      <c r="E46" s="32"/>
      <c r="F46" s="42">
        <v>0</v>
      </c>
      <c r="G46" s="33"/>
      <c r="H46" s="42">
        <v>0</v>
      </c>
      <c r="I46" s="33"/>
      <c r="J46" s="42">
        <v>0</v>
      </c>
      <c r="K46" s="17"/>
      <c r="L46" s="42">
        <v>0</v>
      </c>
      <c r="M46" s="17">
        <f t="shared" si="1"/>
        <v>0</v>
      </c>
    </row>
    <row r="47" s="83" customFormat="1" ht="14.15" customHeight="1" spans="2:13">
      <c r="B47" s="14">
        <v>7</v>
      </c>
      <c r="C47" s="43"/>
      <c r="D47" s="38" t="s">
        <v>60</v>
      </c>
      <c r="E47" s="39">
        <f t="shared" ref="E47:M47" si="13">+E48+E51</f>
        <v>72</v>
      </c>
      <c r="F47" s="41">
        <f t="shared" si="13"/>
        <v>170663</v>
      </c>
      <c r="G47" s="41">
        <f t="shared" si="13"/>
        <v>40</v>
      </c>
      <c r="H47" s="41">
        <f t="shared" si="13"/>
        <v>388661</v>
      </c>
      <c r="I47" s="41">
        <f t="shared" si="13"/>
        <v>0</v>
      </c>
      <c r="J47" s="41">
        <f t="shared" si="13"/>
        <v>0</v>
      </c>
      <c r="K47" s="41">
        <f t="shared" si="13"/>
        <v>0</v>
      </c>
      <c r="L47" s="41">
        <f t="shared" si="13"/>
        <v>0</v>
      </c>
      <c r="M47" s="17">
        <f t="shared" si="13"/>
        <v>559324</v>
      </c>
    </row>
    <row r="48" s="82" customFormat="1" ht="14.15" customHeight="1" spans="2:13">
      <c r="B48" s="44"/>
      <c r="C48" s="37">
        <v>7.1</v>
      </c>
      <c r="D48" s="38" t="s">
        <v>61</v>
      </c>
      <c r="E48" s="39">
        <f t="shared" ref="E48:L48" si="14">SUM(E49:E50)</f>
        <v>0</v>
      </c>
      <c r="F48" s="41">
        <f t="shared" si="14"/>
        <v>0</v>
      </c>
      <c r="G48" s="41">
        <f t="shared" si="14"/>
        <v>0</v>
      </c>
      <c r="H48" s="41">
        <f t="shared" si="14"/>
        <v>0</v>
      </c>
      <c r="I48" s="41">
        <f t="shared" si="14"/>
        <v>0</v>
      </c>
      <c r="J48" s="41">
        <f t="shared" si="14"/>
        <v>0</v>
      </c>
      <c r="K48" s="41">
        <f t="shared" si="14"/>
        <v>0</v>
      </c>
      <c r="L48" s="41">
        <f t="shared" si="14"/>
        <v>0</v>
      </c>
      <c r="M48" s="17">
        <f t="shared" ref="M48:M91" si="15">+F48+H48+J48+L48</f>
        <v>0</v>
      </c>
    </row>
    <row r="49" s="82" customFormat="1" ht="14.15" customHeight="1" spans="2:13">
      <c r="B49" s="23"/>
      <c r="C49" s="30" t="s">
        <v>62</v>
      </c>
      <c r="D49" s="31" t="s">
        <v>63</v>
      </c>
      <c r="E49" s="45">
        <v>0</v>
      </c>
      <c r="F49" s="40">
        <v>0</v>
      </c>
      <c r="G49" s="40">
        <v>0</v>
      </c>
      <c r="H49" s="40">
        <v>0</v>
      </c>
      <c r="I49" s="40">
        <v>0</v>
      </c>
      <c r="J49" s="40">
        <v>0</v>
      </c>
      <c r="K49" s="40">
        <v>0</v>
      </c>
      <c r="L49" s="40">
        <v>0</v>
      </c>
      <c r="M49" s="17">
        <f t="shared" si="15"/>
        <v>0</v>
      </c>
    </row>
    <row r="50" s="82" customFormat="1" ht="14.15" customHeight="1" spans="2:13">
      <c r="B50" s="23"/>
      <c r="C50" s="30" t="s">
        <v>64</v>
      </c>
      <c r="D50" s="31" t="s">
        <v>65</v>
      </c>
      <c r="E50" s="46">
        <v>0</v>
      </c>
      <c r="F50" s="42">
        <v>0</v>
      </c>
      <c r="G50" s="42">
        <v>0</v>
      </c>
      <c r="H50" s="42">
        <v>0</v>
      </c>
      <c r="I50" s="42">
        <v>0</v>
      </c>
      <c r="J50" s="42">
        <v>0</v>
      </c>
      <c r="K50" s="42">
        <v>0</v>
      </c>
      <c r="L50" s="42">
        <v>0</v>
      </c>
      <c r="M50" s="17">
        <f t="shared" si="15"/>
        <v>0</v>
      </c>
    </row>
    <row r="51" s="82" customFormat="1" ht="14.15" customHeight="1" spans="2:13">
      <c r="B51" s="14"/>
      <c r="C51" s="37">
        <v>7.2</v>
      </c>
      <c r="D51" s="38" t="s">
        <v>66</v>
      </c>
      <c r="E51" s="32">
        <f t="shared" ref="E51:L51" si="16">SUM(E52:E53)</f>
        <v>72</v>
      </c>
      <c r="F51" s="33">
        <f t="shared" si="16"/>
        <v>170663</v>
      </c>
      <c r="G51" s="33">
        <f t="shared" si="16"/>
        <v>40</v>
      </c>
      <c r="H51" s="33">
        <f t="shared" si="16"/>
        <v>388661</v>
      </c>
      <c r="I51" s="33">
        <f t="shared" si="16"/>
        <v>0</v>
      </c>
      <c r="J51" s="33">
        <f t="shared" si="16"/>
        <v>0</v>
      </c>
      <c r="K51" s="33">
        <f t="shared" si="16"/>
        <v>0</v>
      </c>
      <c r="L51" s="33">
        <f t="shared" si="16"/>
        <v>0</v>
      </c>
      <c r="M51" s="17">
        <f t="shared" si="15"/>
        <v>559324</v>
      </c>
    </row>
    <row r="52" s="82" customFormat="1" ht="14.15" customHeight="1" spans="2:13">
      <c r="B52" s="23"/>
      <c r="C52" s="30" t="s">
        <v>67</v>
      </c>
      <c r="D52" s="31" t="s">
        <v>63</v>
      </c>
      <c r="E52" s="45">
        <v>63</v>
      </c>
      <c r="F52" s="40">
        <v>161615</v>
      </c>
      <c r="G52" s="40">
        <v>2</v>
      </c>
      <c r="H52" s="40">
        <v>10229</v>
      </c>
      <c r="I52" s="40">
        <v>0</v>
      </c>
      <c r="J52" s="40">
        <v>0</v>
      </c>
      <c r="K52" s="40">
        <v>0</v>
      </c>
      <c r="L52" s="40">
        <v>0</v>
      </c>
      <c r="M52" s="17">
        <f t="shared" si="15"/>
        <v>171844</v>
      </c>
    </row>
    <row r="53" s="82" customFormat="1" ht="14.15" customHeight="1" spans="2:13">
      <c r="B53" s="23"/>
      <c r="C53" s="30" t="s">
        <v>68</v>
      </c>
      <c r="D53" s="31" t="s">
        <v>65</v>
      </c>
      <c r="E53" s="46">
        <v>9</v>
      </c>
      <c r="F53" s="42">
        <v>9048</v>
      </c>
      <c r="G53" s="42">
        <v>38</v>
      </c>
      <c r="H53" s="42">
        <v>378432</v>
      </c>
      <c r="I53" s="42">
        <v>0</v>
      </c>
      <c r="J53" s="42">
        <v>0</v>
      </c>
      <c r="K53" s="42">
        <v>0</v>
      </c>
      <c r="L53" s="42">
        <v>0</v>
      </c>
      <c r="M53" s="17">
        <f t="shared" si="15"/>
        <v>387480</v>
      </c>
    </row>
    <row r="54" s="82" customFormat="1" ht="14.15" customHeight="1" spans="2:13">
      <c r="B54" s="14">
        <v>8</v>
      </c>
      <c r="C54" s="15"/>
      <c r="D54" s="47" t="s">
        <v>69</v>
      </c>
      <c r="E54" s="32">
        <f t="shared" ref="E54:L54" si="17">+E55+E61+E66</f>
        <v>3375</v>
      </c>
      <c r="F54" s="33">
        <f t="shared" si="17"/>
        <v>6916495</v>
      </c>
      <c r="G54" s="33">
        <f t="shared" si="17"/>
        <v>88</v>
      </c>
      <c r="H54" s="33">
        <f t="shared" si="17"/>
        <v>2534790</v>
      </c>
      <c r="I54" s="33">
        <f t="shared" si="17"/>
        <v>0</v>
      </c>
      <c r="J54" s="33">
        <f t="shared" si="17"/>
        <v>0</v>
      </c>
      <c r="K54" s="33">
        <f t="shared" si="17"/>
        <v>47</v>
      </c>
      <c r="L54" s="33">
        <f t="shared" si="17"/>
        <v>4223110</v>
      </c>
      <c r="M54" s="17">
        <f t="shared" si="15"/>
        <v>13674395</v>
      </c>
    </row>
    <row r="55" s="82" customFormat="1" ht="14.15" customHeight="1" spans="2:13">
      <c r="B55" s="48"/>
      <c r="C55" s="15">
        <v>8.1</v>
      </c>
      <c r="D55" s="47" t="s">
        <v>70</v>
      </c>
      <c r="E55" s="32">
        <f t="shared" ref="E55:L55" si="18">SUM(E56:E60)</f>
        <v>0</v>
      </c>
      <c r="F55" s="33">
        <f t="shared" si="18"/>
        <v>0</v>
      </c>
      <c r="G55" s="33">
        <f t="shared" si="18"/>
        <v>5</v>
      </c>
      <c r="H55" s="33">
        <f t="shared" si="18"/>
        <v>1114614</v>
      </c>
      <c r="I55" s="33">
        <f t="shared" si="18"/>
        <v>0</v>
      </c>
      <c r="J55" s="33">
        <f t="shared" si="18"/>
        <v>0</v>
      </c>
      <c r="K55" s="33">
        <f t="shared" si="18"/>
        <v>7</v>
      </c>
      <c r="L55" s="33">
        <f t="shared" si="18"/>
        <v>614355</v>
      </c>
      <c r="M55" s="17">
        <f t="shared" si="15"/>
        <v>1728969</v>
      </c>
    </row>
    <row r="56" s="82" customFormat="1" ht="14.15" customHeight="1" spans="2:13">
      <c r="B56" s="49"/>
      <c r="C56" s="50" t="s">
        <v>71</v>
      </c>
      <c r="D56" s="51" t="s">
        <v>72</v>
      </c>
      <c r="E56" s="52">
        <v>0</v>
      </c>
      <c r="F56" s="20">
        <v>0</v>
      </c>
      <c r="G56" s="20">
        <v>0</v>
      </c>
      <c r="H56" s="20">
        <v>0</v>
      </c>
      <c r="I56" s="20">
        <v>0</v>
      </c>
      <c r="J56" s="20">
        <v>0</v>
      </c>
      <c r="K56" s="20">
        <v>7</v>
      </c>
      <c r="L56" s="20">
        <v>614355</v>
      </c>
      <c r="M56" s="17">
        <f t="shared" si="15"/>
        <v>614355</v>
      </c>
    </row>
    <row r="57" s="82" customFormat="1" ht="14.15" customHeight="1" spans="2:13">
      <c r="B57" s="49"/>
      <c r="C57" s="50" t="s">
        <v>73</v>
      </c>
      <c r="D57" s="51" t="s">
        <v>74</v>
      </c>
      <c r="E57" s="52">
        <v>0</v>
      </c>
      <c r="F57" s="20">
        <v>0</v>
      </c>
      <c r="G57" s="20">
        <v>0</v>
      </c>
      <c r="H57" s="20">
        <v>0</v>
      </c>
      <c r="I57" s="20">
        <v>0</v>
      </c>
      <c r="J57" s="20">
        <v>0</v>
      </c>
      <c r="K57" s="20">
        <v>0</v>
      </c>
      <c r="L57" s="20">
        <v>0</v>
      </c>
      <c r="M57" s="17">
        <f t="shared" si="15"/>
        <v>0</v>
      </c>
    </row>
    <row r="58" s="82" customFormat="1" ht="14.15" customHeight="1" spans="2:13">
      <c r="B58" s="49"/>
      <c r="C58" s="50" t="s">
        <v>75</v>
      </c>
      <c r="D58" s="51" t="s">
        <v>76</v>
      </c>
      <c r="E58" s="52">
        <v>0</v>
      </c>
      <c r="F58" s="20">
        <v>0</v>
      </c>
      <c r="G58" s="20">
        <v>3</v>
      </c>
      <c r="H58" s="20">
        <v>697870</v>
      </c>
      <c r="I58" s="20">
        <v>0</v>
      </c>
      <c r="J58" s="20">
        <v>0</v>
      </c>
      <c r="K58" s="20">
        <v>0</v>
      </c>
      <c r="L58" s="20">
        <v>0</v>
      </c>
      <c r="M58" s="17">
        <f t="shared" si="15"/>
        <v>697870</v>
      </c>
    </row>
    <row r="59" s="82" customFormat="1" ht="14.15" customHeight="1" spans="2:13">
      <c r="B59" s="49"/>
      <c r="C59" s="50" t="s">
        <v>77</v>
      </c>
      <c r="D59" s="51" t="s">
        <v>78</v>
      </c>
      <c r="E59" s="52">
        <v>0</v>
      </c>
      <c r="F59" s="20">
        <v>0</v>
      </c>
      <c r="G59" s="20">
        <v>1</v>
      </c>
      <c r="H59" s="20">
        <v>141269</v>
      </c>
      <c r="I59" s="20">
        <v>0</v>
      </c>
      <c r="J59" s="20">
        <v>0</v>
      </c>
      <c r="K59" s="20">
        <v>0</v>
      </c>
      <c r="L59" s="20">
        <v>0</v>
      </c>
      <c r="M59" s="17">
        <f t="shared" si="15"/>
        <v>141269</v>
      </c>
    </row>
    <row r="60" s="82" customFormat="1" ht="14.15" customHeight="1" spans="2:13">
      <c r="B60" s="49"/>
      <c r="C60" s="50" t="s">
        <v>79</v>
      </c>
      <c r="D60" s="53" t="s">
        <v>80</v>
      </c>
      <c r="E60" s="52">
        <v>0</v>
      </c>
      <c r="F60" s="20">
        <v>0</v>
      </c>
      <c r="G60" s="20">
        <v>1</v>
      </c>
      <c r="H60" s="20">
        <v>275475</v>
      </c>
      <c r="I60" s="20">
        <v>0</v>
      </c>
      <c r="J60" s="20">
        <v>0</v>
      </c>
      <c r="K60" s="20">
        <v>0</v>
      </c>
      <c r="L60" s="20">
        <v>0</v>
      </c>
      <c r="M60" s="17">
        <f t="shared" si="15"/>
        <v>275475</v>
      </c>
    </row>
    <row r="61" s="82" customFormat="1" ht="14.15" customHeight="1" spans="2:13">
      <c r="B61" s="48"/>
      <c r="C61" s="54">
        <v>8.2</v>
      </c>
      <c r="D61" s="47" t="s">
        <v>81</v>
      </c>
      <c r="E61" s="32">
        <f t="shared" ref="E61:L61" si="19">SUM(E62:E65)</f>
        <v>1459</v>
      </c>
      <c r="F61" s="33">
        <f t="shared" si="19"/>
        <v>5359907</v>
      </c>
      <c r="G61" s="33">
        <f t="shared" si="19"/>
        <v>78</v>
      </c>
      <c r="H61" s="33">
        <f t="shared" si="19"/>
        <v>1416404</v>
      </c>
      <c r="I61" s="33">
        <f t="shared" si="19"/>
        <v>0</v>
      </c>
      <c r="J61" s="33">
        <f t="shared" si="19"/>
        <v>0</v>
      </c>
      <c r="K61" s="33">
        <f t="shared" si="19"/>
        <v>40</v>
      </c>
      <c r="L61" s="33">
        <f t="shared" si="19"/>
        <v>3608755</v>
      </c>
      <c r="M61" s="17">
        <f t="shared" si="15"/>
        <v>10385066</v>
      </c>
    </row>
    <row r="62" s="82" customFormat="1" ht="14.15" customHeight="1" spans="2:13">
      <c r="B62" s="49"/>
      <c r="C62" s="55" t="s">
        <v>82</v>
      </c>
      <c r="D62" s="56" t="s">
        <v>83</v>
      </c>
      <c r="E62" s="52">
        <v>0</v>
      </c>
      <c r="F62" s="20">
        <v>0</v>
      </c>
      <c r="G62" s="20">
        <v>0</v>
      </c>
      <c r="H62" s="20">
        <v>0</v>
      </c>
      <c r="I62" s="20">
        <v>0</v>
      </c>
      <c r="J62" s="20">
        <v>0</v>
      </c>
      <c r="K62" s="20">
        <v>0</v>
      </c>
      <c r="L62" s="20">
        <v>0</v>
      </c>
      <c r="M62" s="17">
        <f t="shared" si="15"/>
        <v>0</v>
      </c>
    </row>
    <row r="63" s="82" customFormat="1" ht="14.15" customHeight="1" spans="2:13">
      <c r="B63" s="23"/>
      <c r="C63" s="55" t="s">
        <v>84</v>
      </c>
      <c r="D63" s="56" t="s">
        <v>85</v>
      </c>
      <c r="E63" s="52">
        <v>178</v>
      </c>
      <c r="F63" s="20">
        <v>1737771</v>
      </c>
      <c r="G63" s="20">
        <v>18</v>
      </c>
      <c r="H63" s="20">
        <v>809860</v>
      </c>
      <c r="I63" s="20">
        <v>0</v>
      </c>
      <c r="J63" s="20">
        <v>0</v>
      </c>
      <c r="K63" s="20">
        <v>40</v>
      </c>
      <c r="L63" s="20">
        <v>3608755</v>
      </c>
      <c r="M63" s="17">
        <f t="shared" si="15"/>
        <v>6156386</v>
      </c>
    </row>
    <row r="64" s="82" customFormat="1" ht="14.15" customHeight="1" spans="2:13">
      <c r="B64" s="58"/>
      <c r="C64" s="55" t="s">
        <v>86</v>
      </c>
      <c r="D64" s="56" t="s">
        <v>87</v>
      </c>
      <c r="E64" s="52">
        <v>108</v>
      </c>
      <c r="F64" s="20">
        <v>1869585</v>
      </c>
      <c r="G64" s="20">
        <v>1</v>
      </c>
      <c r="H64" s="20">
        <v>8380</v>
      </c>
      <c r="I64" s="20">
        <v>0</v>
      </c>
      <c r="J64" s="20">
        <v>0</v>
      </c>
      <c r="K64" s="20">
        <v>0</v>
      </c>
      <c r="L64" s="20">
        <v>0</v>
      </c>
      <c r="M64" s="17">
        <f t="shared" si="15"/>
        <v>1877965</v>
      </c>
    </row>
    <row r="65" s="82" customFormat="1" ht="14.15" customHeight="1" spans="2:13">
      <c r="B65" s="58"/>
      <c r="C65" s="55" t="s">
        <v>88</v>
      </c>
      <c r="D65" s="18" t="s">
        <v>89</v>
      </c>
      <c r="E65" s="45">
        <v>1173</v>
      </c>
      <c r="F65" s="40">
        <v>1752551</v>
      </c>
      <c r="G65" s="40">
        <v>59</v>
      </c>
      <c r="H65" s="40">
        <v>598164</v>
      </c>
      <c r="I65" s="40">
        <v>0</v>
      </c>
      <c r="J65" s="40">
        <v>0</v>
      </c>
      <c r="K65" s="40">
        <v>0</v>
      </c>
      <c r="L65" s="40">
        <v>0</v>
      </c>
      <c r="M65" s="17">
        <f t="shared" si="15"/>
        <v>2350715</v>
      </c>
    </row>
    <row r="66" s="82" customFormat="1" ht="14.15" customHeight="1" spans="2:13">
      <c r="B66" s="59"/>
      <c r="C66" s="15">
        <v>8.3</v>
      </c>
      <c r="D66" s="14" t="s">
        <v>90</v>
      </c>
      <c r="E66" s="46">
        <v>1916</v>
      </c>
      <c r="F66" s="42">
        <v>1556588</v>
      </c>
      <c r="G66" s="42">
        <v>5</v>
      </c>
      <c r="H66" s="42">
        <v>3772</v>
      </c>
      <c r="I66" s="42">
        <v>0</v>
      </c>
      <c r="J66" s="42">
        <v>0</v>
      </c>
      <c r="K66" s="42">
        <v>0</v>
      </c>
      <c r="L66" s="42">
        <v>0</v>
      </c>
      <c r="M66" s="17">
        <f t="shared" si="15"/>
        <v>1560360</v>
      </c>
    </row>
    <row r="67" s="82" customFormat="1" ht="14.15" customHeight="1" spans="2:13">
      <c r="B67" s="14">
        <v>9</v>
      </c>
      <c r="C67" s="15"/>
      <c r="D67" s="14" t="s">
        <v>91</v>
      </c>
      <c r="E67" s="16"/>
      <c r="F67" s="17">
        <f t="shared" ref="F67:J67" si="20">SUM(F68:F72)</f>
        <v>10139</v>
      </c>
      <c r="G67" s="17"/>
      <c r="H67" s="17">
        <f t="shared" si="20"/>
        <v>0</v>
      </c>
      <c r="I67" s="17"/>
      <c r="J67" s="17">
        <f t="shared" si="20"/>
        <v>0</v>
      </c>
      <c r="K67" s="17"/>
      <c r="L67" s="17">
        <f>SUM(L68:L72)</f>
        <v>0</v>
      </c>
      <c r="M67" s="17">
        <f t="shared" si="15"/>
        <v>10139</v>
      </c>
    </row>
    <row r="68" s="82" customFormat="1" ht="14.15" customHeight="1" spans="2:13">
      <c r="B68" s="18"/>
      <c r="C68" s="19">
        <v>9.1</v>
      </c>
      <c r="D68" s="18" t="s">
        <v>92</v>
      </c>
      <c r="E68" s="16"/>
      <c r="F68" s="40">
        <v>0</v>
      </c>
      <c r="G68" s="17"/>
      <c r="H68" s="40">
        <v>0</v>
      </c>
      <c r="I68" s="17"/>
      <c r="J68" s="40">
        <v>0</v>
      </c>
      <c r="K68" s="66"/>
      <c r="L68" s="40">
        <v>0</v>
      </c>
      <c r="M68" s="17">
        <f t="shared" si="15"/>
        <v>0</v>
      </c>
    </row>
    <row r="69" s="82" customFormat="1" ht="14.15" customHeight="1" spans="2:13">
      <c r="B69" s="18"/>
      <c r="C69" s="19">
        <v>9.2</v>
      </c>
      <c r="D69" s="18" t="s">
        <v>93</v>
      </c>
      <c r="E69" s="16"/>
      <c r="F69" s="40">
        <v>0</v>
      </c>
      <c r="G69" s="17"/>
      <c r="H69" s="40">
        <v>0</v>
      </c>
      <c r="I69" s="17"/>
      <c r="J69" s="40">
        <v>0</v>
      </c>
      <c r="K69" s="66"/>
      <c r="L69" s="40">
        <v>0</v>
      </c>
      <c r="M69" s="17">
        <f t="shared" si="15"/>
        <v>0</v>
      </c>
    </row>
    <row r="70" s="82" customFormat="1" ht="14.15" customHeight="1" spans="2:13">
      <c r="B70" s="23"/>
      <c r="C70" s="19">
        <v>9.3</v>
      </c>
      <c r="D70" s="18" t="s">
        <v>94</v>
      </c>
      <c r="E70" s="16"/>
      <c r="F70" s="42">
        <v>10139</v>
      </c>
      <c r="G70" s="17"/>
      <c r="H70" s="42">
        <v>0</v>
      </c>
      <c r="I70" s="17"/>
      <c r="J70" s="42">
        <v>0</v>
      </c>
      <c r="K70" s="66"/>
      <c r="L70" s="42">
        <v>0</v>
      </c>
      <c r="M70" s="17">
        <f t="shared" si="15"/>
        <v>10139</v>
      </c>
    </row>
    <row r="71" s="82" customFormat="1" ht="14.15" customHeight="1" spans="2:13">
      <c r="B71" s="23"/>
      <c r="C71" s="19">
        <v>9.4</v>
      </c>
      <c r="D71" s="18" t="s">
        <v>95</v>
      </c>
      <c r="E71" s="16"/>
      <c r="F71" s="24">
        <f>0</f>
        <v>0</v>
      </c>
      <c r="G71" s="17"/>
      <c r="H71" s="24">
        <f>0</f>
        <v>0</v>
      </c>
      <c r="I71" s="17"/>
      <c r="J71" s="40">
        <v>0</v>
      </c>
      <c r="K71" s="66"/>
      <c r="L71" s="40">
        <v>0</v>
      </c>
      <c r="M71" s="17">
        <f t="shared" si="15"/>
        <v>0</v>
      </c>
    </row>
    <row r="72" s="82" customFormat="1" ht="14.15" customHeight="1" spans="2:13">
      <c r="B72" s="23"/>
      <c r="C72" s="19">
        <v>9.5</v>
      </c>
      <c r="D72" s="18" t="s">
        <v>96</v>
      </c>
      <c r="E72" s="16"/>
      <c r="F72" s="40">
        <v>0</v>
      </c>
      <c r="G72" s="17"/>
      <c r="H72" s="40">
        <v>0</v>
      </c>
      <c r="I72" s="17"/>
      <c r="J72" s="40">
        <v>0</v>
      </c>
      <c r="K72" s="66"/>
      <c r="L72" s="40">
        <v>0</v>
      </c>
      <c r="M72" s="17">
        <f t="shared" si="15"/>
        <v>0</v>
      </c>
    </row>
    <row r="73" s="82" customFormat="1" ht="14.15" customHeight="1" spans="2:13">
      <c r="B73" s="67">
        <v>10</v>
      </c>
      <c r="C73" s="15"/>
      <c r="D73" s="14" t="s">
        <v>97</v>
      </c>
      <c r="E73" s="16"/>
      <c r="F73" s="20">
        <v>2816</v>
      </c>
      <c r="G73" s="17"/>
      <c r="H73" s="20">
        <v>0</v>
      </c>
      <c r="I73" s="17"/>
      <c r="J73" s="24">
        <f>0</f>
        <v>0</v>
      </c>
      <c r="K73" s="66"/>
      <c r="L73" s="24">
        <f>0</f>
        <v>0</v>
      </c>
      <c r="M73" s="17">
        <f t="shared" si="15"/>
        <v>2816</v>
      </c>
    </row>
    <row r="74" s="82" customFormat="1" ht="14.15" customHeight="1" spans="2:13">
      <c r="B74" s="67">
        <v>11</v>
      </c>
      <c r="C74" s="15"/>
      <c r="D74" s="14" t="s">
        <v>98</v>
      </c>
      <c r="E74" s="16"/>
      <c r="F74" s="17">
        <f t="shared" ref="F74:J74" si="21">SUM(F75:F82)</f>
        <v>334546</v>
      </c>
      <c r="G74" s="17"/>
      <c r="H74" s="17">
        <f t="shared" si="21"/>
        <v>144336</v>
      </c>
      <c r="I74" s="17"/>
      <c r="J74" s="17">
        <f t="shared" si="21"/>
        <v>2405</v>
      </c>
      <c r="K74" s="66"/>
      <c r="L74" s="17">
        <f>SUM(L75:L82)</f>
        <v>14146</v>
      </c>
      <c r="M74" s="17">
        <f t="shared" si="15"/>
        <v>495433</v>
      </c>
    </row>
    <row r="75" s="82" customFormat="1" ht="14.15" customHeight="1" spans="2:13">
      <c r="B75" s="69"/>
      <c r="C75" s="19">
        <v>11.1</v>
      </c>
      <c r="D75" s="18" t="s">
        <v>99</v>
      </c>
      <c r="E75" s="16"/>
      <c r="F75" s="20">
        <v>25801</v>
      </c>
      <c r="G75" s="17"/>
      <c r="H75" s="20">
        <v>88912</v>
      </c>
      <c r="I75" s="17"/>
      <c r="J75" s="20">
        <v>2405</v>
      </c>
      <c r="K75" s="66"/>
      <c r="L75" s="20">
        <v>14146</v>
      </c>
      <c r="M75" s="17">
        <f t="shared" si="15"/>
        <v>131264</v>
      </c>
    </row>
    <row r="76" s="82" customFormat="1" ht="14.15" customHeight="1" spans="2:13">
      <c r="B76" s="69"/>
      <c r="C76" s="70">
        <v>11.2</v>
      </c>
      <c r="D76" s="18" t="s">
        <v>100</v>
      </c>
      <c r="E76" s="16"/>
      <c r="F76" s="20">
        <v>425</v>
      </c>
      <c r="G76" s="17"/>
      <c r="H76" s="20">
        <v>0</v>
      </c>
      <c r="I76" s="17"/>
      <c r="J76" s="20">
        <v>0</v>
      </c>
      <c r="K76" s="66"/>
      <c r="L76" s="20">
        <v>0</v>
      </c>
      <c r="M76" s="17">
        <f t="shared" si="15"/>
        <v>425</v>
      </c>
    </row>
    <row r="77" s="82" customFormat="1" ht="14.15" customHeight="1" spans="2:13">
      <c r="B77" s="69"/>
      <c r="C77" s="19">
        <v>11.3</v>
      </c>
      <c r="D77" s="18" t="s">
        <v>101</v>
      </c>
      <c r="E77" s="16"/>
      <c r="F77" s="20">
        <v>0</v>
      </c>
      <c r="G77" s="17"/>
      <c r="H77" s="20">
        <v>0</v>
      </c>
      <c r="I77" s="17"/>
      <c r="J77" s="20">
        <v>0</v>
      </c>
      <c r="K77" s="66"/>
      <c r="L77" s="20">
        <v>0</v>
      </c>
      <c r="M77" s="17">
        <f t="shared" si="15"/>
        <v>0</v>
      </c>
    </row>
    <row r="78" s="82" customFormat="1" ht="14.15" customHeight="1" spans="2:13">
      <c r="B78" s="69"/>
      <c r="C78" s="19">
        <v>11.4</v>
      </c>
      <c r="D78" s="18" t="s">
        <v>102</v>
      </c>
      <c r="E78" s="16"/>
      <c r="F78" s="20">
        <v>0</v>
      </c>
      <c r="G78" s="17"/>
      <c r="H78" s="20">
        <v>0</v>
      </c>
      <c r="I78" s="17"/>
      <c r="J78" s="20">
        <v>0</v>
      </c>
      <c r="K78" s="66"/>
      <c r="L78" s="20">
        <v>0</v>
      </c>
      <c r="M78" s="17">
        <f t="shared" si="15"/>
        <v>0</v>
      </c>
    </row>
    <row r="79" s="82" customFormat="1" ht="14.15" customHeight="1" spans="2:13">
      <c r="B79" s="71"/>
      <c r="C79" s="70">
        <v>11.5</v>
      </c>
      <c r="D79" s="18" t="s">
        <v>103</v>
      </c>
      <c r="E79" s="16"/>
      <c r="F79" s="20">
        <v>0</v>
      </c>
      <c r="G79" s="17"/>
      <c r="H79" s="20">
        <v>0</v>
      </c>
      <c r="I79" s="17"/>
      <c r="J79" s="20">
        <v>0</v>
      </c>
      <c r="K79" s="66"/>
      <c r="L79" s="20">
        <v>0</v>
      </c>
      <c r="M79" s="17">
        <f t="shared" si="15"/>
        <v>0</v>
      </c>
    </row>
    <row r="80" s="82" customFormat="1" ht="14.15" customHeight="1" spans="2:13">
      <c r="B80" s="69"/>
      <c r="C80" s="19">
        <v>11.6</v>
      </c>
      <c r="D80" s="18" t="s">
        <v>104</v>
      </c>
      <c r="E80" s="16"/>
      <c r="F80" s="20">
        <v>0</v>
      </c>
      <c r="G80" s="17"/>
      <c r="H80" s="20">
        <v>0</v>
      </c>
      <c r="I80" s="17"/>
      <c r="J80" s="20">
        <v>0</v>
      </c>
      <c r="K80" s="66"/>
      <c r="L80" s="20">
        <v>0</v>
      </c>
      <c r="M80" s="17">
        <f t="shared" si="15"/>
        <v>0</v>
      </c>
    </row>
    <row r="81" s="82" customFormat="1" ht="14.15" customHeight="1" spans="2:13">
      <c r="B81" s="69"/>
      <c r="C81" s="19">
        <v>11.7</v>
      </c>
      <c r="D81" s="18" t="s">
        <v>105</v>
      </c>
      <c r="E81" s="16"/>
      <c r="F81" s="20">
        <v>308320</v>
      </c>
      <c r="G81" s="17"/>
      <c r="H81" s="20">
        <v>55424</v>
      </c>
      <c r="I81" s="17"/>
      <c r="J81" s="20">
        <v>0</v>
      </c>
      <c r="K81" s="66"/>
      <c r="L81" s="20">
        <v>0</v>
      </c>
      <c r="M81" s="17">
        <f t="shared" si="15"/>
        <v>363744</v>
      </c>
    </row>
    <row r="82" s="82" customFormat="1" ht="14.15" customHeight="1" spans="2:13">
      <c r="B82" s="69"/>
      <c r="C82" s="19">
        <v>11.8</v>
      </c>
      <c r="D82" s="18" t="s">
        <v>106</v>
      </c>
      <c r="E82" s="16"/>
      <c r="F82" s="20">
        <v>0</v>
      </c>
      <c r="G82" s="17"/>
      <c r="H82" s="20">
        <v>0</v>
      </c>
      <c r="I82" s="17"/>
      <c r="J82" s="20">
        <v>0</v>
      </c>
      <c r="K82" s="66"/>
      <c r="L82" s="20">
        <v>0</v>
      </c>
      <c r="M82" s="17">
        <f t="shared" si="15"/>
        <v>0</v>
      </c>
    </row>
    <row r="83" s="82" customFormat="1" ht="14.15" customHeight="1" spans="2:13">
      <c r="B83" s="67">
        <v>12</v>
      </c>
      <c r="C83" s="73"/>
      <c r="D83" s="14" t="s">
        <v>107</v>
      </c>
      <c r="E83" s="16"/>
      <c r="F83" s="17">
        <f t="shared" ref="F83:J83" si="22">SUM(F84:F90)</f>
        <v>0</v>
      </c>
      <c r="G83" s="17"/>
      <c r="H83" s="17">
        <f t="shared" si="22"/>
        <v>0</v>
      </c>
      <c r="I83" s="17"/>
      <c r="J83" s="17">
        <f t="shared" si="22"/>
        <v>0</v>
      </c>
      <c r="K83" s="66"/>
      <c r="L83" s="17">
        <f>SUM(L84:L90)</f>
        <v>0</v>
      </c>
      <c r="M83" s="17">
        <f t="shared" si="15"/>
        <v>0</v>
      </c>
    </row>
    <row r="84" s="82" customFormat="1" ht="14.15" customHeight="1" spans="2:13">
      <c r="B84" s="69"/>
      <c r="C84" s="70">
        <v>12.1</v>
      </c>
      <c r="D84" s="18" t="s">
        <v>108</v>
      </c>
      <c r="E84" s="16"/>
      <c r="F84" s="74">
        <v>0</v>
      </c>
      <c r="G84" s="75"/>
      <c r="H84" s="74">
        <v>0</v>
      </c>
      <c r="I84" s="75"/>
      <c r="J84" s="74">
        <v>0</v>
      </c>
      <c r="K84" s="66"/>
      <c r="L84" s="74">
        <v>0</v>
      </c>
      <c r="M84" s="75">
        <f t="shared" si="15"/>
        <v>0</v>
      </c>
    </row>
    <row r="85" s="82" customFormat="1" ht="14.15" customHeight="1" spans="2:13">
      <c r="B85" s="69"/>
      <c r="C85" s="70">
        <v>12.2</v>
      </c>
      <c r="D85" s="18" t="s">
        <v>109</v>
      </c>
      <c r="E85" s="16"/>
      <c r="F85" s="74">
        <v>0</v>
      </c>
      <c r="G85" s="75"/>
      <c r="H85" s="74">
        <v>0</v>
      </c>
      <c r="I85" s="75"/>
      <c r="J85" s="74">
        <v>0</v>
      </c>
      <c r="K85" s="81"/>
      <c r="L85" s="74">
        <v>0</v>
      </c>
      <c r="M85" s="75">
        <f t="shared" si="15"/>
        <v>0</v>
      </c>
    </row>
    <row r="86" s="82" customFormat="1" ht="14.15" customHeight="1" spans="2:13">
      <c r="B86" s="69"/>
      <c r="C86" s="70">
        <v>12.3</v>
      </c>
      <c r="D86" s="18" t="s">
        <v>110</v>
      </c>
      <c r="E86" s="16"/>
      <c r="F86" s="74">
        <v>0</v>
      </c>
      <c r="G86" s="75"/>
      <c r="H86" s="74">
        <v>0</v>
      </c>
      <c r="I86" s="75"/>
      <c r="J86" s="74">
        <v>0</v>
      </c>
      <c r="K86" s="81"/>
      <c r="L86" s="74">
        <v>0</v>
      </c>
      <c r="M86" s="75">
        <f t="shared" si="15"/>
        <v>0</v>
      </c>
    </row>
    <row r="87" s="82" customFormat="1" ht="14.15" customHeight="1" spans="2:13">
      <c r="B87" s="69"/>
      <c r="C87" s="70">
        <v>12.4</v>
      </c>
      <c r="D87" s="18" t="s">
        <v>111</v>
      </c>
      <c r="E87" s="16"/>
      <c r="F87" s="74">
        <v>0</v>
      </c>
      <c r="G87" s="75"/>
      <c r="H87" s="74">
        <v>0</v>
      </c>
      <c r="I87" s="75"/>
      <c r="J87" s="74">
        <v>0</v>
      </c>
      <c r="K87" s="81"/>
      <c r="L87" s="74">
        <v>0</v>
      </c>
      <c r="M87" s="75">
        <f t="shared" si="15"/>
        <v>0</v>
      </c>
    </row>
    <row r="88" s="82" customFormat="1" ht="14.15" customHeight="1" spans="2:13">
      <c r="B88" s="71"/>
      <c r="C88" s="70">
        <v>12.5</v>
      </c>
      <c r="D88" s="18" t="s">
        <v>112</v>
      </c>
      <c r="E88" s="16"/>
      <c r="F88" s="74">
        <v>0</v>
      </c>
      <c r="G88" s="75"/>
      <c r="H88" s="74">
        <v>0</v>
      </c>
      <c r="I88" s="75"/>
      <c r="J88" s="74">
        <v>0</v>
      </c>
      <c r="K88" s="81"/>
      <c r="L88" s="74">
        <v>0</v>
      </c>
      <c r="M88" s="75">
        <f t="shared" si="15"/>
        <v>0</v>
      </c>
    </row>
    <row r="89" s="82" customFormat="1" ht="14.15" customHeight="1" spans="2:13">
      <c r="B89" s="71"/>
      <c r="C89" s="70">
        <v>12.6</v>
      </c>
      <c r="D89" s="18" t="s">
        <v>113</v>
      </c>
      <c r="E89" s="16"/>
      <c r="F89" s="74">
        <v>0</v>
      </c>
      <c r="G89" s="75"/>
      <c r="H89" s="74">
        <v>0</v>
      </c>
      <c r="I89" s="75"/>
      <c r="J89" s="74">
        <v>0</v>
      </c>
      <c r="K89" s="81"/>
      <c r="L89" s="74">
        <v>0</v>
      </c>
      <c r="M89" s="75">
        <f t="shared" si="15"/>
        <v>0</v>
      </c>
    </row>
    <row r="90" s="82" customFormat="1" ht="14.15" customHeight="1" spans="2:13">
      <c r="B90" s="71"/>
      <c r="C90" s="70">
        <v>12.7</v>
      </c>
      <c r="D90" s="18" t="s">
        <v>114</v>
      </c>
      <c r="E90" s="16"/>
      <c r="F90" s="74">
        <v>0</v>
      </c>
      <c r="G90" s="75"/>
      <c r="H90" s="74">
        <v>0</v>
      </c>
      <c r="I90" s="75"/>
      <c r="J90" s="74">
        <v>0</v>
      </c>
      <c r="K90" s="81"/>
      <c r="L90" s="74">
        <v>0</v>
      </c>
      <c r="M90" s="75">
        <f t="shared" si="15"/>
        <v>0</v>
      </c>
    </row>
    <row r="91" s="82" customFormat="1" ht="14.15" customHeight="1" spans="2:13">
      <c r="B91" s="67">
        <v>13</v>
      </c>
      <c r="C91" s="73"/>
      <c r="D91" s="14" t="s">
        <v>115</v>
      </c>
      <c r="E91" s="16"/>
      <c r="F91" s="17">
        <f>+F83+F74+F73+F67+F54+F47+F44+F34+F30+F23+F19+F11</f>
        <v>10971521</v>
      </c>
      <c r="G91" s="17"/>
      <c r="H91" s="17">
        <f t="shared" ref="H91:L91" si="23">+H83+H74+H73+H67+H54+H51+H48+H44+H34+H30+H23+H19+H11</f>
        <v>3173359</v>
      </c>
      <c r="I91" s="17"/>
      <c r="J91" s="17">
        <f t="shared" si="23"/>
        <v>3527</v>
      </c>
      <c r="K91" s="17"/>
      <c r="L91" s="17">
        <f t="shared" si="23"/>
        <v>10470149</v>
      </c>
      <c r="M91" s="17">
        <f t="shared" si="15"/>
        <v>24618556</v>
      </c>
    </row>
    <row r="92" s="82" customFormat="1" ht="14.15" customHeight="1" spans="2:13">
      <c r="B92" s="76"/>
      <c r="C92" s="77"/>
      <c r="D92" s="78" t="s">
        <v>116</v>
      </c>
      <c r="E92" s="76"/>
      <c r="F92" s="80"/>
      <c r="G92" s="80"/>
      <c r="H92" s="80"/>
      <c r="I92" s="80"/>
      <c r="J92" s="80"/>
      <c r="K92" s="80"/>
      <c r="L92" s="80"/>
      <c r="M92" s="77"/>
    </row>
    <row r="93" s="82" customFormat="1" customHeight="1" spans="3:13">
      <c r="C93" s="84"/>
      <c r="M93" s="85"/>
    </row>
  </sheetData>
  <mergeCells count="17">
    <mergeCell ref="B2:M2"/>
    <mergeCell ref="C3:D3"/>
    <mergeCell ref="C4:D4"/>
    <mergeCell ref="C5:D5"/>
    <mergeCell ref="B6:M6"/>
    <mergeCell ref="B7:M7"/>
    <mergeCell ref="E8:H8"/>
    <mergeCell ref="I8:L8"/>
    <mergeCell ref="E9:F9"/>
    <mergeCell ref="G9:H9"/>
    <mergeCell ref="I9:J9"/>
    <mergeCell ref="K9:L9"/>
    <mergeCell ref="B92:C92"/>
    <mergeCell ref="E92:M92"/>
    <mergeCell ref="M8:M10"/>
    <mergeCell ref="E3:M5"/>
    <mergeCell ref="B8:D9"/>
  </mergeCells>
  <dataValidations count="2">
    <dataValidation type="whole" operator="greaterThanOrEqual" allowBlank="1" showInputMessage="1" showErrorMessage="1" error="Please input a valid data!" sqref="F91 H91 J91 L91 M91 F11:F46 F67:F90 H11:H46 H67:H90 J11:J46 J67:J90 L11:L46 L67:L90 M11:M46 M67:M90 E47:M66">
      <formula1>0</formula1>
    </dataValidation>
    <dataValidation type="whole" operator="between" allowBlank="1" showInputMessage="1" showErrorMessage="1" error="Please input a valid data!" sqref="E11:E46 E67:E91 G11:G46 G67:G91 I11:I46 I67:I91 K11:K46 K67:K91">
      <formula1>-1000000000000</formula1>
      <formula2>1000000000000</formula2>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86"/>
  <sheetViews>
    <sheetView tabSelected="1" workbookViewId="0">
      <pane xSplit="4" topLeftCell="E1" activePane="topRight" state="frozen"/>
      <selection/>
      <selection pane="topRight" activeCell="D6" sqref="D6"/>
    </sheetView>
  </sheetViews>
  <sheetFormatPr defaultColWidth="32.9090909090909" defaultRowHeight="12.5"/>
  <cols>
    <col min="1" max="1" width="2.81818181818182" style="1"/>
    <col min="2" max="2" width="5.18181818181818" style="1"/>
    <col min="3" max="3" width="32.9090909090909" style="1" customWidth="1"/>
    <col min="4" max="4" width="70.7272727272727" style="1" customWidth="1"/>
    <col min="5" max="5" width="8.90909090909091" style="1" customWidth="1"/>
    <col min="6" max="6" width="8.72727272727273" style="1"/>
    <col min="7" max="7" width="8.09090909090909" style="1"/>
    <col min="8" max="8" width="8.72727272727273" style="1"/>
    <col min="9" max="9" width="7.27272727272727" style="1"/>
    <col min="10" max="10" width="8.72727272727273" style="1"/>
    <col min="11" max="11" width="6.27272727272727" style="1"/>
    <col min="12" max="12" width="8.72727272727273" style="1"/>
    <col min="13" max="13" width="8.09090909090909" style="1"/>
    <col min="14" max="14" width="15.4545454545455" style="1"/>
    <col min="15" max="16384" width="32.9090909090909" style="1"/>
  </cols>
  <sheetData>
    <row r="1" s="1" customFormat="1" spans="1:14">
      <c r="A1" s="2" t="s">
        <v>7</v>
      </c>
      <c r="B1" s="3"/>
      <c r="C1" s="3"/>
      <c r="D1" s="3"/>
      <c r="E1" s="3"/>
      <c r="F1" s="3"/>
      <c r="G1" s="3"/>
      <c r="H1" s="3"/>
      <c r="I1" s="3"/>
      <c r="J1" s="3"/>
      <c r="K1" s="3"/>
      <c r="L1" s="3"/>
      <c r="M1" s="3"/>
      <c r="N1" s="10"/>
    </row>
    <row r="2" s="1" customFormat="1" spans="1:14">
      <c r="A2" s="4"/>
      <c r="B2" s="5"/>
      <c r="C2" s="6"/>
      <c r="D2" s="5"/>
      <c r="E2" s="5"/>
      <c r="F2" s="2" t="s">
        <v>8</v>
      </c>
      <c r="G2" s="3"/>
      <c r="H2" s="3"/>
      <c r="I2" s="10"/>
      <c r="J2" s="2" t="s">
        <v>9</v>
      </c>
      <c r="K2" s="3"/>
      <c r="L2" s="3"/>
      <c r="M2" s="10"/>
      <c r="N2" s="60" t="s">
        <v>10</v>
      </c>
    </row>
    <row r="3" s="1" customFormat="1" spans="1:15">
      <c r="A3" s="7"/>
      <c r="B3" s="8"/>
      <c r="C3" s="9"/>
      <c r="D3" s="8"/>
      <c r="E3" s="8"/>
      <c r="F3" s="2" t="s">
        <v>11</v>
      </c>
      <c r="G3" s="10"/>
      <c r="H3" s="2" t="s">
        <v>12</v>
      </c>
      <c r="I3" s="10"/>
      <c r="J3" s="2" t="s">
        <v>11</v>
      </c>
      <c r="K3" s="10"/>
      <c r="L3" s="2" t="s">
        <v>12</v>
      </c>
      <c r="M3" s="10"/>
      <c r="N3" s="61"/>
      <c r="O3" s="62" t="s">
        <v>117</v>
      </c>
    </row>
    <row r="4" s="1" customFormat="1" spans="1:14">
      <c r="A4" s="11" t="s">
        <v>13</v>
      </c>
      <c r="B4" s="12"/>
      <c r="C4" s="13" t="s">
        <v>14</v>
      </c>
      <c r="D4" s="13"/>
      <c r="E4" s="13"/>
      <c r="F4" s="13" t="s">
        <v>15</v>
      </c>
      <c r="G4" s="13" t="s">
        <v>16</v>
      </c>
      <c r="H4" s="13" t="s">
        <v>15</v>
      </c>
      <c r="I4" s="13" t="s">
        <v>16</v>
      </c>
      <c r="J4" s="13" t="s">
        <v>15</v>
      </c>
      <c r="K4" s="63" t="s">
        <v>16</v>
      </c>
      <c r="L4" s="13" t="s">
        <v>15</v>
      </c>
      <c r="M4" s="63" t="s">
        <v>16</v>
      </c>
      <c r="N4" s="64"/>
    </row>
    <row r="5" s="1" customFormat="1" spans="1:15">
      <c r="A5" s="14">
        <v>1</v>
      </c>
      <c r="B5" s="15"/>
      <c r="C5" s="14" t="s">
        <v>17</v>
      </c>
      <c r="D5" s="14"/>
      <c r="E5" s="14"/>
      <c r="F5" s="16"/>
      <c r="G5" s="17">
        <f t="shared" ref="G5:K5" si="0">SUM(G6:G10)</f>
        <v>2086905</v>
      </c>
      <c r="H5" s="17"/>
      <c r="I5" s="17">
        <f t="shared" si="0"/>
        <v>0</v>
      </c>
      <c r="J5" s="17"/>
      <c r="K5" s="17">
        <f t="shared" si="0"/>
        <v>0</v>
      </c>
      <c r="L5" s="17"/>
      <c r="M5" s="17">
        <f>SUM(M6:M10)</f>
        <v>0</v>
      </c>
      <c r="N5" s="17">
        <f t="shared" ref="N5:N40" si="1">+G5+I5+K5+M5</f>
        <v>2086905</v>
      </c>
      <c r="O5" s="1" t="s">
        <v>118</v>
      </c>
    </row>
    <row r="6" s="1" customFormat="1" ht="20" customHeight="1" spans="1:15">
      <c r="A6" s="18"/>
      <c r="B6" s="19">
        <v>1.1</v>
      </c>
      <c r="C6" s="18" t="s">
        <v>18</v>
      </c>
      <c r="D6" s="18" t="s">
        <v>119</v>
      </c>
      <c r="E6" s="18" t="s">
        <v>120</v>
      </c>
      <c r="F6" s="16"/>
      <c r="G6" s="20">
        <v>187516</v>
      </c>
      <c r="H6" s="17"/>
      <c r="I6" s="20">
        <v>0</v>
      </c>
      <c r="J6" s="17"/>
      <c r="K6" s="24">
        <f t="shared" ref="K6:K9" si="2">0</f>
        <v>0</v>
      </c>
      <c r="L6" s="17"/>
      <c r="M6" s="24">
        <f t="shared" ref="M6:M8" si="3">0</f>
        <v>0</v>
      </c>
      <c r="N6" s="17">
        <f t="shared" si="1"/>
        <v>187516</v>
      </c>
      <c r="O6" s="1" t="s">
        <v>121</v>
      </c>
    </row>
    <row r="7" s="1" customFormat="1" ht="40" customHeight="1" spans="1:15">
      <c r="A7" s="18"/>
      <c r="B7" s="19">
        <v>1.2</v>
      </c>
      <c r="C7" s="18" t="s">
        <v>19</v>
      </c>
      <c r="D7" s="18" t="s">
        <v>122</v>
      </c>
      <c r="E7" s="18"/>
      <c r="F7" s="16"/>
      <c r="G7" s="20">
        <v>1599389</v>
      </c>
      <c r="H7" s="17"/>
      <c r="I7" s="20">
        <v>0</v>
      </c>
      <c r="J7" s="17"/>
      <c r="K7" s="24">
        <f t="shared" si="2"/>
        <v>0</v>
      </c>
      <c r="L7" s="17"/>
      <c r="M7" s="24">
        <f t="shared" si="3"/>
        <v>0</v>
      </c>
      <c r="N7" s="17">
        <f t="shared" si="1"/>
        <v>1599389</v>
      </c>
      <c r="O7" s="1" t="s">
        <v>123</v>
      </c>
    </row>
    <row r="8" s="1" customFormat="1" ht="20" spans="1:15">
      <c r="A8" s="18"/>
      <c r="B8" s="19">
        <v>1.3</v>
      </c>
      <c r="C8" s="18" t="s">
        <v>20</v>
      </c>
      <c r="D8" s="18" t="s">
        <v>124</v>
      </c>
      <c r="E8" s="18"/>
      <c r="F8" s="16"/>
      <c r="G8" s="20">
        <v>0</v>
      </c>
      <c r="H8" s="17"/>
      <c r="I8" s="20">
        <v>0</v>
      </c>
      <c r="J8" s="17"/>
      <c r="K8" s="24">
        <f t="shared" si="2"/>
        <v>0</v>
      </c>
      <c r="L8" s="17"/>
      <c r="M8" s="24">
        <f t="shared" si="3"/>
        <v>0</v>
      </c>
      <c r="N8" s="17">
        <f t="shared" si="1"/>
        <v>0</v>
      </c>
      <c r="O8" s="1" t="s">
        <v>125</v>
      </c>
    </row>
    <row r="9" s="1" customFormat="1" spans="1:15">
      <c r="A9" s="18"/>
      <c r="B9" s="19">
        <v>1.4</v>
      </c>
      <c r="C9" s="18" t="s">
        <v>21</v>
      </c>
      <c r="D9" s="18" t="s">
        <v>126</v>
      </c>
      <c r="E9" s="18"/>
      <c r="F9" s="16"/>
      <c r="G9" s="20">
        <v>300000</v>
      </c>
      <c r="H9" s="17"/>
      <c r="I9" s="20">
        <v>0</v>
      </c>
      <c r="J9" s="17"/>
      <c r="K9" s="24">
        <f t="shared" si="2"/>
        <v>0</v>
      </c>
      <c r="L9" s="17"/>
      <c r="M9" s="20">
        <v>0</v>
      </c>
      <c r="N9" s="17">
        <f t="shared" si="1"/>
        <v>300000</v>
      </c>
      <c r="O9" s="1" t="s">
        <v>127</v>
      </c>
    </row>
    <row r="10" s="1" customFormat="1" spans="1:15">
      <c r="A10" s="21"/>
      <c r="B10" s="22">
        <v>1.5</v>
      </c>
      <c r="C10" s="14" t="s">
        <v>22</v>
      </c>
      <c r="D10" s="14"/>
      <c r="E10" s="14"/>
      <c r="F10" s="16"/>
      <c r="G10" s="17">
        <f t="shared" ref="G10:K10" si="4">SUM(G11:G12)</f>
        <v>0</v>
      </c>
      <c r="H10" s="17"/>
      <c r="I10" s="17">
        <f t="shared" si="4"/>
        <v>0</v>
      </c>
      <c r="J10" s="17"/>
      <c r="K10" s="65">
        <f t="shared" si="4"/>
        <v>0</v>
      </c>
      <c r="L10" s="17"/>
      <c r="M10" s="17">
        <f>SUM(M11:M12)</f>
        <v>0</v>
      </c>
      <c r="N10" s="17">
        <f t="shared" si="1"/>
        <v>0</v>
      </c>
      <c r="O10" s="1" t="s">
        <v>128</v>
      </c>
    </row>
    <row r="11" s="1" customFormat="1" spans="1:15">
      <c r="A11" s="18"/>
      <c r="B11" s="19" t="s">
        <v>23</v>
      </c>
      <c r="C11" s="18" t="s">
        <v>24</v>
      </c>
      <c r="D11" s="18"/>
      <c r="E11" s="18"/>
      <c r="F11" s="16"/>
      <c r="G11" s="20">
        <v>0</v>
      </c>
      <c r="H11" s="17"/>
      <c r="I11" s="20">
        <v>0</v>
      </c>
      <c r="J11" s="17"/>
      <c r="K11" s="24">
        <f>0</f>
        <v>0</v>
      </c>
      <c r="L11" s="17"/>
      <c r="M11" s="20">
        <v>0</v>
      </c>
      <c r="N11" s="17">
        <f t="shared" si="1"/>
        <v>0</v>
      </c>
      <c r="O11" s="1" t="s">
        <v>129</v>
      </c>
    </row>
    <row r="12" s="1" customFormat="1" spans="1:15">
      <c r="A12" s="18"/>
      <c r="B12" s="19" t="s">
        <v>25</v>
      </c>
      <c r="C12" s="18" t="s">
        <v>26</v>
      </c>
      <c r="D12" s="18" t="s">
        <v>130</v>
      </c>
      <c r="E12" s="18"/>
      <c r="F12" s="16"/>
      <c r="G12" s="20">
        <v>0</v>
      </c>
      <c r="H12" s="17"/>
      <c r="I12" s="20">
        <v>0</v>
      </c>
      <c r="J12" s="17"/>
      <c r="K12" s="24">
        <f>0</f>
        <v>0</v>
      </c>
      <c r="L12" s="17"/>
      <c r="M12" s="20">
        <v>0</v>
      </c>
      <c r="N12" s="17">
        <f t="shared" si="1"/>
        <v>0</v>
      </c>
      <c r="O12" s="1" t="s">
        <v>131</v>
      </c>
    </row>
    <row r="13" s="1" customFormat="1" ht="21" spans="1:15">
      <c r="A13" s="14">
        <v>2</v>
      </c>
      <c r="B13" s="15"/>
      <c r="C13" s="14" t="s">
        <v>27</v>
      </c>
      <c r="D13" s="14"/>
      <c r="E13" s="14"/>
      <c r="F13" s="16"/>
      <c r="G13" s="17">
        <f t="shared" ref="G13:K13" si="5">SUM(G14:G16)</f>
        <v>0</v>
      </c>
      <c r="H13" s="17"/>
      <c r="I13" s="17">
        <f t="shared" si="5"/>
        <v>0</v>
      </c>
      <c r="J13" s="17"/>
      <c r="K13" s="17">
        <f t="shared" si="5"/>
        <v>0</v>
      </c>
      <c r="L13" s="17"/>
      <c r="M13" s="17">
        <f>SUM(M14:M16)</f>
        <v>42954</v>
      </c>
      <c r="N13" s="17">
        <f t="shared" si="1"/>
        <v>42954</v>
      </c>
      <c r="O13" s="1" t="s">
        <v>132</v>
      </c>
    </row>
    <row r="14" s="1" customFormat="1" ht="40" spans="1:15">
      <c r="A14" s="23"/>
      <c r="B14" s="19">
        <v>2.1</v>
      </c>
      <c r="C14" s="18" t="s">
        <v>28</v>
      </c>
      <c r="D14" s="18" t="s">
        <v>133</v>
      </c>
      <c r="E14" s="18"/>
      <c r="F14" s="16"/>
      <c r="G14" s="24">
        <f>0</f>
        <v>0</v>
      </c>
      <c r="H14" s="17"/>
      <c r="I14" s="24">
        <f>0</f>
        <v>0</v>
      </c>
      <c r="J14" s="17"/>
      <c r="K14" s="20">
        <v>0</v>
      </c>
      <c r="L14" s="17"/>
      <c r="M14" s="20">
        <v>42954</v>
      </c>
      <c r="N14" s="17">
        <f t="shared" si="1"/>
        <v>42954</v>
      </c>
      <c r="O14" s="1" t="s">
        <v>134</v>
      </c>
    </row>
    <row r="15" s="1" customFormat="1" ht="20" spans="1:15">
      <c r="A15" s="23"/>
      <c r="B15" s="19">
        <v>2.2</v>
      </c>
      <c r="C15" s="18" t="s">
        <v>29</v>
      </c>
      <c r="D15" s="18" t="s">
        <v>124</v>
      </c>
      <c r="E15" s="18"/>
      <c r="F15" s="16"/>
      <c r="G15" s="24">
        <f>0</f>
        <v>0</v>
      </c>
      <c r="H15" s="17"/>
      <c r="I15" s="24">
        <f>0</f>
        <v>0</v>
      </c>
      <c r="J15" s="17"/>
      <c r="K15" s="20">
        <v>0</v>
      </c>
      <c r="L15" s="17"/>
      <c r="M15" s="20">
        <v>0</v>
      </c>
      <c r="N15" s="17">
        <f t="shared" si="1"/>
        <v>0</v>
      </c>
      <c r="O15" s="1" t="s">
        <v>135</v>
      </c>
    </row>
    <row r="16" s="1" customFormat="1" ht="20" spans="1:15">
      <c r="A16" s="23"/>
      <c r="B16" s="19">
        <v>2.3</v>
      </c>
      <c r="C16" s="18" t="s">
        <v>30</v>
      </c>
      <c r="D16" s="18" t="s">
        <v>124</v>
      </c>
      <c r="E16" s="18"/>
      <c r="F16" s="16"/>
      <c r="G16" s="20">
        <v>0</v>
      </c>
      <c r="H16" s="17"/>
      <c r="I16" s="20">
        <v>0</v>
      </c>
      <c r="J16" s="17"/>
      <c r="K16" s="20">
        <v>0</v>
      </c>
      <c r="L16" s="17"/>
      <c r="M16" s="20">
        <v>0</v>
      </c>
      <c r="N16" s="17">
        <f t="shared" si="1"/>
        <v>0</v>
      </c>
      <c r="O16" s="1" t="s">
        <v>136</v>
      </c>
    </row>
    <row r="17" s="1" customFormat="1" ht="21" spans="1:15">
      <c r="A17" s="14">
        <v>3</v>
      </c>
      <c r="B17" s="15" t="s">
        <v>31</v>
      </c>
      <c r="C17" s="14" t="s">
        <v>32</v>
      </c>
      <c r="D17" s="14"/>
      <c r="E17" s="14"/>
      <c r="F17" s="16"/>
      <c r="G17" s="17">
        <f t="shared" ref="G17:K17" si="6">SUM(G18:G23)</f>
        <v>200000</v>
      </c>
      <c r="H17" s="17"/>
      <c r="I17" s="17">
        <f t="shared" si="6"/>
        <v>0</v>
      </c>
      <c r="J17" s="17"/>
      <c r="K17" s="17">
        <f t="shared" si="6"/>
        <v>1122</v>
      </c>
      <c r="L17" s="17"/>
      <c r="M17" s="17">
        <f>SUM(M18:M23)</f>
        <v>5411136</v>
      </c>
      <c r="N17" s="17">
        <f t="shared" si="1"/>
        <v>5612258</v>
      </c>
      <c r="O17" s="1" t="s">
        <v>137</v>
      </c>
    </row>
    <row r="18" s="1" customFormat="1" ht="40" spans="1:15">
      <c r="A18" s="18"/>
      <c r="B18" s="19">
        <v>3.1</v>
      </c>
      <c r="C18" s="25" t="s">
        <v>33</v>
      </c>
      <c r="D18" s="25" t="s">
        <v>138</v>
      </c>
      <c r="E18" s="25"/>
      <c r="F18" s="16"/>
      <c r="G18" s="20">
        <v>0</v>
      </c>
      <c r="H18" s="17"/>
      <c r="I18" s="20">
        <v>0</v>
      </c>
      <c r="J18" s="17"/>
      <c r="K18" s="20">
        <v>0</v>
      </c>
      <c r="L18" s="17"/>
      <c r="M18" s="20">
        <v>42162</v>
      </c>
      <c r="N18" s="17">
        <f t="shared" si="1"/>
        <v>42162</v>
      </c>
      <c r="O18" s="1" t="s">
        <v>139</v>
      </c>
    </row>
    <row r="19" s="1" customFormat="1" ht="20" spans="1:15">
      <c r="A19" s="18"/>
      <c r="B19" s="19">
        <v>3.2</v>
      </c>
      <c r="C19" s="25" t="s">
        <v>34</v>
      </c>
      <c r="D19" s="25" t="s">
        <v>140</v>
      </c>
      <c r="E19" s="25"/>
      <c r="F19" s="16"/>
      <c r="G19" s="20">
        <v>200000</v>
      </c>
      <c r="H19" s="17"/>
      <c r="I19" s="20">
        <v>0</v>
      </c>
      <c r="J19" s="17"/>
      <c r="K19" s="20">
        <v>0</v>
      </c>
      <c r="L19" s="17"/>
      <c r="M19" s="20">
        <v>1216384</v>
      </c>
      <c r="N19" s="17">
        <f t="shared" si="1"/>
        <v>1416384</v>
      </c>
      <c r="O19" s="1" t="s">
        <v>141</v>
      </c>
    </row>
    <row r="20" s="1" customFormat="1" ht="100" spans="1:15">
      <c r="A20" s="18"/>
      <c r="B20" s="19">
        <v>3.3</v>
      </c>
      <c r="C20" s="25" t="s">
        <v>35</v>
      </c>
      <c r="D20" s="25" t="s">
        <v>142</v>
      </c>
      <c r="E20" s="25"/>
      <c r="F20" s="16"/>
      <c r="G20" s="20">
        <v>0</v>
      </c>
      <c r="H20" s="17"/>
      <c r="I20" s="20">
        <v>0</v>
      </c>
      <c r="J20" s="17"/>
      <c r="K20" s="20">
        <v>1122</v>
      </c>
      <c r="L20" s="17"/>
      <c r="M20" s="20">
        <v>4152590</v>
      </c>
      <c r="N20" s="17">
        <f t="shared" si="1"/>
        <v>4153712</v>
      </c>
      <c r="O20" s="1" t="s">
        <v>143</v>
      </c>
    </row>
    <row r="21" s="1" customFormat="1" spans="1:15">
      <c r="A21" s="18"/>
      <c r="B21" s="19">
        <v>3.4</v>
      </c>
      <c r="C21" s="25" t="s">
        <v>36</v>
      </c>
      <c r="E21" s="25"/>
      <c r="F21" s="16"/>
      <c r="G21" s="20">
        <v>0</v>
      </c>
      <c r="H21" s="17"/>
      <c r="I21" s="20">
        <v>0</v>
      </c>
      <c r="J21" s="17"/>
      <c r="K21" s="20">
        <v>0</v>
      </c>
      <c r="L21" s="17"/>
      <c r="M21" s="20">
        <v>0</v>
      </c>
      <c r="N21" s="17">
        <f t="shared" si="1"/>
        <v>0</v>
      </c>
      <c r="O21" s="1" t="s">
        <v>144</v>
      </c>
    </row>
    <row r="22" s="1" customFormat="1" spans="1:15">
      <c r="A22" s="18"/>
      <c r="B22" s="19">
        <v>3.5</v>
      </c>
      <c r="C22" s="25" t="s">
        <v>37</v>
      </c>
      <c r="D22" s="25"/>
      <c r="E22" s="25"/>
      <c r="F22" s="16"/>
      <c r="G22" s="20">
        <v>0</v>
      </c>
      <c r="H22" s="17"/>
      <c r="I22" s="20">
        <v>0</v>
      </c>
      <c r="J22" s="17"/>
      <c r="K22" s="20">
        <v>0</v>
      </c>
      <c r="L22" s="17"/>
      <c r="M22" s="20">
        <v>0</v>
      </c>
      <c r="N22" s="17">
        <f t="shared" si="1"/>
        <v>0</v>
      </c>
      <c r="O22" s="1" t="s">
        <v>145</v>
      </c>
    </row>
    <row r="23" s="1" customFormat="1" spans="1:15">
      <c r="A23" s="18"/>
      <c r="B23" s="19">
        <v>3.6</v>
      </c>
      <c r="C23" s="26" t="s">
        <v>38</v>
      </c>
      <c r="D23" s="26"/>
      <c r="E23" s="26"/>
      <c r="F23" s="16"/>
      <c r="G23" s="20">
        <v>0</v>
      </c>
      <c r="H23" s="17"/>
      <c r="I23" s="20">
        <v>0</v>
      </c>
      <c r="J23" s="17"/>
      <c r="K23" s="20">
        <v>0</v>
      </c>
      <c r="L23" s="17"/>
      <c r="M23" s="20">
        <v>0</v>
      </c>
      <c r="N23" s="17">
        <f t="shared" si="1"/>
        <v>0</v>
      </c>
      <c r="O23" s="1" t="s">
        <v>146</v>
      </c>
    </row>
    <row r="24" s="1" customFormat="1" spans="1:15">
      <c r="A24" s="21">
        <v>4</v>
      </c>
      <c r="B24" s="22"/>
      <c r="C24" s="14" t="s">
        <v>39</v>
      </c>
      <c r="D24" s="14"/>
      <c r="E24" s="14"/>
      <c r="F24" s="16"/>
      <c r="G24" s="17">
        <f t="shared" ref="G24:K24" si="7">SUM(G25:G27)</f>
        <v>406527</v>
      </c>
      <c r="H24" s="17"/>
      <c r="I24" s="17">
        <f t="shared" si="7"/>
        <v>44500</v>
      </c>
      <c r="J24" s="17"/>
      <c r="K24" s="17">
        <f t="shared" si="7"/>
        <v>0</v>
      </c>
      <c r="L24" s="17"/>
      <c r="M24" s="17">
        <f>SUM(M25:M27)</f>
        <v>651957</v>
      </c>
      <c r="N24" s="17">
        <f t="shared" si="1"/>
        <v>1102984</v>
      </c>
      <c r="O24" s="1" t="s">
        <v>147</v>
      </c>
    </row>
    <row r="25" s="1" customFormat="1" ht="30" spans="1:15">
      <c r="A25" s="18"/>
      <c r="B25" s="19">
        <v>4.1</v>
      </c>
      <c r="C25" s="18" t="s">
        <v>40</v>
      </c>
      <c r="D25" s="25" t="s">
        <v>148</v>
      </c>
      <c r="E25" s="18"/>
      <c r="F25" s="16"/>
      <c r="G25" s="20">
        <v>406527</v>
      </c>
      <c r="H25" s="17"/>
      <c r="I25" s="20">
        <v>44500</v>
      </c>
      <c r="J25" s="17"/>
      <c r="K25" s="20">
        <v>0</v>
      </c>
      <c r="L25" s="17"/>
      <c r="M25" s="20">
        <v>651957</v>
      </c>
      <c r="N25" s="17">
        <f t="shared" si="1"/>
        <v>1102984</v>
      </c>
      <c r="O25" s="1" t="s">
        <v>149</v>
      </c>
    </row>
    <row r="26" s="1" customFormat="1" spans="1:15">
      <c r="A26" s="18"/>
      <c r="B26" s="19">
        <v>4.2</v>
      </c>
      <c r="C26" s="18" t="s">
        <v>41</v>
      </c>
      <c r="D26" s="18"/>
      <c r="E26" s="18"/>
      <c r="F26" s="16"/>
      <c r="G26" s="20">
        <v>0</v>
      </c>
      <c r="H26" s="17"/>
      <c r="I26" s="20">
        <v>0</v>
      </c>
      <c r="J26" s="17"/>
      <c r="K26" s="20">
        <v>0</v>
      </c>
      <c r="L26" s="17"/>
      <c r="M26" s="20">
        <v>0</v>
      </c>
      <c r="N26" s="17">
        <f t="shared" si="1"/>
        <v>0</v>
      </c>
      <c r="O26" s="1" t="s">
        <v>150</v>
      </c>
    </row>
    <row r="27" s="1" customFormat="1" spans="1:15">
      <c r="A27" s="18"/>
      <c r="B27" s="19">
        <v>4.3</v>
      </c>
      <c r="C27" s="27" t="s">
        <v>38</v>
      </c>
      <c r="D27" s="27"/>
      <c r="E27" s="27"/>
      <c r="F27" s="16"/>
      <c r="G27" s="20">
        <v>0</v>
      </c>
      <c r="H27" s="17"/>
      <c r="I27" s="20">
        <v>0</v>
      </c>
      <c r="J27" s="17"/>
      <c r="K27" s="20">
        <v>0</v>
      </c>
      <c r="L27" s="17"/>
      <c r="M27" s="20">
        <v>0</v>
      </c>
      <c r="N27" s="17">
        <f t="shared" si="1"/>
        <v>0</v>
      </c>
      <c r="O27" s="1" t="s">
        <v>151</v>
      </c>
    </row>
    <row r="28" s="1" customFormat="1" ht="21" spans="1:15">
      <c r="A28" s="21">
        <v>5</v>
      </c>
      <c r="B28" s="22"/>
      <c r="C28" s="14" t="s">
        <v>42</v>
      </c>
      <c r="D28" s="14"/>
      <c r="E28" s="14"/>
      <c r="F28" s="16"/>
      <c r="G28" s="17">
        <f t="shared" ref="G28:K28" si="8">+G29+G33</f>
        <v>843430</v>
      </c>
      <c r="H28" s="17"/>
      <c r="I28" s="17">
        <f t="shared" si="8"/>
        <v>61072</v>
      </c>
      <c r="J28" s="17"/>
      <c r="K28" s="17">
        <f t="shared" si="8"/>
        <v>0</v>
      </c>
      <c r="L28" s="17"/>
      <c r="M28" s="17">
        <f>+M29+M33</f>
        <v>126846</v>
      </c>
      <c r="N28" s="17">
        <f t="shared" si="1"/>
        <v>1031348</v>
      </c>
      <c r="O28" s="1" t="s">
        <v>152</v>
      </c>
    </row>
    <row r="29" s="1" customFormat="1" spans="1:15">
      <c r="A29" s="14"/>
      <c r="B29" s="15">
        <v>5.1</v>
      </c>
      <c r="C29" s="28" t="s">
        <v>43</v>
      </c>
      <c r="D29" s="28"/>
      <c r="E29" s="28"/>
      <c r="F29" s="29"/>
      <c r="G29" s="17">
        <f t="shared" ref="G29:K29" si="9">SUM(G30:G32)</f>
        <v>0</v>
      </c>
      <c r="H29" s="17"/>
      <c r="I29" s="17">
        <f t="shared" si="9"/>
        <v>0</v>
      </c>
      <c r="J29" s="17"/>
      <c r="K29" s="17">
        <f t="shared" si="9"/>
        <v>0</v>
      </c>
      <c r="L29" s="17"/>
      <c r="M29" s="17">
        <f>SUM(M30:M32)</f>
        <v>0</v>
      </c>
      <c r="N29" s="17">
        <f t="shared" si="1"/>
        <v>0</v>
      </c>
      <c r="O29" s="1" t="s">
        <v>153</v>
      </c>
    </row>
    <row r="30" s="1" customFormat="1" spans="1:15">
      <c r="A30" s="23"/>
      <c r="B30" s="30" t="s">
        <v>44</v>
      </c>
      <c r="C30" s="31" t="s">
        <v>45</v>
      </c>
      <c r="D30" s="31"/>
      <c r="E30" s="31"/>
      <c r="F30" s="32"/>
      <c r="G30" s="20">
        <v>0</v>
      </c>
      <c r="H30" s="33"/>
      <c r="I30" s="20">
        <v>0</v>
      </c>
      <c r="J30" s="33"/>
      <c r="K30" s="20">
        <v>0</v>
      </c>
      <c r="L30" s="17"/>
      <c r="M30" s="20">
        <v>0</v>
      </c>
      <c r="N30" s="17">
        <f t="shared" si="1"/>
        <v>0</v>
      </c>
      <c r="O30" s="1" t="s">
        <v>154</v>
      </c>
    </row>
    <row r="31" s="1" customFormat="1" spans="1:15">
      <c r="A31" s="23"/>
      <c r="B31" s="30" t="s">
        <v>46</v>
      </c>
      <c r="C31" s="31" t="s">
        <v>47</v>
      </c>
      <c r="D31" s="31"/>
      <c r="E31" s="31"/>
      <c r="F31" s="32"/>
      <c r="G31" s="20">
        <v>0</v>
      </c>
      <c r="H31" s="33"/>
      <c r="I31" s="20">
        <v>0</v>
      </c>
      <c r="J31" s="33"/>
      <c r="K31" s="20">
        <v>0</v>
      </c>
      <c r="L31" s="17"/>
      <c r="M31" s="20">
        <v>0</v>
      </c>
      <c r="N31" s="17">
        <f t="shared" si="1"/>
        <v>0</v>
      </c>
      <c r="O31" s="1" t="s">
        <v>155</v>
      </c>
    </row>
    <row r="32" s="1" customFormat="1" spans="1:15">
      <c r="A32" s="23"/>
      <c r="B32" s="30" t="s">
        <v>48</v>
      </c>
      <c r="C32" s="31" t="s">
        <v>49</v>
      </c>
      <c r="D32" s="31"/>
      <c r="E32" s="31"/>
      <c r="F32" s="32"/>
      <c r="G32" s="20">
        <v>0</v>
      </c>
      <c r="H32" s="33"/>
      <c r="I32" s="20">
        <v>0</v>
      </c>
      <c r="J32" s="33"/>
      <c r="K32" s="20">
        <v>0</v>
      </c>
      <c r="L32" s="17"/>
      <c r="M32" s="20">
        <v>0</v>
      </c>
      <c r="N32" s="17">
        <f t="shared" si="1"/>
        <v>0</v>
      </c>
      <c r="O32" s="1" t="s">
        <v>156</v>
      </c>
    </row>
    <row r="33" s="1" customFormat="1" spans="1:15">
      <c r="A33" s="14"/>
      <c r="B33" s="15">
        <v>5.2</v>
      </c>
      <c r="C33" s="14" t="s">
        <v>50</v>
      </c>
      <c r="D33" s="14"/>
      <c r="E33" s="14"/>
      <c r="F33" s="16"/>
      <c r="G33" s="17">
        <f t="shared" ref="G33:K33" si="10">+G34+G37</f>
        <v>843430</v>
      </c>
      <c r="H33" s="17"/>
      <c r="I33" s="17">
        <f t="shared" si="10"/>
        <v>61072</v>
      </c>
      <c r="J33" s="17"/>
      <c r="K33" s="17">
        <f t="shared" si="10"/>
        <v>0</v>
      </c>
      <c r="L33" s="17"/>
      <c r="M33" s="17">
        <f>+M34+M37</f>
        <v>126846</v>
      </c>
      <c r="N33" s="17">
        <f t="shared" si="1"/>
        <v>1031348</v>
      </c>
      <c r="O33" s="1" t="s">
        <v>157</v>
      </c>
    </row>
    <row r="34" s="1" customFormat="1" spans="1:15">
      <c r="A34" s="14"/>
      <c r="B34" s="34" t="s">
        <v>51</v>
      </c>
      <c r="C34" s="35" t="s">
        <v>52</v>
      </c>
      <c r="D34" s="35"/>
      <c r="E34" s="35"/>
      <c r="F34" s="32"/>
      <c r="G34" s="33">
        <f t="shared" ref="G34:K34" si="11">SUM(G35:G36)</f>
        <v>843430</v>
      </c>
      <c r="H34" s="33"/>
      <c r="I34" s="33">
        <f t="shared" si="11"/>
        <v>61072</v>
      </c>
      <c r="J34" s="33"/>
      <c r="K34" s="33">
        <f t="shared" si="11"/>
        <v>0</v>
      </c>
      <c r="L34" s="33"/>
      <c r="M34" s="33">
        <f>SUM(M35:M36)</f>
        <v>126846</v>
      </c>
      <c r="N34" s="17">
        <f t="shared" si="1"/>
        <v>1031348</v>
      </c>
      <c r="O34" s="1" t="s">
        <v>158</v>
      </c>
    </row>
    <row r="35" s="1" customFormat="1" spans="1:15">
      <c r="A35" s="23"/>
      <c r="B35" s="30" t="s">
        <v>53</v>
      </c>
      <c r="C35" s="31" t="s">
        <v>45</v>
      </c>
      <c r="D35" s="31" t="s">
        <v>159</v>
      </c>
      <c r="E35" s="31"/>
      <c r="F35" s="32"/>
      <c r="G35" s="20">
        <v>843430</v>
      </c>
      <c r="H35" s="33"/>
      <c r="I35" s="20">
        <v>61072</v>
      </c>
      <c r="J35" s="33"/>
      <c r="K35" s="20">
        <v>0</v>
      </c>
      <c r="L35" s="17"/>
      <c r="M35" s="20">
        <v>88228</v>
      </c>
      <c r="N35" s="17">
        <f t="shared" si="1"/>
        <v>992730</v>
      </c>
      <c r="O35" s="1" t="s">
        <v>160</v>
      </c>
    </row>
    <row r="36" s="1" customFormat="1" spans="1:15">
      <c r="A36" s="23"/>
      <c r="B36" s="30" t="s">
        <v>54</v>
      </c>
      <c r="C36" s="31" t="s">
        <v>47</v>
      </c>
      <c r="D36" s="31" t="s">
        <v>161</v>
      </c>
      <c r="E36" s="31"/>
      <c r="F36" s="32"/>
      <c r="G36" s="20">
        <v>0</v>
      </c>
      <c r="H36" s="33"/>
      <c r="I36" s="20">
        <v>0</v>
      </c>
      <c r="J36" s="33"/>
      <c r="K36" s="20">
        <v>0</v>
      </c>
      <c r="L36" s="17"/>
      <c r="M36" s="20">
        <v>38618</v>
      </c>
      <c r="N36" s="17">
        <f t="shared" si="1"/>
        <v>38618</v>
      </c>
      <c r="O36" s="1" t="s">
        <v>162</v>
      </c>
    </row>
    <row r="37" s="1" customFormat="1" spans="1:15">
      <c r="A37" s="14"/>
      <c r="B37" s="34" t="s">
        <v>55</v>
      </c>
      <c r="C37" s="36" t="s">
        <v>56</v>
      </c>
      <c r="D37" s="36"/>
      <c r="E37" s="36"/>
      <c r="F37" s="32"/>
      <c r="G37" s="20">
        <v>0</v>
      </c>
      <c r="H37" s="33"/>
      <c r="I37" s="20">
        <v>0</v>
      </c>
      <c r="J37" s="33"/>
      <c r="K37" s="20">
        <v>0</v>
      </c>
      <c r="L37" s="17"/>
      <c r="M37" s="20">
        <v>0</v>
      </c>
      <c r="N37" s="17">
        <f t="shared" si="1"/>
        <v>0</v>
      </c>
      <c r="O37" s="1" t="s">
        <v>163</v>
      </c>
    </row>
    <row r="38" s="1" customFormat="1" spans="1:15">
      <c r="A38" s="14">
        <v>6</v>
      </c>
      <c r="B38" s="37"/>
      <c r="C38" s="38" t="s">
        <v>57</v>
      </c>
      <c r="D38" s="38"/>
      <c r="E38" s="38"/>
      <c r="F38" s="32"/>
      <c r="G38" s="33">
        <f t="shared" ref="G38:K38" si="12">SUM(G39:G40)</f>
        <v>0</v>
      </c>
      <c r="H38" s="33"/>
      <c r="I38" s="33">
        <f t="shared" si="12"/>
        <v>0</v>
      </c>
      <c r="J38" s="33"/>
      <c r="K38" s="33">
        <f t="shared" si="12"/>
        <v>0</v>
      </c>
      <c r="L38" s="33"/>
      <c r="M38" s="33">
        <f>SUM(M39:M40)</f>
        <v>0</v>
      </c>
      <c r="N38" s="17">
        <f t="shared" si="1"/>
        <v>0</v>
      </c>
      <c r="O38" s="1" t="s">
        <v>164</v>
      </c>
    </row>
    <row r="39" s="1" customFormat="1" spans="1:15">
      <c r="A39" s="23"/>
      <c r="B39" s="30">
        <v>6.1</v>
      </c>
      <c r="C39" s="31" t="s">
        <v>58</v>
      </c>
      <c r="D39" s="31"/>
      <c r="E39" s="31"/>
      <c r="F39" s="39"/>
      <c r="G39" s="40">
        <v>0</v>
      </c>
      <c r="H39" s="41"/>
      <c r="I39" s="40">
        <v>0</v>
      </c>
      <c r="J39" s="41"/>
      <c r="K39" s="40">
        <v>0</v>
      </c>
      <c r="L39" s="17"/>
      <c r="M39" s="40">
        <v>0</v>
      </c>
      <c r="N39" s="17">
        <f t="shared" si="1"/>
        <v>0</v>
      </c>
      <c r="O39" s="1" t="s">
        <v>165</v>
      </c>
    </row>
    <row r="40" s="1" customFormat="1" spans="1:15">
      <c r="A40" s="23"/>
      <c r="B40" s="30">
        <v>6.2</v>
      </c>
      <c r="C40" s="31" t="s">
        <v>59</v>
      </c>
      <c r="D40" s="31"/>
      <c r="E40" s="31"/>
      <c r="F40" s="32"/>
      <c r="G40" s="42">
        <v>0</v>
      </c>
      <c r="H40" s="33"/>
      <c r="I40" s="42">
        <v>0</v>
      </c>
      <c r="J40" s="33"/>
      <c r="K40" s="42">
        <v>0</v>
      </c>
      <c r="L40" s="17"/>
      <c r="M40" s="42">
        <v>0</v>
      </c>
      <c r="N40" s="17">
        <f t="shared" si="1"/>
        <v>0</v>
      </c>
      <c r="O40" s="1" t="s">
        <v>166</v>
      </c>
    </row>
    <row r="41" s="1" customFormat="1" spans="1:15">
      <c r="A41" s="14">
        <v>7</v>
      </c>
      <c r="B41" s="43"/>
      <c r="C41" s="38" t="s">
        <v>60</v>
      </c>
      <c r="D41" s="38"/>
      <c r="E41" s="38"/>
      <c r="F41" s="39">
        <f t="shared" ref="F41:N41" si="13">+F42+F45</f>
        <v>72</v>
      </c>
      <c r="G41" s="41">
        <f t="shared" si="13"/>
        <v>170663</v>
      </c>
      <c r="H41" s="41">
        <f t="shared" si="13"/>
        <v>40</v>
      </c>
      <c r="I41" s="41">
        <f t="shared" si="13"/>
        <v>388661</v>
      </c>
      <c r="J41" s="41">
        <f t="shared" si="13"/>
        <v>0</v>
      </c>
      <c r="K41" s="41">
        <f t="shared" si="13"/>
        <v>0</v>
      </c>
      <c r="L41" s="41">
        <f t="shared" si="13"/>
        <v>0</v>
      </c>
      <c r="M41" s="41">
        <f t="shared" si="13"/>
        <v>0</v>
      </c>
      <c r="N41" s="17">
        <f t="shared" si="13"/>
        <v>559324</v>
      </c>
      <c r="O41" s="1" t="s">
        <v>167</v>
      </c>
    </row>
    <row r="42" s="1" customFormat="1" ht="21" spans="1:15">
      <c r="A42" s="44"/>
      <c r="B42" s="37">
        <v>7.1</v>
      </c>
      <c r="C42" s="38" t="s">
        <v>61</v>
      </c>
      <c r="D42" s="38"/>
      <c r="E42" s="38"/>
      <c r="F42" s="39">
        <f t="shared" ref="F42:M42" si="14">SUM(F43:F44)</f>
        <v>0</v>
      </c>
      <c r="G42" s="41">
        <f t="shared" si="14"/>
        <v>0</v>
      </c>
      <c r="H42" s="41">
        <f t="shared" si="14"/>
        <v>0</v>
      </c>
      <c r="I42" s="41">
        <f t="shared" si="14"/>
        <v>0</v>
      </c>
      <c r="J42" s="41">
        <f t="shared" si="14"/>
        <v>0</v>
      </c>
      <c r="K42" s="41">
        <f t="shared" si="14"/>
        <v>0</v>
      </c>
      <c r="L42" s="41">
        <f t="shared" si="14"/>
        <v>0</v>
      </c>
      <c r="M42" s="41">
        <f t="shared" si="14"/>
        <v>0</v>
      </c>
      <c r="N42" s="17">
        <f t="shared" ref="N42:N85" si="15">+G42+I42+K42+M42</f>
        <v>0</v>
      </c>
      <c r="O42" s="1" t="s">
        <v>168</v>
      </c>
    </row>
    <row r="43" s="1" customFormat="1" spans="1:15">
      <c r="A43" s="23"/>
      <c r="B43" s="30" t="s">
        <v>62</v>
      </c>
      <c r="C43" s="31" t="s">
        <v>63</v>
      </c>
      <c r="D43" s="31"/>
      <c r="E43" s="31"/>
      <c r="F43" s="45">
        <v>0</v>
      </c>
      <c r="G43" s="40">
        <v>0</v>
      </c>
      <c r="H43" s="40">
        <v>0</v>
      </c>
      <c r="I43" s="40">
        <v>0</v>
      </c>
      <c r="J43" s="40">
        <v>0</v>
      </c>
      <c r="K43" s="40">
        <v>0</v>
      </c>
      <c r="L43" s="40">
        <v>0</v>
      </c>
      <c r="M43" s="40">
        <v>0</v>
      </c>
      <c r="N43" s="17">
        <f t="shared" si="15"/>
        <v>0</v>
      </c>
      <c r="O43" s="1" t="s">
        <v>169</v>
      </c>
    </row>
    <row r="44" s="1" customFormat="1" spans="1:15">
      <c r="A44" s="23"/>
      <c r="B44" s="30" t="s">
        <v>64</v>
      </c>
      <c r="C44" s="31" t="s">
        <v>65</v>
      </c>
      <c r="D44" s="31"/>
      <c r="E44" s="31"/>
      <c r="F44" s="46">
        <v>0</v>
      </c>
      <c r="G44" s="42">
        <v>0</v>
      </c>
      <c r="H44" s="42">
        <v>0</v>
      </c>
      <c r="I44" s="42">
        <v>0</v>
      </c>
      <c r="J44" s="42">
        <v>0</v>
      </c>
      <c r="K44" s="42">
        <v>0</v>
      </c>
      <c r="L44" s="42">
        <v>0</v>
      </c>
      <c r="M44" s="42">
        <v>0</v>
      </c>
      <c r="N44" s="17">
        <f t="shared" si="15"/>
        <v>0</v>
      </c>
      <c r="O44" s="1" t="s">
        <v>170</v>
      </c>
    </row>
    <row r="45" s="1" customFormat="1" spans="1:15">
      <c r="A45" s="14"/>
      <c r="B45" s="37">
        <v>7.2</v>
      </c>
      <c r="C45" s="38" t="s">
        <v>66</v>
      </c>
      <c r="D45" s="38"/>
      <c r="E45" s="38"/>
      <c r="F45" s="32">
        <f t="shared" ref="F45:M45" si="16">SUM(F46:F47)</f>
        <v>72</v>
      </c>
      <c r="G45" s="33">
        <f t="shared" si="16"/>
        <v>170663</v>
      </c>
      <c r="H45" s="33">
        <f t="shared" si="16"/>
        <v>40</v>
      </c>
      <c r="I45" s="33">
        <f t="shared" si="16"/>
        <v>388661</v>
      </c>
      <c r="J45" s="33">
        <f t="shared" si="16"/>
        <v>0</v>
      </c>
      <c r="K45" s="33">
        <f t="shared" si="16"/>
        <v>0</v>
      </c>
      <c r="L45" s="33">
        <f t="shared" si="16"/>
        <v>0</v>
      </c>
      <c r="M45" s="33">
        <f t="shared" si="16"/>
        <v>0</v>
      </c>
      <c r="N45" s="17">
        <f t="shared" si="15"/>
        <v>559324</v>
      </c>
      <c r="O45" s="1" t="s">
        <v>171</v>
      </c>
    </row>
    <row r="46" s="1" customFormat="1" ht="130" spans="1:15">
      <c r="A46" s="23"/>
      <c r="B46" s="30" t="s">
        <v>67</v>
      </c>
      <c r="C46" s="31" t="s">
        <v>63</v>
      </c>
      <c r="D46" s="31" t="s">
        <v>172</v>
      </c>
      <c r="E46" s="31"/>
      <c r="F46" s="45">
        <v>63</v>
      </c>
      <c r="G46" s="40">
        <v>161615</v>
      </c>
      <c r="H46" s="40">
        <v>2</v>
      </c>
      <c r="I46" s="40">
        <v>10229</v>
      </c>
      <c r="J46" s="40">
        <v>0</v>
      </c>
      <c r="K46" s="40">
        <v>0</v>
      </c>
      <c r="L46" s="40">
        <v>0</v>
      </c>
      <c r="M46" s="40">
        <v>0</v>
      </c>
      <c r="N46" s="17">
        <f t="shared" si="15"/>
        <v>171844</v>
      </c>
      <c r="O46" s="1" t="s">
        <v>173</v>
      </c>
    </row>
    <row r="47" s="1" customFormat="1" ht="20" spans="1:15">
      <c r="A47" s="23"/>
      <c r="B47" s="30" t="s">
        <v>68</v>
      </c>
      <c r="C47" s="31" t="s">
        <v>65</v>
      </c>
      <c r="D47" s="31" t="s">
        <v>174</v>
      </c>
      <c r="E47" s="31"/>
      <c r="F47" s="46">
        <v>9</v>
      </c>
      <c r="G47" s="42">
        <v>9048</v>
      </c>
      <c r="H47" s="42">
        <v>38</v>
      </c>
      <c r="I47" s="42">
        <v>378432</v>
      </c>
      <c r="J47" s="42">
        <v>0</v>
      </c>
      <c r="K47" s="42">
        <v>0</v>
      </c>
      <c r="L47" s="42">
        <v>0</v>
      </c>
      <c r="M47" s="42">
        <v>0</v>
      </c>
      <c r="N47" s="17">
        <f t="shared" si="15"/>
        <v>387480</v>
      </c>
      <c r="O47" s="1" t="s">
        <v>175</v>
      </c>
    </row>
    <row r="48" s="1" customFormat="1" spans="1:15">
      <c r="A48" s="14">
        <v>8</v>
      </c>
      <c r="B48" s="15"/>
      <c r="C48" s="47" t="s">
        <v>69</v>
      </c>
      <c r="D48" s="47"/>
      <c r="E48" s="47"/>
      <c r="F48" s="32">
        <f t="shared" ref="F48:M48" si="17">+F49+F55+F60</f>
        <v>3375</v>
      </c>
      <c r="G48" s="33">
        <f t="shared" si="17"/>
        <v>6916495</v>
      </c>
      <c r="H48" s="33">
        <f t="shared" si="17"/>
        <v>88</v>
      </c>
      <c r="I48" s="33">
        <f t="shared" si="17"/>
        <v>2534790</v>
      </c>
      <c r="J48" s="33">
        <f t="shared" si="17"/>
        <v>0</v>
      </c>
      <c r="K48" s="33">
        <f t="shared" si="17"/>
        <v>0</v>
      </c>
      <c r="L48" s="33">
        <f t="shared" si="17"/>
        <v>47</v>
      </c>
      <c r="M48" s="33">
        <f t="shared" si="17"/>
        <v>4223110</v>
      </c>
      <c r="N48" s="17">
        <f t="shared" si="15"/>
        <v>13674395</v>
      </c>
      <c r="O48" s="1" t="s">
        <v>176</v>
      </c>
    </row>
    <row r="49" s="1" customFormat="1" spans="1:15">
      <c r="A49" s="48"/>
      <c r="B49" s="15">
        <v>8.1</v>
      </c>
      <c r="C49" s="47" t="s">
        <v>70</v>
      </c>
      <c r="D49" s="47"/>
      <c r="E49" s="47"/>
      <c r="F49" s="32">
        <f t="shared" ref="F49:M49" si="18">SUM(F50:F54)</f>
        <v>0</v>
      </c>
      <c r="G49" s="33">
        <f t="shared" si="18"/>
        <v>0</v>
      </c>
      <c r="H49" s="33">
        <f t="shared" si="18"/>
        <v>5</v>
      </c>
      <c r="I49" s="33">
        <f t="shared" si="18"/>
        <v>1114614</v>
      </c>
      <c r="J49" s="33">
        <f t="shared" si="18"/>
        <v>0</v>
      </c>
      <c r="K49" s="33">
        <f t="shared" si="18"/>
        <v>0</v>
      </c>
      <c r="L49" s="33">
        <f t="shared" si="18"/>
        <v>7</v>
      </c>
      <c r="M49" s="33">
        <f t="shared" si="18"/>
        <v>614355</v>
      </c>
      <c r="N49" s="17">
        <f t="shared" si="15"/>
        <v>1728969</v>
      </c>
      <c r="O49" s="1" t="s">
        <v>177</v>
      </c>
    </row>
    <row r="50" s="1" customFormat="1" ht="80" spans="1:15">
      <c r="A50" s="49"/>
      <c r="B50" s="50" t="s">
        <v>71</v>
      </c>
      <c r="C50" s="51" t="s">
        <v>72</v>
      </c>
      <c r="D50" s="51" t="s">
        <v>178</v>
      </c>
      <c r="E50" s="51"/>
      <c r="F50" s="52">
        <v>0</v>
      </c>
      <c r="G50" s="20">
        <v>0</v>
      </c>
      <c r="H50" s="20">
        <v>0</v>
      </c>
      <c r="I50" s="20">
        <v>0</v>
      </c>
      <c r="J50" s="20">
        <v>0</v>
      </c>
      <c r="K50" s="20">
        <v>0</v>
      </c>
      <c r="L50" s="20">
        <v>7</v>
      </c>
      <c r="M50" s="20">
        <v>614355</v>
      </c>
      <c r="N50" s="17">
        <f t="shared" si="15"/>
        <v>614355</v>
      </c>
      <c r="O50" s="1" t="s">
        <v>179</v>
      </c>
    </row>
    <row r="51" s="1" customFormat="1" spans="1:15">
      <c r="A51" s="49"/>
      <c r="B51" s="50" t="s">
        <v>73</v>
      </c>
      <c r="C51" s="51" t="s">
        <v>74</v>
      </c>
      <c r="D51" s="51"/>
      <c r="E51" s="51"/>
      <c r="F51" s="52">
        <v>0</v>
      </c>
      <c r="G51" s="20">
        <v>0</v>
      </c>
      <c r="H51" s="20">
        <v>0</v>
      </c>
      <c r="I51" s="20">
        <v>0</v>
      </c>
      <c r="J51" s="20">
        <v>0</v>
      </c>
      <c r="K51" s="20">
        <v>0</v>
      </c>
      <c r="L51" s="20">
        <v>0</v>
      </c>
      <c r="M51" s="20">
        <v>0</v>
      </c>
      <c r="N51" s="17">
        <f t="shared" si="15"/>
        <v>0</v>
      </c>
      <c r="O51" s="1" t="s">
        <v>180</v>
      </c>
    </row>
    <row r="52" s="1" customFormat="1" ht="90" spans="1:15">
      <c r="A52" s="49"/>
      <c r="B52" s="50" t="s">
        <v>75</v>
      </c>
      <c r="C52" s="51" t="s">
        <v>76</v>
      </c>
      <c r="D52" s="51" t="s">
        <v>181</v>
      </c>
      <c r="E52" s="51"/>
      <c r="F52" s="52">
        <v>0</v>
      </c>
      <c r="G52" s="20">
        <v>0</v>
      </c>
      <c r="H52" s="20">
        <v>3</v>
      </c>
      <c r="I52" s="20">
        <v>697870</v>
      </c>
      <c r="J52" s="20">
        <v>0</v>
      </c>
      <c r="K52" s="20">
        <v>0</v>
      </c>
      <c r="L52" s="20">
        <v>0</v>
      </c>
      <c r="M52" s="20">
        <v>0</v>
      </c>
      <c r="N52" s="17">
        <f t="shared" si="15"/>
        <v>697870</v>
      </c>
      <c r="O52" s="1" t="s">
        <v>182</v>
      </c>
    </row>
    <row r="53" s="1" customFormat="1" ht="90" spans="1:15">
      <c r="A53" s="49"/>
      <c r="B53" s="50" t="s">
        <v>77</v>
      </c>
      <c r="C53" s="51" t="s">
        <v>78</v>
      </c>
      <c r="D53" s="51" t="s">
        <v>183</v>
      </c>
      <c r="E53" s="51"/>
      <c r="F53" s="52">
        <v>0</v>
      </c>
      <c r="G53" s="20">
        <v>0</v>
      </c>
      <c r="H53" s="20">
        <v>1</v>
      </c>
      <c r="I53" s="20">
        <v>141269</v>
      </c>
      <c r="J53" s="20">
        <v>0</v>
      </c>
      <c r="K53" s="20">
        <v>0</v>
      </c>
      <c r="L53" s="20">
        <v>0</v>
      </c>
      <c r="M53" s="20">
        <v>0</v>
      </c>
      <c r="N53" s="17">
        <f t="shared" si="15"/>
        <v>141269</v>
      </c>
      <c r="O53" s="1" t="s">
        <v>184</v>
      </c>
    </row>
    <row r="54" s="1" customFormat="1" ht="90" spans="1:15">
      <c r="A54" s="49"/>
      <c r="B54" s="50" t="s">
        <v>79</v>
      </c>
      <c r="C54" s="53" t="s">
        <v>80</v>
      </c>
      <c r="D54" s="53" t="s">
        <v>185</v>
      </c>
      <c r="E54" s="53"/>
      <c r="F54" s="52">
        <v>0</v>
      </c>
      <c r="G54" s="20">
        <v>0</v>
      </c>
      <c r="H54" s="20">
        <v>1</v>
      </c>
      <c r="I54" s="20">
        <v>275475</v>
      </c>
      <c r="J54" s="20">
        <v>0</v>
      </c>
      <c r="K54" s="20">
        <v>0</v>
      </c>
      <c r="L54" s="20">
        <v>0</v>
      </c>
      <c r="M54" s="20">
        <v>0</v>
      </c>
      <c r="N54" s="17">
        <f t="shared" si="15"/>
        <v>275475</v>
      </c>
      <c r="O54" s="1" t="s">
        <v>186</v>
      </c>
    </row>
    <row r="55" s="1" customFormat="1" spans="1:15">
      <c r="A55" s="48"/>
      <c r="B55" s="54">
        <v>8.2</v>
      </c>
      <c r="C55" s="47" t="s">
        <v>81</v>
      </c>
      <c r="D55" s="47"/>
      <c r="E55" s="47"/>
      <c r="F55" s="32">
        <f t="shared" ref="F55:M55" si="19">SUM(F56:F59)</f>
        <v>1459</v>
      </c>
      <c r="G55" s="33">
        <f t="shared" si="19"/>
        <v>5359907</v>
      </c>
      <c r="H55" s="33">
        <f t="shared" si="19"/>
        <v>78</v>
      </c>
      <c r="I55" s="33">
        <f t="shared" si="19"/>
        <v>1416404</v>
      </c>
      <c r="J55" s="33">
        <f t="shared" si="19"/>
        <v>0</v>
      </c>
      <c r="K55" s="33">
        <f t="shared" si="19"/>
        <v>0</v>
      </c>
      <c r="L55" s="33">
        <f t="shared" si="19"/>
        <v>40</v>
      </c>
      <c r="M55" s="33">
        <f t="shared" si="19"/>
        <v>3608755</v>
      </c>
      <c r="N55" s="17">
        <f t="shared" si="15"/>
        <v>10385066</v>
      </c>
      <c r="O55" s="1" t="s">
        <v>187</v>
      </c>
    </row>
    <row r="56" s="1" customFormat="1" spans="1:15">
      <c r="A56" s="49"/>
      <c r="B56" s="55" t="s">
        <v>82</v>
      </c>
      <c r="C56" s="56" t="s">
        <v>83</v>
      </c>
      <c r="D56" s="56"/>
      <c r="E56" s="56"/>
      <c r="F56" s="52">
        <v>0</v>
      </c>
      <c r="G56" s="20">
        <v>0</v>
      </c>
      <c r="H56" s="20">
        <v>0</v>
      </c>
      <c r="I56" s="20">
        <v>0</v>
      </c>
      <c r="J56" s="20">
        <v>0</v>
      </c>
      <c r="K56" s="20">
        <v>0</v>
      </c>
      <c r="L56" s="20">
        <v>0</v>
      </c>
      <c r="M56" s="20">
        <v>0</v>
      </c>
      <c r="N56" s="17">
        <f t="shared" si="15"/>
        <v>0</v>
      </c>
      <c r="O56" s="1" t="s">
        <v>188</v>
      </c>
    </row>
    <row r="57" s="1" customFormat="1" ht="130" spans="1:15">
      <c r="A57" s="23"/>
      <c r="B57" s="55" t="s">
        <v>84</v>
      </c>
      <c r="C57" s="56" t="s">
        <v>85</v>
      </c>
      <c r="D57" s="57" t="s">
        <v>189</v>
      </c>
      <c r="E57" s="57"/>
      <c r="F57" s="52">
        <v>178</v>
      </c>
      <c r="G57" s="20">
        <v>1737771</v>
      </c>
      <c r="H57" s="20">
        <v>18</v>
      </c>
      <c r="I57" s="20">
        <v>809860</v>
      </c>
      <c r="J57" s="20">
        <v>0</v>
      </c>
      <c r="K57" s="20">
        <v>0</v>
      </c>
      <c r="L57" s="20">
        <v>40</v>
      </c>
      <c r="M57" s="20">
        <v>3608755</v>
      </c>
      <c r="N57" s="17">
        <f t="shared" si="15"/>
        <v>6156386</v>
      </c>
      <c r="O57" s="1" t="s">
        <v>190</v>
      </c>
    </row>
    <row r="58" s="1" customFormat="1" ht="130" spans="1:15">
      <c r="A58" s="58"/>
      <c r="B58" s="55" t="s">
        <v>86</v>
      </c>
      <c r="C58" s="56" t="s">
        <v>87</v>
      </c>
      <c r="D58" s="57" t="s">
        <v>191</v>
      </c>
      <c r="E58" s="57"/>
      <c r="F58" s="52">
        <v>108</v>
      </c>
      <c r="G58" s="20">
        <v>1869585</v>
      </c>
      <c r="H58" s="20">
        <v>1</v>
      </c>
      <c r="I58" s="20">
        <v>8380</v>
      </c>
      <c r="J58" s="20">
        <v>0</v>
      </c>
      <c r="K58" s="20">
        <v>0</v>
      </c>
      <c r="L58" s="20">
        <v>0</v>
      </c>
      <c r="M58" s="20">
        <v>0</v>
      </c>
      <c r="N58" s="17">
        <f t="shared" si="15"/>
        <v>1877965</v>
      </c>
      <c r="O58" s="1" t="s">
        <v>192</v>
      </c>
    </row>
    <row r="59" s="1" customFormat="1" ht="140" spans="1:15">
      <c r="A59" s="58"/>
      <c r="B59" s="55" t="s">
        <v>88</v>
      </c>
      <c r="C59" s="18" t="s">
        <v>89</v>
      </c>
      <c r="D59" s="18" t="s">
        <v>193</v>
      </c>
      <c r="E59" s="18"/>
      <c r="F59" s="45">
        <v>1173</v>
      </c>
      <c r="G59" s="40">
        <v>1752551</v>
      </c>
      <c r="H59" s="40">
        <v>59</v>
      </c>
      <c r="I59" s="40">
        <v>598164</v>
      </c>
      <c r="J59" s="40">
        <v>0</v>
      </c>
      <c r="K59" s="40">
        <v>0</v>
      </c>
      <c r="L59" s="40">
        <v>0</v>
      </c>
      <c r="M59" s="40">
        <v>0</v>
      </c>
      <c r="N59" s="17">
        <f t="shared" si="15"/>
        <v>2350715</v>
      </c>
      <c r="O59" s="1" t="s">
        <v>194</v>
      </c>
    </row>
    <row r="60" s="1" customFormat="1" ht="147" spans="1:15">
      <c r="A60" s="59"/>
      <c r="B60" s="15">
        <v>8.3</v>
      </c>
      <c r="C60" s="14" t="s">
        <v>90</v>
      </c>
      <c r="D60" s="14" t="s">
        <v>195</v>
      </c>
      <c r="E60" s="14"/>
      <c r="F60" s="46">
        <v>1916</v>
      </c>
      <c r="G60" s="42">
        <v>1556588</v>
      </c>
      <c r="H60" s="42">
        <v>5</v>
      </c>
      <c r="I60" s="42">
        <v>3772</v>
      </c>
      <c r="J60" s="42">
        <v>0</v>
      </c>
      <c r="K60" s="42">
        <v>0</v>
      </c>
      <c r="L60" s="42">
        <v>0</v>
      </c>
      <c r="M60" s="42">
        <v>0</v>
      </c>
      <c r="N60" s="17">
        <f t="shared" si="15"/>
        <v>1560360</v>
      </c>
      <c r="O60" s="1" t="s">
        <v>196</v>
      </c>
    </row>
    <row r="61" s="1" customFormat="1" spans="1:15">
      <c r="A61" s="14">
        <v>9</v>
      </c>
      <c r="B61" s="15"/>
      <c r="C61" s="14" t="s">
        <v>91</v>
      </c>
      <c r="D61" s="14"/>
      <c r="E61" s="14"/>
      <c r="F61" s="16"/>
      <c r="G61" s="17">
        <f t="shared" ref="G61:K61" si="20">SUM(G62:G66)</f>
        <v>10139</v>
      </c>
      <c r="H61" s="17"/>
      <c r="I61" s="17">
        <f t="shared" si="20"/>
        <v>0</v>
      </c>
      <c r="J61" s="17"/>
      <c r="K61" s="17">
        <f t="shared" si="20"/>
        <v>0</v>
      </c>
      <c r="L61" s="17"/>
      <c r="M61" s="17">
        <f>SUM(M62:M66)</f>
        <v>0</v>
      </c>
      <c r="N61" s="17">
        <f t="shared" si="15"/>
        <v>10139</v>
      </c>
      <c r="O61" s="1" t="s">
        <v>197</v>
      </c>
    </row>
    <row r="62" s="1" customFormat="1" spans="1:15">
      <c r="A62" s="18"/>
      <c r="B62" s="19">
        <v>9.1</v>
      </c>
      <c r="C62" s="18" t="s">
        <v>92</v>
      </c>
      <c r="D62" s="18"/>
      <c r="E62" s="18"/>
      <c r="F62" s="16"/>
      <c r="G62" s="40">
        <v>0</v>
      </c>
      <c r="H62" s="17"/>
      <c r="I62" s="40">
        <v>0</v>
      </c>
      <c r="J62" s="17"/>
      <c r="K62" s="40">
        <v>0</v>
      </c>
      <c r="L62" s="66"/>
      <c r="M62" s="40">
        <v>0</v>
      </c>
      <c r="N62" s="17">
        <f t="shared" si="15"/>
        <v>0</v>
      </c>
      <c r="O62" s="1" t="s">
        <v>198</v>
      </c>
    </row>
    <row r="63" s="1" customFormat="1" spans="1:15">
      <c r="A63" s="18"/>
      <c r="B63" s="19">
        <v>9.2</v>
      </c>
      <c r="C63" s="18" t="s">
        <v>93</v>
      </c>
      <c r="D63" s="18"/>
      <c r="E63" s="18"/>
      <c r="F63" s="16"/>
      <c r="G63" s="40">
        <v>0</v>
      </c>
      <c r="H63" s="17"/>
      <c r="I63" s="40">
        <v>0</v>
      </c>
      <c r="J63" s="17"/>
      <c r="K63" s="40">
        <v>0</v>
      </c>
      <c r="L63" s="66"/>
      <c r="M63" s="40">
        <v>0</v>
      </c>
      <c r="N63" s="17">
        <f t="shared" si="15"/>
        <v>0</v>
      </c>
      <c r="O63" s="1" t="s">
        <v>199</v>
      </c>
    </row>
    <row r="64" s="1" customFormat="1" spans="1:15">
      <c r="A64" s="23"/>
      <c r="B64" s="19">
        <v>9.3</v>
      </c>
      <c r="C64" s="18" t="s">
        <v>94</v>
      </c>
      <c r="D64" s="18" t="s">
        <v>200</v>
      </c>
      <c r="E64" s="18"/>
      <c r="F64" s="16"/>
      <c r="G64" s="42">
        <v>10139</v>
      </c>
      <c r="H64" s="17"/>
      <c r="I64" s="42">
        <v>0</v>
      </c>
      <c r="J64" s="17"/>
      <c r="K64" s="42">
        <v>0</v>
      </c>
      <c r="L64" s="66"/>
      <c r="M64" s="42">
        <v>0</v>
      </c>
      <c r="N64" s="17">
        <f t="shared" si="15"/>
        <v>10139</v>
      </c>
      <c r="O64" s="1" t="s">
        <v>201</v>
      </c>
    </row>
    <row r="65" s="1" customFormat="1" spans="1:15">
      <c r="A65" s="23"/>
      <c r="B65" s="19">
        <v>9.4</v>
      </c>
      <c r="C65" s="18" t="s">
        <v>95</v>
      </c>
      <c r="D65" s="18"/>
      <c r="E65" s="18"/>
      <c r="F65" s="16"/>
      <c r="G65" s="24">
        <f>0</f>
        <v>0</v>
      </c>
      <c r="H65" s="17"/>
      <c r="I65" s="24">
        <f>0</f>
        <v>0</v>
      </c>
      <c r="J65" s="17"/>
      <c r="K65" s="40">
        <v>0</v>
      </c>
      <c r="L65" s="66"/>
      <c r="M65" s="40">
        <v>0</v>
      </c>
      <c r="N65" s="17">
        <f t="shared" si="15"/>
        <v>0</v>
      </c>
      <c r="O65" s="1" t="s">
        <v>202</v>
      </c>
    </row>
    <row r="66" s="1" customFormat="1" spans="1:15">
      <c r="A66" s="23"/>
      <c r="B66" s="19">
        <v>9.5</v>
      </c>
      <c r="C66" s="18" t="s">
        <v>96</v>
      </c>
      <c r="D66" s="18"/>
      <c r="E66" s="18"/>
      <c r="F66" s="16"/>
      <c r="G66" s="40">
        <v>0</v>
      </c>
      <c r="H66" s="17"/>
      <c r="I66" s="40">
        <v>0</v>
      </c>
      <c r="J66" s="17"/>
      <c r="K66" s="40">
        <v>0</v>
      </c>
      <c r="L66" s="66"/>
      <c r="M66" s="40">
        <v>0</v>
      </c>
      <c r="N66" s="17">
        <f t="shared" si="15"/>
        <v>0</v>
      </c>
      <c r="O66" s="1" t="s">
        <v>203</v>
      </c>
    </row>
    <row r="67" s="1" customFormat="1" ht="127" customHeight="1" spans="1:15">
      <c r="A67" s="67">
        <v>10</v>
      </c>
      <c r="B67" s="15"/>
      <c r="C67" s="14" t="s">
        <v>97</v>
      </c>
      <c r="D67" s="68" t="s">
        <v>204</v>
      </c>
      <c r="E67" s="14"/>
      <c r="F67" s="16"/>
      <c r="G67" s="20">
        <v>2816</v>
      </c>
      <c r="H67" s="17"/>
      <c r="I67" s="20">
        <v>0</v>
      </c>
      <c r="J67" s="17"/>
      <c r="K67" s="24">
        <f>0</f>
        <v>0</v>
      </c>
      <c r="L67" s="66"/>
      <c r="M67" s="24">
        <f>0</f>
        <v>0</v>
      </c>
      <c r="N67" s="17">
        <f t="shared" si="15"/>
        <v>2816</v>
      </c>
      <c r="O67" s="1" t="s">
        <v>205</v>
      </c>
    </row>
    <row r="68" s="1" customFormat="1" spans="1:15">
      <c r="A68" s="67">
        <v>11</v>
      </c>
      <c r="B68" s="15"/>
      <c r="C68" s="14" t="s">
        <v>98</v>
      </c>
      <c r="D68" s="14"/>
      <c r="E68" s="14"/>
      <c r="F68" s="16"/>
      <c r="G68" s="17">
        <f t="shared" ref="G68:K68" si="21">SUM(G69:G76)</f>
        <v>334546</v>
      </c>
      <c r="H68" s="17"/>
      <c r="I68" s="17">
        <f t="shared" si="21"/>
        <v>144336</v>
      </c>
      <c r="J68" s="17"/>
      <c r="K68" s="17">
        <f t="shared" si="21"/>
        <v>2405</v>
      </c>
      <c r="L68" s="66"/>
      <c r="M68" s="17">
        <f>SUM(M69:M76)</f>
        <v>14146</v>
      </c>
      <c r="N68" s="17">
        <f t="shared" si="15"/>
        <v>495433</v>
      </c>
      <c r="O68" s="1" t="s">
        <v>206</v>
      </c>
    </row>
    <row r="69" s="1" customFormat="1" ht="30" spans="1:15">
      <c r="A69" s="69"/>
      <c r="B69" s="19">
        <v>11.1</v>
      </c>
      <c r="C69" s="18" t="s">
        <v>99</v>
      </c>
      <c r="D69" s="18" t="s">
        <v>207</v>
      </c>
      <c r="E69" s="18"/>
      <c r="F69" s="16"/>
      <c r="G69" s="20">
        <v>25801</v>
      </c>
      <c r="H69" s="17"/>
      <c r="I69" s="20">
        <v>88912</v>
      </c>
      <c r="J69" s="17"/>
      <c r="K69" s="20">
        <v>2405</v>
      </c>
      <c r="L69" s="66"/>
      <c r="M69" s="20">
        <v>14146</v>
      </c>
      <c r="N69" s="17">
        <f t="shared" si="15"/>
        <v>131264</v>
      </c>
      <c r="O69" s="1" t="s">
        <v>208</v>
      </c>
    </row>
    <row r="70" s="1" customFormat="1" spans="1:15">
      <c r="A70" s="69"/>
      <c r="B70" s="70">
        <v>11.2</v>
      </c>
      <c r="C70" s="18" t="s">
        <v>100</v>
      </c>
      <c r="D70" s="18"/>
      <c r="E70" s="18"/>
      <c r="F70" s="16"/>
      <c r="G70" s="20">
        <v>425</v>
      </c>
      <c r="H70" s="17"/>
      <c r="I70" s="20">
        <v>0</v>
      </c>
      <c r="J70" s="17"/>
      <c r="K70" s="20">
        <v>0</v>
      </c>
      <c r="L70" s="66"/>
      <c r="M70" s="20">
        <v>0</v>
      </c>
      <c r="N70" s="17">
        <f t="shared" si="15"/>
        <v>425</v>
      </c>
      <c r="O70" s="1" t="s">
        <v>209</v>
      </c>
    </row>
    <row r="71" s="1" customFormat="1" spans="1:15">
      <c r="A71" s="69"/>
      <c r="B71" s="19">
        <v>11.3</v>
      </c>
      <c r="C71" s="18" t="s">
        <v>101</v>
      </c>
      <c r="D71" s="18"/>
      <c r="E71" s="18"/>
      <c r="F71" s="16"/>
      <c r="G71" s="20">
        <v>0</v>
      </c>
      <c r="H71" s="17"/>
      <c r="I71" s="20">
        <v>0</v>
      </c>
      <c r="J71" s="17"/>
      <c r="K71" s="20">
        <v>0</v>
      </c>
      <c r="L71" s="66"/>
      <c r="M71" s="20">
        <v>0</v>
      </c>
      <c r="N71" s="17">
        <f t="shared" si="15"/>
        <v>0</v>
      </c>
      <c r="O71" s="1" t="s">
        <v>210</v>
      </c>
    </row>
    <row r="72" s="1" customFormat="1" spans="1:15">
      <c r="A72" s="69"/>
      <c r="B72" s="19">
        <v>11.4</v>
      </c>
      <c r="C72" s="18" t="s">
        <v>102</v>
      </c>
      <c r="D72" s="18"/>
      <c r="E72" s="18"/>
      <c r="F72" s="16"/>
      <c r="G72" s="20">
        <v>0</v>
      </c>
      <c r="H72" s="17"/>
      <c r="I72" s="20">
        <v>0</v>
      </c>
      <c r="J72" s="17"/>
      <c r="K72" s="20">
        <v>0</v>
      </c>
      <c r="L72" s="66"/>
      <c r="M72" s="20">
        <v>0</v>
      </c>
      <c r="N72" s="17">
        <f t="shared" si="15"/>
        <v>0</v>
      </c>
      <c r="O72" s="1" t="s">
        <v>211</v>
      </c>
    </row>
    <row r="73" s="1" customFormat="1" spans="1:15">
      <c r="A73" s="71"/>
      <c r="B73" s="70">
        <v>11.5</v>
      </c>
      <c r="C73" s="18" t="s">
        <v>103</v>
      </c>
      <c r="D73" s="18"/>
      <c r="E73" s="18"/>
      <c r="F73" s="16"/>
      <c r="G73" s="20">
        <v>0</v>
      </c>
      <c r="H73" s="17"/>
      <c r="I73" s="20">
        <v>0</v>
      </c>
      <c r="J73" s="17"/>
      <c r="K73" s="20">
        <v>0</v>
      </c>
      <c r="L73" s="66"/>
      <c r="M73" s="20">
        <v>0</v>
      </c>
      <c r="N73" s="17">
        <f t="shared" si="15"/>
        <v>0</v>
      </c>
      <c r="O73" s="1" t="s">
        <v>212</v>
      </c>
    </row>
    <row r="74" s="1" customFormat="1" spans="1:15">
      <c r="A74" s="69"/>
      <c r="B74" s="19">
        <v>11.6</v>
      </c>
      <c r="C74" s="18" t="s">
        <v>104</v>
      </c>
      <c r="D74" s="18"/>
      <c r="E74" s="18"/>
      <c r="F74" s="16"/>
      <c r="G74" s="20">
        <v>0</v>
      </c>
      <c r="H74" s="17"/>
      <c r="I74" s="20">
        <v>0</v>
      </c>
      <c r="J74" s="17"/>
      <c r="K74" s="20">
        <v>0</v>
      </c>
      <c r="L74" s="66"/>
      <c r="M74" s="20">
        <v>0</v>
      </c>
      <c r="N74" s="17">
        <f t="shared" si="15"/>
        <v>0</v>
      </c>
      <c r="O74" s="1" t="s">
        <v>213</v>
      </c>
    </row>
    <row r="75" s="1" customFormat="1" ht="237.5" spans="1:15">
      <c r="A75" s="69"/>
      <c r="B75" s="19">
        <v>11.7</v>
      </c>
      <c r="C75" s="18" t="s">
        <v>105</v>
      </c>
      <c r="D75" s="72" t="s">
        <v>214</v>
      </c>
      <c r="E75" s="18"/>
      <c r="F75" s="16"/>
      <c r="G75" s="20">
        <v>308320</v>
      </c>
      <c r="H75" s="17"/>
      <c r="I75" s="20">
        <v>55424</v>
      </c>
      <c r="J75" s="17"/>
      <c r="K75" s="20">
        <v>0</v>
      </c>
      <c r="L75" s="66"/>
      <c r="M75" s="20">
        <v>0</v>
      </c>
      <c r="N75" s="17">
        <f t="shared" si="15"/>
        <v>363744</v>
      </c>
      <c r="O75" s="1" t="s">
        <v>215</v>
      </c>
    </row>
    <row r="76" s="1" customFormat="1" spans="1:15">
      <c r="A76" s="69"/>
      <c r="B76" s="19">
        <v>11.8</v>
      </c>
      <c r="C76" s="18" t="s">
        <v>106</v>
      </c>
      <c r="D76" s="18"/>
      <c r="E76" s="18"/>
      <c r="F76" s="16"/>
      <c r="G76" s="20">
        <v>0</v>
      </c>
      <c r="H76" s="17"/>
      <c r="I76" s="20">
        <v>0</v>
      </c>
      <c r="J76" s="17"/>
      <c r="K76" s="20">
        <v>0</v>
      </c>
      <c r="L76" s="66"/>
      <c r="M76" s="20">
        <v>0</v>
      </c>
      <c r="N76" s="17">
        <f t="shared" si="15"/>
        <v>0</v>
      </c>
      <c r="O76" s="1" t="s">
        <v>216</v>
      </c>
    </row>
    <row r="77" s="1" customFormat="1" spans="1:15">
      <c r="A77" s="67">
        <v>12</v>
      </c>
      <c r="B77" s="73"/>
      <c r="C77" s="14" t="s">
        <v>107</v>
      </c>
      <c r="D77" s="14"/>
      <c r="E77" s="14"/>
      <c r="F77" s="16"/>
      <c r="G77" s="17">
        <f t="shared" ref="G77:K77" si="22">SUM(G78:G84)</f>
        <v>0</v>
      </c>
      <c r="H77" s="17"/>
      <c r="I77" s="17">
        <f t="shared" si="22"/>
        <v>0</v>
      </c>
      <c r="J77" s="17"/>
      <c r="K77" s="17">
        <f t="shared" si="22"/>
        <v>0</v>
      </c>
      <c r="L77" s="66"/>
      <c r="M77" s="17">
        <f>SUM(M78:M84)</f>
        <v>0</v>
      </c>
      <c r="N77" s="17">
        <f t="shared" si="15"/>
        <v>0</v>
      </c>
      <c r="O77" s="1" t="s">
        <v>217</v>
      </c>
    </row>
    <row r="78" s="1" customFormat="1" ht="20" spans="1:15">
      <c r="A78" s="69"/>
      <c r="B78" s="70">
        <v>12.1</v>
      </c>
      <c r="C78" s="18" t="s">
        <v>108</v>
      </c>
      <c r="D78" s="18"/>
      <c r="E78" s="18"/>
      <c r="F78" s="16"/>
      <c r="G78" s="74">
        <v>0</v>
      </c>
      <c r="H78" s="75"/>
      <c r="I78" s="74">
        <v>0</v>
      </c>
      <c r="J78" s="75"/>
      <c r="K78" s="74">
        <v>0</v>
      </c>
      <c r="L78" s="66"/>
      <c r="M78" s="74">
        <v>0</v>
      </c>
      <c r="N78" s="75">
        <f t="shared" si="15"/>
        <v>0</v>
      </c>
      <c r="O78" s="1" t="s">
        <v>218</v>
      </c>
    </row>
    <row r="79" s="1" customFormat="1" spans="1:15">
      <c r="A79" s="69"/>
      <c r="B79" s="70">
        <v>12.2</v>
      </c>
      <c r="C79" s="18" t="s">
        <v>109</v>
      </c>
      <c r="D79" s="18"/>
      <c r="E79" s="18"/>
      <c r="F79" s="16"/>
      <c r="G79" s="74">
        <v>0</v>
      </c>
      <c r="H79" s="75"/>
      <c r="I79" s="74">
        <v>0</v>
      </c>
      <c r="J79" s="75"/>
      <c r="K79" s="74">
        <v>0</v>
      </c>
      <c r="L79" s="81"/>
      <c r="M79" s="74">
        <v>0</v>
      </c>
      <c r="N79" s="75">
        <f t="shared" si="15"/>
        <v>0</v>
      </c>
      <c r="O79" s="1" t="s">
        <v>219</v>
      </c>
    </row>
    <row r="80" s="1" customFormat="1" ht="20" spans="1:15">
      <c r="A80" s="69"/>
      <c r="B80" s="70">
        <v>12.3</v>
      </c>
      <c r="C80" s="18" t="s">
        <v>110</v>
      </c>
      <c r="D80" s="18"/>
      <c r="E80" s="18"/>
      <c r="F80" s="16"/>
      <c r="G80" s="74">
        <v>0</v>
      </c>
      <c r="H80" s="75"/>
      <c r="I80" s="74">
        <v>0</v>
      </c>
      <c r="J80" s="75"/>
      <c r="K80" s="74">
        <v>0</v>
      </c>
      <c r="L80" s="81"/>
      <c r="M80" s="74">
        <v>0</v>
      </c>
      <c r="N80" s="75">
        <f t="shared" si="15"/>
        <v>0</v>
      </c>
      <c r="O80" s="1" t="s">
        <v>220</v>
      </c>
    </row>
    <row r="81" s="1" customFormat="1" spans="1:15">
      <c r="A81" s="69"/>
      <c r="B81" s="70">
        <v>12.4</v>
      </c>
      <c r="C81" s="18" t="s">
        <v>111</v>
      </c>
      <c r="D81" s="18"/>
      <c r="E81" s="18"/>
      <c r="F81" s="16"/>
      <c r="G81" s="74">
        <v>0</v>
      </c>
      <c r="H81" s="75"/>
      <c r="I81" s="74">
        <v>0</v>
      </c>
      <c r="J81" s="75"/>
      <c r="K81" s="74">
        <v>0</v>
      </c>
      <c r="L81" s="81"/>
      <c r="M81" s="74">
        <v>0</v>
      </c>
      <c r="N81" s="75">
        <f t="shared" si="15"/>
        <v>0</v>
      </c>
      <c r="O81" s="1" t="s">
        <v>221</v>
      </c>
    </row>
    <row r="82" s="1" customFormat="1" spans="1:15">
      <c r="A82" s="71"/>
      <c r="B82" s="70">
        <v>12.5</v>
      </c>
      <c r="C82" s="18" t="s">
        <v>112</v>
      </c>
      <c r="D82" s="18"/>
      <c r="E82" s="18"/>
      <c r="F82" s="16"/>
      <c r="G82" s="74">
        <v>0</v>
      </c>
      <c r="H82" s="75"/>
      <c r="I82" s="74">
        <v>0</v>
      </c>
      <c r="J82" s="75"/>
      <c r="K82" s="74">
        <v>0</v>
      </c>
      <c r="L82" s="81"/>
      <c r="M82" s="74">
        <v>0</v>
      </c>
      <c r="N82" s="75">
        <f t="shared" si="15"/>
        <v>0</v>
      </c>
      <c r="O82" s="1" t="s">
        <v>222</v>
      </c>
    </row>
    <row r="83" s="1" customFormat="1" spans="1:15">
      <c r="A83" s="71"/>
      <c r="B83" s="70">
        <v>12.6</v>
      </c>
      <c r="C83" s="18" t="s">
        <v>113</v>
      </c>
      <c r="D83" s="18"/>
      <c r="E83" s="18"/>
      <c r="F83" s="16"/>
      <c r="G83" s="74">
        <v>0</v>
      </c>
      <c r="H83" s="75"/>
      <c r="I83" s="74">
        <v>0</v>
      </c>
      <c r="J83" s="75"/>
      <c r="K83" s="74">
        <v>0</v>
      </c>
      <c r="L83" s="81"/>
      <c r="M83" s="74">
        <v>0</v>
      </c>
      <c r="N83" s="75">
        <f t="shared" si="15"/>
        <v>0</v>
      </c>
      <c r="O83" s="1" t="s">
        <v>223</v>
      </c>
    </row>
    <row r="84" s="1" customFormat="1" spans="1:15">
      <c r="A84" s="71"/>
      <c r="B84" s="70">
        <v>12.7</v>
      </c>
      <c r="C84" s="18" t="s">
        <v>114</v>
      </c>
      <c r="D84" s="18"/>
      <c r="E84" s="18"/>
      <c r="F84" s="16"/>
      <c r="G84" s="74">
        <v>0</v>
      </c>
      <c r="H84" s="75"/>
      <c r="I84" s="74">
        <v>0</v>
      </c>
      <c r="J84" s="75"/>
      <c r="K84" s="74">
        <v>0</v>
      </c>
      <c r="L84" s="81"/>
      <c r="M84" s="74">
        <v>0</v>
      </c>
      <c r="N84" s="75">
        <f t="shared" si="15"/>
        <v>0</v>
      </c>
      <c r="O84" s="1" t="s">
        <v>224</v>
      </c>
    </row>
    <row r="85" s="1" customFormat="1" spans="1:15">
      <c r="A85" s="67">
        <v>13</v>
      </c>
      <c r="B85" s="73"/>
      <c r="C85" s="14" t="s">
        <v>115</v>
      </c>
      <c r="D85" s="14"/>
      <c r="E85" s="14"/>
      <c r="F85" s="16"/>
      <c r="G85" s="17">
        <f>+G77+G68+G67+G61+G48+G41+G38+G28+G24+G17+G13+G5</f>
        <v>10971521</v>
      </c>
      <c r="H85" s="17"/>
      <c r="I85" s="17">
        <f t="shared" ref="I85:M85" si="23">+I77+I68+I67+I61+I48+I45+I42+I38+I28+I24+I17+I13+I5</f>
        <v>3173359</v>
      </c>
      <c r="J85" s="17"/>
      <c r="K85" s="17">
        <f t="shared" si="23"/>
        <v>3527</v>
      </c>
      <c r="L85" s="17"/>
      <c r="M85" s="17">
        <f t="shared" si="23"/>
        <v>10470149</v>
      </c>
      <c r="N85" s="17">
        <f t="shared" si="15"/>
        <v>24618556</v>
      </c>
      <c r="O85" s="1" t="s">
        <v>225</v>
      </c>
    </row>
    <row r="86" s="1" customFormat="1" spans="1:14">
      <c r="A86" s="76"/>
      <c r="B86" s="77"/>
      <c r="C86" s="78" t="s">
        <v>116</v>
      </c>
      <c r="D86" s="79"/>
      <c r="E86" s="79"/>
      <c r="F86" s="76"/>
      <c r="G86" s="80"/>
      <c r="H86" s="80"/>
      <c r="I86" s="80"/>
      <c r="J86" s="80"/>
      <c r="K86" s="80"/>
      <c r="L86" s="80"/>
      <c r="M86" s="80"/>
      <c r="N86" s="77"/>
    </row>
  </sheetData>
  <mergeCells count="11">
    <mergeCell ref="A1:N1"/>
    <mergeCell ref="F2:I2"/>
    <mergeCell ref="J2:M2"/>
    <mergeCell ref="F3:G3"/>
    <mergeCell ref="H3:I3"/>
    <mergeCell ref="J3:K3"/>
    <mergeCell ref="L3:M3"/>
    <mergeCell ref="A86:B86"/>
    <mergeCell ref="F86:N86"/>
    <mergeCell ref="N2:N4"/>
    <mergeCell ref="A2:C3"/>
  </mergeCells>
  <dataValidations count="2">
    <dataValidation type="whole" operator="between" allowBlank="1" showInputMessage="1" showErrorMessage="1" error="Please input a valid data!" sqref="F5:F40 F61:F85 H5:H40 H61:H85 J5:J40 J61:J85 L5:L40 L61:L85">
      <formula1>-1000000000000</formula1>
      <formula2>1000000000000</formula2>
    </dataValidation>
    <dataValidation type="whole" operator="greaterThanOrEqual" allowBlank="1" showInputMessage="1" showErrorMessage="1" error="Please input a valid data!" sqref="G5:G40 G61:G85 I5:I40 I61:I85 K5:K40 K61:K85 M5:N40 F41:N60 M61:N85">
      <formula1>0</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2</vt:i4>
      </vt:variant>
    </vt:vector>
  </HeadingPairs>
  <TitlesOfParts>
    <vt:vector size="2" baseType="lpstr">
      <vt:lpstr>Sheet1</vt:lpstr>
      <vt:lpstr>MAPPING_DOCUMENT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sayshri</dc:creator>
  <cp:lastModifiedBy>sayshri</cp:lastModifiedBy>
  <dcterms:created xsi:type="dcterms:W3CDTF">2024-02-05T05:24:00Z</dcterms:created>
  <dcterms:modified xsi:type="dcterms:W3CDTF">2024-02-05T12:07:40Z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9DEAF626BE184B95A8715873F4C05013_11</vt:lpwstr>
  </property>
  <property fmtid="{D5CDD505-2E9C-101B-9397-08002B2CF9AE}" pid="3" name="KSOProductBuildVer">
    <vt:lpwstr>1033-12.2.0.13431</vt:lpwstr>
  </property>
</Properties>
</file>