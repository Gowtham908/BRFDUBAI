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BRF56_MAPPING_DOCUMENT" sheetId="1" r:id="rId1"/>
  </sheets>
  <calcPr calcId="144525"/>
</workbook>
</file>

<file path=xl/sharedStrings.xml><?xml version="1.0" encoding="utf-8"?>
<sst xmlns="http://schemas.openxmlformats.org/spreadsheetml/2006/main" count="169" uniqueCount="111">
  <si>
    <t>BANKING AND MONETARY STATISTICS- EMIRATE- WISE CLASSIFICATION OF LOANS &amp; ADVANCES- BRF 56 (AED IN 000)</t>
  </si>
  <si>
    <t>BRF item Nos</t>
  </si>
  <si>
    <t>Number of customers</t>
  </si>
  <si>
    <t xml:space="preserve">TOTAL </t>
  </si>
  <si>
    <t>ABU DHABI-SOL ID 9001</t>
  </si>
  <si>
    <t>DUBAI-SOL ID 9002</t>
  </si>
  <si>
    <t>SHARJAH-SOL ID 9003</t>
  </si>
  <si>
    <t>AJMAN-SOL ID 9004</t>
  </si>
  <si>
    <t>RAS AL KHAIMA-SOL ID 9005</t>
  </si>
  <si>
    <t>UMM AL QWAIN--SOL ID 9008</t>
  </si>
  <si>
    <t>FUJAIRAH-SOL ID 9010</t>
  </si>
  <si>
    <t>Number of Accounts</t>
  </si>
  <si>
    <t>Amount</t>
  </si>
  <si>
    <t xml:space="preserve">         RESIDENT</t>
  </si>
  <si>
    <t xml:space="preserve"> NON-RESIDENT</t>
  </si>
  <si>
    <t>No</t>
  </si>
  <si>
    <t>ASSETS</t>
  </si>
  <si>
    <t>Male</t>
  </si>
  <si>
    <t>Female</t>
  </si>
  <si>
    <t>Entities</t>
  </si>
  <si>
    <t>Total</t>
  </si>
  <si>
    <t>Nos</t>
  </si>
  <si>
    <t>NON BANKING FINANCIAL INSTITUTIONS</t>
  </si>
  <si>
    <t>LOGIC</t>
  </si>
  <si>
    <t>Loans and advances</t>
  </si>
  <si>
    <t>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not in (GOVTF, CGOVB, CB, GOVT, GOVTL ,GOVTE , PSENO, PSEN, PSEC, PSECO) and legal entity in (NBFC AND MXC)</t>
  </si>
  <si>
    <t>Placements</t>
  </si>
  <si>
    <t>Lending covered by repurchase agreements</t>
  </si>
  <si>
    <t>TRADE BILLS</t>
  </si>
  <si>
    <t xml:space="preserve">TRADE BILLS DISCOUNTED- Gov &amp; Public </t>
  </si>
  <si>
    <t>7.1.1</t>
  </si>
  <si>
    <t>Inland trade bills/ PDCs</t>
  </si>
  <si>
    <t>7.1.2</t>
  </si>
  <si>
    <t>Foreign trade bills (Import and export)</t>
  </si>
  <si>
    <t>TRADE BILLS DISCOUNTED- Private</t>
  </si>
  <si>
    <t>7.2.1</t>
  </si>
  <si>
    <t>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not in (GOVTF, CGOVB, CB, GOVT, GOVTL ,GOVTE , PSENO, PSEN, PSEC, PSECO,NBFC AND MXC)  and purpose advance not in ( 9001, 9002, 9003, 9004, 9005, 9007, 9009, 9034, 9035, 9036 and 9037) and include the gl_sub_head_code (24101,24102, 24116, 24117, 24122, 24146)</t>
  </si>
  <si>
    <t>7.2.2</t>
  </si>
  <si>
    <t>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not in (GOVTF, CGOVB, CB, GOVT, GOVTL ,GOVTE , PSENO, PSEN, PSEC, PSECO,NBFC AND MXC)  and purpose advance not in ( 9001, 9002, 9003, 9004, 9005, 9007, 9009, 9034, 9035, 9036 and 9037) and include the gl_sub_head_code 24171, 24176, 24181)</t>
  </si>
  <si>
    <t>LOANS &amp; ADVANCES (GROSS) excl # 7</t>
  </si>
  <si>
    <t>Government &amp; Public Sector</t>
  </si>
  <si>
    <t>8.1.1</t>
  </si>
  <si>
    <t xml:space="preserve">Federal Govt </t>
  </si>
  <si>
    <t xml:space="preserve">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in (GOVTF, CGOVB, CB, GOVT, GOVTL)  </t>
  </si>
  <si>
    <t>8.1.2</t>
  </si>
  <si>
    <t>Non Commercial entities (Federal Govt)</t>
  </si>
  <si>
    <t>8.1.3</t>
  </si>
  <si>
    <t>Local Governments</t>
  </si>
  <si>
    <t xml:space="preserve">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in (GOVTE )  </t>
  </si>
  <si>
    <t>8.1.4</t>
  </si>
  <si>
    <t>Non-commercial entities (Emirates Govt)</t>
  </si>
  <si>
    <t xml:space="preserve">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in (PSENO, PSEN,  ) </t>
  </si>
  <si>
    <t>8.1.5</t>
  </si>
  <si>
    <t>GREs (Govt ownership more than 50%) (BRF 52 C)</t>
  </si>
  <si>
    <t xml:space="preserve">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in (PSEC, PSECO  ) </t>
  </si>
  <si>
    <t>8.2</t>
  </si>
  <si>
    <t>Private Sector (corporate)</t>
  </si>
  <si>
    <t>8.2.1</t>
  </si>
  <si>
    <t>Corporates with Govt ownership of less than 50%</t>
  </si>
  <si>
    <t>8.2.2</t>
  </si>
  <si>
    <t>Other corporates</t>
  </si>
  <si>
    <t>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not in (GOVTF, CGOVB, CB, GOVT, GOVTL ,GOVTE , PSENO, PSEN, PSEC, PSECO,NBFC AND MXC)  and purpose advance not in ( 9001, 9002, 9003, 9004, 9005, 9007, 9009, 9034, 9035, 9036 and 9037) and include the gl_sub_head_code not in  (24101,24102, 24116, 24117, 24122, 24146,24171, 24176, 24181) and turnover should be greater than 200million</t>
  </si>
  <si>
    <t>8.2.3</t>
  </si>
  <si>
    <t>High Networth Individuals (HNI)</t>
  </si>
  <si>
    <t>Accounts include with constitution code in  (44101, 44102, 44103, 44104, 44105, 44106, 44107, 44108, 44109, 44110, 44111, 44112, 44113, 44114, 44115, 44116, 44199, 44201, 44202, 44203, 44204, 44205, 44206, 44207, 44208, 44209, 44210, 44211, 44212, 44213, 44214, 44215, 44216, 44217, 44299, 71005, HUFJT, INDL,INDL , INDVF, INDVM, NREIN, RESIN, and WPS) and networth should be greater than 20 million</t>
  </si>
  <si>
    <t>8.2.4</t>
  </si>
  <si>
    <t>Small &amp; Medium Enterprises (SMEs)</t>
  </si>
  <si>
    <t>Accounts include with constitution code other than (44101, 44102, 44103, 44104, 44105, 44106, 44107, 44108, 44109, 44110, 44111, 44112, 44113, 44114, 44115, 44116, 44199, 44201, 44202, 44203, 44204, 44205, 44206, 44207, 44208, 44209, 44210, 44211, 44212, 44213, 44214, 44215, 44216, 44217, 44299, 71005, HUFJT, INDL,INDL , INDVF, INDVM, NREIN, RESIN, and WPS) and legal entity not in (GOVTF, CGOVB, CB, GOVT, GOVTL ,GOVTE , PSENO, PSEN, PSEC, PSECO,NBFC AND MXC)  and purpose advance not in ( 9001, 9002, 9003, 9004, 9005, 9007, 9009, 9034, 9035, 9036 and 9037) and include the gl_sub_head_code not in  (24101,24102, 24116, 24117, 24122, 24146,24171, 24176, 24181) and turnover should be lesser than equal to 200million</t>
  </si>
  <si>
    <t>Individuals (BRF 31)</t>
  </si>
  <si>
    <t>Accounts include with constitution code in  (44101, 44102, 44103, 44104, 44105, 44106, 44107, 44108, 44109, 44110, 44111, 44112, 44113, 44114, 44115, 44116, 44199, 44201, 44202, 44203, 44204, 44205, 44206, 44207, 44208, 44209, 44210, 44211, 44212, 44213, 44214, 44215, 44216, 44217, 44299, 71005, HUFJT, INDL,INDL , INDVF, INDVM, NREIN, RESIN, and WPS) and networth should be lesser than equal to 20 million</t>
  </si>
  <si>
    <t>8.3.1</t>
  </si>
  <si>
    <t>UAE Nationals</t>
  </si>
  <si>
    <t>MENTION COUNTRY OF INCORP IN 'AE'</t>
  </si>
  <si>
    <t>8.3.1.1</t>
  </si>
  <si>
    <t>Personal consumer loans</t>
  </si>
  <si>
    <t>Include  account details with gl_sub_head_code in ('41071','41131') and gl_code in ('41100') and  BACID IN ('41071001', '41131001', '41071018', '41071035')</t>
  </si>
  <si>
    <t>8.3.1.2</t>
  </si>
  <si>
    <t>Car loans</t>
  </si>
  <si>
    <t>INCLUDE THE ACCOUT DETAILS WITH gl_sub_head_code in ('41071','41141') and gl_code in ('41100') and  BACID IN ('41071017','41141055')</t>
  </si>
  <si>
    <t>8.3.1.3</t>
  </si>
  <si>
    <t>Overdraft</t>
  </si>
  <si>
    <t>INCLUDE THE ACCOUNT WITH (acct_number LIKE '%141101003%'
   OR acct_number LIKE '%1641051001%'
   OR acct_number LIKE '%141051001%'
   OR acct_number LIKE '%141071001%'
   OR acct_number LIKE '%1641101003%'
   OR acct_number LIKE '%1641101004%'
   OR acct_number LIKE '%141101003%'
   OR acct_number LIKE '%141101004%'
   OR acct_number LIKE '%341051001%')</t>
  </si>
  <si>
    <t>8.3.1.4</t>
  </si>
  <si>
    <t>Credit card outstanding</t>
  </si>
  <si>
    <t>NIL</t>
  </si>
  <si>
    <t>8.3.1.5</t>
  </si>
  <si>
    <t xml:space="preserve">Refinanced Government Housing Loans </t>
  </si>
  <si>
    <t>8.3.1.6</t>
  </si>
  <si>
    <t>Other Real Estate/ housing loans</t>
  </si>
  <si>
    <t>INCLUDE THE ACCOUNT WITH gl_sub_head_code in ('41131', '41141') and gl_code in ('41100') and  BACID IN ('41131004','41141029')</t>
  </si>
  <si>
    <t>8.3.1.7</t>
  </si>
  <si>
    <t>Loans against shares to individuals</t>
  </si>
  <si>
    <t>8.3.1.8</t>
  </si>
  <si>
    <t>Other loans to individuals</t>
  </si>
  <si>
    <t>INCLUDE THE ACCOUNTS WITH gl_sub_head_code in ('41101') and gl_code in ('41100') and  BACID IN ('41101001','41101002')</t>
  </si>
  <si>
    <t>8.3.1.9</t>
  </si>
  <si>
    <t>Small business loans (upto AED 2 Million)</t>
  </si>
  <si>
    <t>INCUDE THE ACCOUNTS WITH gl_sub_head_code in ('41071') and gl_code in ('41100') and  BACID IN ('41071036')</t>
  </si>
  <si>
    <t>8.3.2</t>
  </si>
  <si>
    <t>Non-  UAE Nationals</t>
  </si>
  <si>
    <t>COUNTRY OF INCORP NOT IN 'AE'</t>
  </si>
  <si>
    <t>8.3.2.1</t>
  </si>
  <si>
    <t>8.3.2.2</t>
  </si>
  <si>
    <t>8.3.2.3</t>
  </si>
  <si>
    <t>8.3.2.4</t>
  </si>
  <si>
    <t>8.3.2.5</t>
  </si>
  <si>
    <t>Real Estate/ housing loans</t>
  </si>
  <si>
    <t>8.3.2.6</t>
  </si>
  <si>
    <t>8.3.2.7</t>
  </si>
  <si>
    <t>8.3.2.8</t>
  </si>
  <si>
    <t xml:space="preserve">FORM NO: BSD/ BRF 56-EMIRATES ASSETS/JUN14          </t>
  </si>
</sst>
</file>

<file path=xl/styles.xml><?xml version="1.0" encoding="utf-8"?>
<styleSheet xmlns="http://schemas.openxmlformats.org/spreadsheetml/2006/main" xmlns:xr9="http://schemas.microsoft.com/office/spreadsheetml/2016/revision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9">
    <font>
      <sz val="11"/>
      <color theme="1"/>
      <name val="Calibri"/>
      <charset val="134"/>
      <scheme val="minor"/>
    </font>
    <font>
      <b/>
      <sz val="12"/>
      <color rgb="FF212529"/>
      <name val="Segoe UI"/>
      <charset val="134"/>
    </font>
    <font>
      <b/>
      <sz val="8"/>
      <name val="Arial"/>
      <charset val="134"/>
    </font>
    <font>
      <sz val="8"/>
      <name val="Arial"/>
      <charset val="134"/>
    </font>
    <font>
      <b/>
      <sz val="11"/>
      <color theme="1"/>
      <name val="Calibri"/>
      <charset val="134"/>
      <scheme val="minor"/>
    </font>
    <font>
      <sz val="8"/>
      <color indexed="8"/>
      <name val="Arial"/>
      <charset val="134"/>
    </font>
    <font>
      <sz val="11"/>
      <color indexed="8"/>
      <name val="Arial"/>
      <charset val="134"/>
    </font>
    <font>
      <sz val="12"/>
      <color rgb="FF212529"/>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1"/>
      <color indexed="8"/>
      <name val="Calibri"/>
      <charset val="134"/>
    </font>
  </fonts>
  <fills count="38">
    <fill>
      <patternFill patternType="none"/>
    </fill>
    <fill>
      <patternFill patternType="gray125"/>
    </fill>
    <fill>
      <patternFill patternType="solid">
        <fgColor rgb="FFFFFFFF"/>
        <bgColor indexed="64"/>
      </patternFill>
    </fill>
    <fill>
      <patternFill patternType="solid">
        <fgColor indexed="23"/>
        <bgColor indexed="64"/>
      </patternFill>
    </fill>
    <fill>
      <patternFill patternType="solid">
        <fgColor indexed="13"/>
        <bgColor indexed="64"/>
      </patternFill>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DEE2E6"/>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8" borderId="10" applyNumberFormat="0" applyAlignment="0" applyProtection="0">
      <alignment vertical="center"/>
    </xf>
    <xf numFmtId="0" fontId="17" fillId="9" borderId="11" applyNumberFormat="0" applyAlignment="0" applyProtection="0">
      <alignment vertical="center"/>
    </xf>
    <xf numFmtId="0" fontId="18" fillId="9" borderId="10" applyNumberFormat="0" applyAlignment="0" applyProtection="0">
      <alignment vertical="center"/>
    </xf>
    <xf numFmtId="0" fontId="19" fillId="10"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7" fillId="0" borderId="0"/>
    <xf numFmtId="0" fontId="27" fillId="0" borderId="0"/>
    <xf numFmtId="0" fontId="28" fillId="0" borderId="0"/>
    <xf numFmtId="0" fontId="28" fillId="0" borderId="0"/>
  </cellStyleXfs>
  <cellXfs count="56">
    <xf numFmtId="0" fontId="0" fillId="0" borderId="0" xfId="0"/>
    <xf numFmtId="0" fontId="1" fillId="2" borderId="1" xfId="0" applyFont="1" applyFill="1" applyBorder="1" applyAlignment="1">
      <alignment horizontal="center" vertical="top" wrapText="1"/>
    </xf>
    <xf numFmtId="0" fontId="1" fillId="2" borderId="0" xfId="0" applyFont="1" applyFill="1" applyAlignment="1">
      <alignment horizontal="center" vertical="top" wrapText="1"/>
    </xf>
    <xf numFmtId="15" fontId="2" fillId="3" borderId="2" xfId="49" applyNumberFormat="1" applyFont="1" applyFill="1" applyBorder="1" applyAlignment="1">
      <alignment horizontal="center"/>
    </xf>
    <xf numFmtId="0" fontId="2" fillId="3" borderId="2" xfId="49" applyFont="1" applyFill="1" applyBorder="1" applyAlignment="1">
      <alignment horizontal="center"/>
    </xf>
    <xf numFmtId="0" fontId="2" fillId="3" borderId="3" xfId="49" applyFont="1" applyFill="1" applyBorder="1" applyAlignment="1">
      <alignment horizontal="center"/>
    </xf>
    <xf numFmtId="0" fontId="3" fillId="3" borderId="2" xfId="49" applyFont="1" applyFill="1" applyBorder="1"/>
    <xf numFmtId="15" fontId="3" fillId="3" borderId="2" xfId="49" applyNumberFormat="1" applyFont="1" applyFill="1" applyBorder="1" applyAlignment="1">
      <alignment horizontal="right"/>
    </xf>
    <xf numFmtId="0" fontId="2" fillId="3" borderId="2" xfId="49" applyFont="1" applyFill="1" applyBorder="1" applyAlignment="1">
      <alignment wrapText="1"/>
    </xf>
    <xf numFmtId="0" fontId="3" fillId="3" borderId="2" xfId="49" applyFont="1" applyFill="1" applyBorder="1" applyAlignment="1">
      <alignment horizontal="right" wrapText="1"/>
    </xf>
    <xf numFmtId="0" fontId="2" fillId="3" borderId="2" xfId="49" applyFont="1" applyFill="1" applyBorder="1" applyAlignment="1">
      <alignment horizontal="left" wrapText="1"/>
    </xf>
    <xf numFmtId="0" fontId="2" fillId="4" borderId="2" xfId="49" applyFont="1" applyFill="1" applyBorder="1" applyAlignment="1">
      <alignment horizontal="left" wrapText="1"/>
    </xf>
    <xf numFmtId="0" fontId="3" fillId="3" borderId="2" xfId="49" applyFont="1" applyFill="1" applyBorder="1" applyAlignment="1">
      <alignment wrapText="1"/>
    </xf>
    <xf numFmtId="0" fontId="4" fillId="0" borderId="0" xfId="0" applyFont="1" applyAlignment="1">
      <alignment horizontal="center" vertical="center"/>
    </xf>
    <xf numFmtId="0" fontId="2" fillId="5" borderId="2" xfId="49" applyFont="1" applyFill="1" applyBorder="1" applyAlignment="1">
      <alignment wrapText="1"/>
    </xf>
    <xf numFmtId="0" fontId="3" fillId="6" borderId="2" xfId="49" applyFont="1" applyFill="1" applyBorder="1" applyAlignment="1">
      <alignment wrapText="1"/>
    </xf>
    <xf numFmtId="0" fontId="3" fillId="0" borderId="2" xfId="49" applyFont="1" applyFill="1" applyBorder="1" applyAlignment="1">
      <alignment horizontal="right" wrapText="1"/>
    </xf>
    <xf numFmtId="0" fontId="3" fillId="0" borderId="2" xfId="49" applyFont="1" applyFill="1" applyBorder="1" applyAlignment="1">
      <alignment wrapText="1"/>
    </xf>
    <xf numFmtId="0" fontId="3" fillId="0" borderId="2" xfId="49" applyFont="1" applyFill="1" applyBorder="1" applyAlignment="1" applyProtection="1">
      <alignment wrapText="1"/>
      <protection locked="0"/>
    </xf>
    <xf numFmtId="0" fontId="3" fillId="0" borderId="2" xfId="49" applyFont="1" applyFill="1" applyBorder="1" applyAlignment="1"/>
    <xf numFmtId="0" fontId="3" fillId="3" borderId="2" xfId="49" applyFont="1" applyFill="1" applyBorder="1" applyAlignment="1"/>
    <xf numFmtId="0" fontId="2" fillId="6" borderId="2" xfId="49" applyFont="1" applyFill="1" applyBorder="1" applyAlignment="1">
      <alignment wrapText="1"/>
    </xf>
    <xf numFmtId="178" fontId="3" fillId="0" borderId="2" xfId="50" applyNumberFormat="1" applyFont="1" applyFill="1" applyBorder="1" applyAlignment="1">
      <alignment horizontal="right" wrapText="1"/>
    </xf>
    <xf numFmtId="0" fontId="3" fillId="0" borderId="2" xfId="50" applyFont="1" applyFill="1" applyBorder="1" applyAlignment="1">
      <alignment wrapText="1"/>
    </xf>
    <xf numFmtId="0" fontId="3" fillId="3" borderId="2" xfId="50" applyFont="1" applyFill="1" applyBorder="1" applyAlignment="1">
      <alignment wrapText="1"/>
    </xf>
    <xf numFmtId="0" fontId="3" fillId="5" borderId="2" xfId="49" applyFont="1" applyFill="1" applyBorder="1" applyAlignment="1">
      <alignment wrapText="1"/>
    </xf>
    <xf numFmtId="0" fontId="2" fillId="5" borderId="2" xfId="49" applyFont="1" applyFill="1" applyBorder="1" applyAlignment="1">
      <alignment horizontal="right" wrapText="1"/>
    </xf>
    <xf numFmtId="49" fontId="3" fillId="6" borderId="2" xfId="49" applyNumberFormat="1" applyFont="1" applyFill="1" applyBorder="1"/>
    <xf numFmtId="0" fontId="3" fillId="0" borderId="2" xfId="51" applyFont="1" applyFill="1" applyBorder="1" applyAlignment="1">
      <alignment horizontal="left" wrapText="1"/>
    </xf>
    <xf numFmtId="0" fontId="3" fillId="3" borderId="2" xfId="51" applyFont="1" applyFill="1" applyBorder="1" applyAlignment="1">
      <alignment horizontal="left" wrapText="1"/>
    </xf>
    <xf numFmtId="49" fontId="2" fillId="6" borderId="2" xfId="49" applyNumberFormat="1" applyFont="1" applyFill="1" applyBorder="1"/>
    <xf numFmtId="0" fontId="3" fillId="0" borderId="2" xfId="49" applyFont="1" applyFill="1" applyBorder="1" applyAlignment="1">
      <alignment horizontal="left" wrapText="1"/>
    </xf>
    <xf numFmtId="0" fontId="3" fillId="3" borderId="2" xfId="49" applyFont="1" applyFill="1" applyBorder="1" applyAlignment="1">
      <alignment horizontal="left" wrapText="1"/>
    </xf>
    <xf numFmtId="49" fontId="3" fillId="0" borderId="2" xfId="49" applyNumberFormat="1" applyFont="1" applyFill="1" applyBorder="1" applyAlignment="1">
      <alignment horizontal="right"/>
    </xf>
    <xf numFmtId="0" fontId="3" fillId="0" borderId="2" xfId="49" applyFont="1" applyFill="1" applyBorder="1" applyAlignment="1">
      <alignment horizontal="left"/>
    </xf>
    <xf numFmtId="0" fontId="2" fillId="3" borderId="2" xfId="49" applyFont="1" applyFill="1" applyBorder="1" applyAlignment="1">
      <alignment horizontal="right" wrapText="1"/>
    </xf>
    <xf numFmtId="0" fontId="3" fillId="3" borderId="2" xfId="49" applyFont="1" applyFill="1" applyBorder="1" applyAlignment="1">
      <alignment horizontal="left"/>
    </xf>
    <xf numFmtId="178" fontId="3" fillId="6" borderId="2" xfId="49" applyNumberFormat="1" applyFont="1" applyFill="1" applyBorder="1"/>
    <xf numFmtId="0" fontId="3" fillId="4" borderId="2" xfId="49" applyFont="1" applyFill="1" applyBorder="1" applyAlignment="1">
      <alignment horizontal="left"/>
    </xf>
    <xf numFmtId="0" fontId="3" fillId="0" borderId="2" xfId="49" applyFont="1" applyFill="1" applyBorder="1" applyAlignment="1" applyProtection="1">
      <protection locked="0"/>
    </xf>
    <xf numFmtId="0" fontId="3" fillId="4" borderId="2" xfId="49" applyFont="1" applyFill="1" applyBorder="1" applyAlignment="1">
      <alignment wrapText="1"/>
    </xf>
    <xf numFmtId="0" fontId="2" fillId="4" borderId="2" xfId="49" applyFont="1" applyFill="1" applyBorder="1" applyAlignment="1">
      <alignment wrapText="1"/>
    </xf>
    <xf numFmtId="0" fontId="5" fillId="4" borderId="2" xfId="49" applyFont="1" applyFill="1" applyBorder="1" applyAlignment="1">
      <alignment wrapText="1"/>
    </xf>
    <xf numFmtId="0" fontId="5" fillId="0" borderId="2" xfId="49" applyFont="1" applyFill="1" applyBorder="1" applyAlignment="1" applyProtection="1">
      <alignment wrapText="1"/>
      <protection locked="0"/>
    </xf>
    <xf numFmtId="0" fontId="5" fillId="4" borderId="2" xfId="50" applyFont="1" applyFill="1" applyBorder="1" applyAlignment="1">
      <alignment wrapText="1"/>
    </xf>
    <xf numFmtId="0" fontId="3" fillId="6" borderId="2" xfId="49" applyFont="1" applyFill="1" applyBorder="1"/>
    <xf numFmtId="0" fontId="3" fillId="3" borderId="2" xfId="49" applyFont="1" applyFill="1" applyBorder="1" applyAlignment="1">
      <alignment horizontal="right"/>
    </xf>
    <xf numFmtId="0" fontId="5" fillId="3" borderId="4" xfId="52" applyFont="1" applyFill="1" applyBorder="1" applyAlignment="1">
      <alignment horizontal="left" vertical="center"/>
    </xf>
    <xf numFmtId="0" fontId="5" fillId="3" borderId="5" xfId="52" applyFont="1" applyFill="1" applyBorder="1" applyAlignment="1">
      <alignment horizontal="left" vertical="center"/>
    </xf>
    <xf numFmtId="0" fontId="6" fillId="3" borderId="3" xfId="0" applyFont="1" applyFill="1" applyBorder="1" applyAlignment="1"/>
    <xf numFmtId="0" fontId="2" fillId="3" borderId="2" xfId="49" applyFont="1" applyFill="1" applyBorder="1" applyAlignment="1">
      <alignment horizontal="center" wrapText="1"/>
    </xf>
    <xf numFmtId="0" fontId="6" fillId="3" borderId="2" xfId="0" applyFont="1" applyFill="1" applyBorder="1" applyAlignment="1"/>
    <xf numFmtId="0" fontId="6" fillId="3" borderId="2" xfId="0" applyFont="1" applyFill="1" applyBorder="1" applyAlignment="1">
      <alignment horizontal="center"/>
    </xf>
    <xf numFmtId="0" fontId="3" fillId="5" borderId="2" xfId="49" applyFont="1" applyFill="1" applyBorder="1"/>
    <xf numFmtId="0" fontId="7" fillId="2" borderId="0" xfId="0" applyFont="1" applyFill="1" applyAlignment="1">
      <alignment vertical="top" wrapText="1"/>
    </xf>
    <xf numFmtId="0" fontId="5" fillId="3" borderId="6" xfId="52" applyFont="1" applyFill="1" applyBorder="1" applyAlignment="1">
      <alignment horizontal="left" vertical="center"/>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 name="Normal 5" xfId="50"/>
    <cellStyle name="Normal_Sheet1" xfId="51"/>
    <cellStyle name="Normal_UNB KEY INFORMATION REPORT 2011 Template1_Central Bank Returns - 31 December 2011"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48"/>
  <sheetViews>
    <sheetView tabSelected="1" zoomScale="80" zoomScaleNormal="80" workbookViewId="0">
      <selection activeCell="H6" sqref="H6"/>
    </sheetView>
  </sheetViews>
  <sheetFormatPr defaultColWidth="9" defaultRowHeight="14.5"/>
  <cols>
    <col min="1" max="1" width="2.81818181818182" customWidth="1"/>
    <col min="2" max="2" width="5.18181818181818" customWidth="1"/>
    <col min="3" max="4" width="32.0909090909091" customWidth="1"/>
    <col min="5" max="5" width="4.09090909090909" customWidth="1"/>
    <col min="6" max="6" width="5.81818181818182" customWidth="1"/>
    <col min="7" max="7" width="6" customWidth="1"/>
    <col min="8" max="8" width="4.27272727272727" customWidth="1"/>
    <col min="9" max="9" width="15.1818181818182" customWidth="1"/>
    <col min="10" max="10" width="7.36363636363636" customWidth="1"/>
    <col min="12" max="12" width="3.63636363636364" customWidth="1"/>
    <col min="13" max="13" width="6.27272727272727" customWidth="1"/>
    <col min="14" max="14" width="3.63636363636364" customWidth="1"/>
    <col min="15" max="15" width="6.27272727272727" customWidth="1"/>
    <col min="16" max="16" width="4.09090909090909" customWidth="1"/>
    <col min="17" max="17" width="6.54545454545455" customWidth="1"/>
    <col min="18" max="18" width="3.63636363636364" customWidth="1"/>
    <col min="19" max="19" width="6.54545454545455" customWidth="1"/>
    <col min="20" max="20" width="3.63636363636364" customWidth="1"/>
    <col min="21" max="21" width="6.54545454545455" customWidth="1"/>
    <col min="22" max="22" width="3.63636363636364" customWidth="1"/>
    <col min="23" max="23" width="6.27272727272727" customWidth="1"/>
    <col min="24" max="24" width="3.63636363636364" customWidth="1"/>
    <col min="25" max="25" width="6.27272727272727" customWidth="1"/>
    <col min="26" max="26" width="3.63636363636364" customWidth="1"/>
    <col min="27" max="27" width="6.27272727272727" customWidth="1"/>
    <col min="28" max="28" width="3.63636363636364" customWidth="1"/>
    <col min="29" max="29" width="6.27272727272727" customWidth="1"/>
    <col min="30" max="30" width="3.63636363636364" customWidth="1"/>
    <col min="31" max="31" width="6.27272727272727" customWidth="1"/>
    <col min="32" max="32" width="3.63636363636364" customWidth="1"/>
    <col min="33" max="33" width="6.27272727272727" customWidth="1"/>
    <col min="34" max="34" width="3.63636363636364" customWidth="1"/>
    <col min="35" max="35" width="6.27272727272727" customWidth="1"/>
    <col min="36" max="36" width="3.63636363636364" customWidth="1"/>
    <col min="37" max="37" width="6.27272727272727" customWidth="1"/>
    <col min="38" max="38" width="3.63636363636364" customWidth="1"/>
    <col min="39" max="39" width="6.27272727272727" customWidth="1"/>
  </cols>
  <sheetData>
    <row r="1" ht="17.5" spans="5:41">
      <c r="E1" s="1" t="s">
        <v>0</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54"/>
      <c r="AO1" s="54"/>
    </row>
    <row r="2" spans="1:39">
      <c r="A2" s="3" t="s">
        <v>1</v>
      </c>
      <c r="B2" s="3"/>
      <c r="C2" s="4"/>
      <c r="D2" s="4"/>
      <c r="E2" s="5" t="s">
        <v>2</v>
      </c>
      <c r="F2" s="5"/>
      <c r="G2" s="5"/>
      <c r="H2" s="5"/>
      <c r="I2" s="5" t="s">
        <v>3</v>
      </c>
      <c r="J2" s="5"/>
      <c r="K2" s="5"/>
      <c r="L2" s="5" t="s">
        <v>4</v>
      </c>
      <c r="M2" s="5"/>
      <c r="N2" s="5"/>
      <c r="O2" s="49"/>
      <c r="P2" s="5" t="s">
        <v>5</v>
      </c>
      <c r="Q2" s="5"/>
      <c r="R2" s="5"/>
      <c r="S2" s="49"/>
      <c r="T2" s="5" t="s">
        <v>6</v>
      </c>
      <c r="U2" s="5"/>
      <c r="V2" s="5"/>
      <c r="W2" s="49"/>
      <c r="X2" s="5" t="s">
        <v>7</v>
      </c>
      <c r="Y2" s="5"/>
      <c r="Z2" s="5"/>
      <c r="AA2" s="49"/>
      <c r="AB2" s="5" t="s">
        <v>8</v>
      </c>
      <c r="AC2" s="5"/>
      <c r="AD2" s="5"/>
      <c r="AE2" s="49"/>
      <c r="AF2" s="5" t="s">
        <v>9</v>
      </c>
      <c r="AG2" s="5"/>
      <c r="AH2" s="5"/>
      <c r="AI2" s="49"/>
      <c r="AJ2" s="5" t="s">
        <v>10</v>
      </c>
      <c r="AK2" s="5"/>
      <c r="AL2" s="5"/>
      <c r="AM2" s="49"/>
    </row>
    <row r="3" spans="1:39">
      <c r="A3" s="6"/>
      <c r="B3" s="7"/>
      <c r="C3" s="6"/>
      <c r="D3" s="6"/>
      <c r="E3" s="4"/>
      <c r="F3" s="4"/>
      <c r="G3" s="4"/>
      <c r="H3" s="4"/>
      <c r="I3" s="50" t="s">
        <v>11</v>
      </c>
      <c r="J3" s="4" t="s">
        <v>12</v>
      </c>
      <c r="K3" s="6"/>
      <c r="L3" s="4" t="s">
        <v>13</v>
      </c>
      <c r="M3" s="51"/>
      <c r="N3" s="4" t="s">
        <v>14</v>
      </c>
      <c r="O3" s="52"/>
      <c r="P3" s="4" t="s">
        <v>13</v>
      </c>
      <c r="Q3" s="51"/>
      <c r="R3" s="4" t="s">
        <v>14</v>
      </c>
      <c r="S3" s="52"/>
      <c r="T3" s="4" t="s">
        <v>13</v>
      </c>
      <c r="U3" s="51"/>
      <c r="V3" s="4" t="s">
        <v>14</v>
      </c>
      <c r="W3" s="52"/>
      <c r="X3" s="4" t="s">
        <v>13</v>
      </c>
      <c r="Y3" s="51"/>
      <c r="Z3" s="4" t="s">
        <v>14</v>
      </c>
      <c r="AA3" s="52"/>
      <c r="AB3" s="4" t="s">
        <v>13</v>
      </c>
      <c r="AC3" s="51"/>
      <c r="AD3" s="4" t="s">
        <v>14</v>
      </c>
      <c r="AE3" s="52"/>
      <c r="AF3" s="4" t="s">
        <v>13</v>
      </c>
      <c r="AG3" s="51"/>
      <c r="AH3" s="4" t="s">
        <v>14</v>
      </c>
      <c r="AI3" s="52"/>
      <c r="AJ3" s="4" t="s">
        <v>13</v>
      </c>
      <c r="AK3" s="51"/>
      <c r="AL3" s="4" t="s">
        <v>14</v>
      </c>
      <c r="AM3" s="52"/>
    </row>
    <row r="4" spans="1:39">
      <c r="A4" s="8" t="s">
        <v>15</v>
      </c>
      <c r="B4" s="9"/>
      <c r="C4" s="10" t="s">
        <v>16</v>
      </c>
      <c r="D4" s="10"/>
      <c r="E4" s="10" t="s">
        <v>17</v>
      </c>
      <c r="F4" s="10" t="s">
        <v>18</v>
      </c>
      <c r="G4" s="11" t="s">
        <v>19</v>
      </c>
      <c r="H4" s="10" t="s">
        <v>20</v>
      </c>
      <c r="I4" s="50"/>
      <c r="J4" s="4"/>
      <c r="K4" s="12"/>
      <c r="L4" s="10" t="s">
        <v>21</v>
      </c>
      <c r="M4" s="8" t="s">
        <v>12</v>
      </c>
      <c r="N4" s="50" t="s">
        <v>21</v>
      </c>
      <c r="O4" s="8" t="s">
        <v>12</v>
      </c>
      <c r="P4" s="10" t="s">
        <v>21</v>
      </c>
      <c r="Q4" s="8" t="s">
        <v>12</v>
      </c>
      <c r="R4" s="50" t="s">
        <v>21</v>
      </c>
      <c r="S4" s="8" t="s">
        <v>12</v>
      </c>
      <c r="T4" s="10" t="s">
        <v>21</v>
      </c>
      <c r="U4" s="8" t="s">
        <v>12</v>
      </c>
      <c r="V4" s="50" t="s">
        <v>21</v>
      </c>
      <c r="W4" s="8" t="s">
        <v>12</v>
      </c>
      <c r="X4" s="10" t="s">
        <v>21</v>
      </c>
      <c r="Y4" s="8" t="s">
        <v>12</v>
      </c>
      <c r="Z4" s="50" t="s">
        <v>21</v>
      </c>
      <c r="AA4" s="8" t="s">
        <v>12</v>
      </c>
      <c r="AB4" s="10" t="s">
        <v>21</v>
      </c>
      <c r="AC4" s="8" t="s">
        <v>12</v>
      </c>
      <c r="AD4" s="50" t="s">
        <v>21</v>
      </c>
      <c r="AE4" s="8" t="s">
        <v>12</v>
      </c>
      <c r="AF4" s="10" t="s">
        <v>21</v>
      </c>
      <c r="AG4" s="8" t="s">
        <v>12</v>
      </c>
      <c r="AH4" s="50" t="s">
        <v>21</v>
      </c>
      <c r="AI4" s="8" t="s">
        <v>12</v>
      </c>
      <c r="AJ4" s="10" t="s">
        <v>21</v>
      </c>
      <c r="AK4" s="8" t="s">
        <v>12</v>
      </c>
      <c r="AL4" s="50" t="s">
        <v>21</v>
      </c>
      <c r="AM4" s="8" t="s">
        <v>12</v>
      </c>
    </row>
    <row r="5" spans="1:39">
      <c r="A5" s="12">
        <v>4</v>
      </c>
      <c r="B5" s="12"/>
      <c r="C5" s="8" t="s">
        <v>22</v>
      </c>
      <c r="D5" s="13" t="s">
        <v>23</v>
      </c>
      <c r="E5" s="8"/>
      <c r="F5" s="8"/>
      <c r="G5" s="14">
        <f>SUM(G6:G8)</f>
        <v>9</v>
      </c>
      <c r="H5" s="14">
        <f>SUM(G5)</f>
        <v>9</v>
      </c>
      <c r="I5" s="14">
        <f>SUM(I6:I8)</f>
        <v>16</v>
      </c>
      <c r="J5" s="14">
        <f>SUM(J6:J8)</f>
        <v>1102984</v>
      </c>
      <c r="K5" s="14"/>
      <c r="L5" s="14">
        <f t="shared" ref="L5:AM5" si="0">SUM(L6:L8)</f>
        <v>7</v>
      </c>
      <c r="M5" s="14">
        <f t="shared" si="0"/>
        <v>445944</v>
      </c>
      <c r="N5" s="14">
        <f t="shared" si="0"/>
        <v>0</v>
      </c>
      <c r="O5" s="14">
        <f t="shared" si="0"/>
        <v>0</v>
      </c>
      <c r="P5" s="14">
        <f t="shared" si="0"/>
        <v>5</v>
      </c>
      <c r="Q5" s="14">
        <f t="shared" si="0"/>
        <v>5083</v>
      </c>
      <c r="R5" s="14">
        <f t="shared" si="0"/>
        <v>4</v>
      </c>
      <c r="S5" s="14">
        <f t="shared" si="0"/>
        <v>651957</v>
      </c>
      <c r="T5" s="14">
        <f t="shared" si="0"/>
        <v>0</v>
      </c>
      <c r="U5" s="14">
        <f t="shared" si="0"/>
        <v>0</v>
      </c>
      <c r="V5" s="14">
        <f t="shared" si="0"/>
        <v>0</v>
      </c>
      <c r="W5" s="14">
        <f t="shared" si="0"/>
        <v>0</v>
      </c>
      <c r="X5" s="14">
        <f t="shared" si="0"/>
        <v>0</v>
      </c>
      <c r="Y5" s="14">
        <f t="shared" si="0"/>
        <v>0</v>
      </c>
      <c r="Z5" s="14">
        <f t="shared" si="0"/>
        <v>0</v>
      </c>
      <c r="AA5" s="14">
        <f t="shared" si="0"/>
        <v>0</v>
      </c>
      <c r="AB5" s="14">
        <f t="shared" si="0"/>
        <v>0</v>
      </c>
      <c r="AC5" s="14">
        <f t="shared" si="0"/>
        <v>0</v>
      </c>
      <c r="AD5" s="14">
        <f t="shared" si="0"/>
        <v>0</v>
      </c>
      <c r="AE5" s="14">
        <f t="shared" si="0"/>
        <v>0</v>
      </c>
      <c r="AF5" s="14">
        <f t="shared" si="0"/>
        <v>0</v>
      </c>
      <c r="AG5" s="14">
        <f t="shared" si="0"/>
        <v>0</v>
      </c>
      <c r="AH5" s="14">
        <f t="shared" si="0"/>
        <v>0</v>
      </c>
      <c r="AI5" s="14">
        <f t="shared" si="0"/>
        <v>0</v>
      </c>
      <c r="AJ5" s="14">
        <f t="shared" si="0"/>
        <v>0</v>
      </c>
      <c r="AK5" s="14">
        <f t="shared" si="0"/>
        <v>0</v>
      </c>
      <c r="AL5" s="14">
        <f t="shared" si="0"/>
        <v>0</v>
      </c>
      <c r="AM5" s="14">
        <f t="shared" si="0"/>
        <v>0</v>
      </c>
    </row>
    <row r="6" ht="126" spans="1:39">
      <c r="A6" s="15"/>
      <c r="B6" s="16">
        <v>4.1</v>
      </c>
      <c r="C6" s="17" t="s">
        <v>24</v>
      </c>
      <c r="D6" s="8" t="s">
        <v>25</v>
      </c>
      <c r="E6" s="12"/>
      <c r="F6" s="12"/>
      <c r="G6" s="18">
        <v>9</v>
      </c>
      <c r="H6" s="14">
        <f t="shared" ref="H6:H25" si="1">SUM(G6)</f>
        <v>9</v>
      </c>
      <c r="I6" s="14">
        <f t="shared" ref="I6:J8" si="2">+L6+N6+P6+R6+T6+V6+X6+Z6+AB6+AD6+AF6+AH6+AJ6+AL6</f>
        <v>16</v>
      </c>
      <c r="J6" s="14">
        <f t="shared" si="2"/>
        <v>1102984</v>
      </c>
      <c r="K6" s="14"/>
      <c r="L6" s="18">
        <v>7</v>
      </c>
      <c r="M6" s="18">
        <v>445944</v>
      </c>
      <c r="N6" s="18">
        <v>0</v>
      </c>
      <c r="O6" s="18">
        <v>0</v>
      </c>
      <c r="P6" s="18">
        <v>5</v>
      </c>
      <c r="Q6" s="18">
        <v>5083</v>
      </c>
      <c r="R6" s="18">
        <v>4</v>
      </c>
      <c r="S6" s="18">
        <v>651957</v>
      </c>
      <c r="T6" s="18">
        <v>0</v>
      </c>
      <c r="U6" s="18">
        <v>0</v>
      </c>
      <c r="V6" s="18">
        <v>0</v>
      </c>
      <c r="W6" s="18">
        <v>0</v>
      </c>
      <c r="X6" s="18">
        <v>0</v>
      </c>
      <c r="Y6" s="18">
        <v>0</v>
      </c>
      <c r="Z6" s="18">
        <v>0</v>
      </c>
      <c r="AA6" s="18">
        <v>0</v>
      </c>
      <c r="AB6" s="18">
        <v>0</v>
      </c>
      <c r="AC6" s="18">
        <v>0</v>
      </c>
      <c r="AD6" s="18">
        <v>0</v>
      </c>
      <c r="AE6" s="18">
        <v>0</v>
      </c>
      <c r="AF6" s="18">
        <v>0</v>
      </c>
      <c r="AG6" s="18">
        <v>0</v>
      </c>
      <c r="AH6" s="18">
        <v>0</v>
      </c>
      <c r="AI6" s="18">
        <v>0</v>
      </c>
      <c r="AJ6" s="18">
        <v>0</v>
      </c>
      <c r="AK6" s="18">
        <v>0</v>
      </c>
      <c r="AL6" s="18">
        <v>0</v>
      </c>
      <c r="AM6" s="18">
        <v>0</v>
      </c>
    </row>
    <row r="7" spans="1:39">
      <c r="A7" s="15"/>
      <c r="B7" s="16">
        <v>4.2</v>
      </c>
      <c r="C7" s="17" t="s">
        <v>26</v>
      </c>
      <c r="D7" s="17"/>
      <c r="E7" s="12"/>
      <c r="F7" s="12"/>
      <c r="G7" s="18">
        <v>0</v>
      </c>
      <c r="H7" s="14">
        <f t="shared" si="1"/>
        <v>0</v>
      </c>
      <c r="I7" s="14">
        <f t="shared" si="2"/>
        <v>0</v>
      </c>
      <c r="J7" s="14">
        <f t="shared" si="2"/>
        <v>0</v>
      </c>
      <c r="K7" s="14"/>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0</v>
      </c>
      <c r="AH7" s="18">
        <v>0</v>
      </c>
      <c r="AI7" s="18">
        <v>0</v>
      </c>
      <c r="AJ7" s="18">
        <v>0</v>
      </c>
      <c r="AK7" s="18">
        <v>0</v>
      </c>
      <c r="AL7" s="18">
        <v>0</v>
      </c>
      <c r="AM7" s="18">
        <v>0</v>
      </c>
    </row>
    <row r="8" spans="1:39">
      <c r="A8" s="15"/>
      <c r="B8" s="16">
        <v>4.3</v>
      </c>
      <c r="C8" s="19" t="s">
        <v>27</v>
      </c>
      <c r="D8" s="19"/>
      <c r="E8" s="20"/>
      <c r="F8" s="20"/>
      <c r="G8" s="18">
        <v>0</v>
      </c>
      <c r="H8" s="14">
        <f t="shared" si="1"/>
        <v>0</v>
      </c>
      <c r="I8" s="14">
        <f t="shared" si="2"/>
        <v>0</v>
      </c>
      <c r="J8" s="14">
        <f t="shared" si="2"/>
        <v>0</v>
      </c>
      <c r="K8" s="14"/>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0</v>
      </c>
      <c r="AH8" s="18">
        <v>0</v>
      </c>
      <c r="AI8" s="18">
        <v>0</v>
      </c>
      <c r="AJ8" s="18">
        <v>0</v>
      </c>
      <c r="AK8" s="18">
        <v>0</v>
      </c>
      <c r="AL8" s="18">
        <v>0</v>
      </c>
      <c r="AM8" s="18">
        <v>0</v>
      </c>
    </row>
    <row r="9" spans="1:39">
      <c r="A9" s="12">
        <v>7</v>
      </c>
      <c r="B9" s="12"/>
      <c r="C9" s="8" t="s">
        <v>28</v>
      </c>
      <c r="D9" s="8"/>
      <c r="E9" s="8"/>
      <c r="F9" s="8"/>
      <c r="G9" s="14">
        <f>G10+G13</f>
        <v>101</v>
      </c>
      <c r="H9" s="14">
        <f t="shared" si="1"/>
        <v>101</v>
      </c>
      <c r="I9" s="14">
        <f>I10+I13</f>
        <v>112</v>
      </c>
      <c r="J9" s="14">
        <f>J10+J13</f>
        <v>559324</v>
      </c>
      <c r="K9" s="14"/>
      <c r="L9" s="14">
        <f t="shared" ref="L9:AM9" si="3">L10+L13</f>
        <v>6</v>
      </c>
      <c r="M9" s="14">
        <f t="shared" si="3"/>
        <v>41393</v>
      </c>
      <c r="N9" s="14">
        <f t="shared" si="3"/>
        <v>0</v>
      </c>
      <c r="O9" s="14">
        <f t="shared" si="3"/>
        <v>0</v>
      </c>
      <c r="P9" s="14">
        <f t="shared" si="3"/>
        <v>53</v>
      </c>
      <c r="Q9" s="14">
        <f t="shared" si="3"/>
        <v>363889</v>
      </c>
      <c r="R9" s="14">
        <f t="shared" si="3"/>
        <v>0</v>
      </c>
      <c r="S9" s="14">
        <f t="shared" si="3"/>
        <v>0</v>
      </c>
      <c r="T9" s="14">
        <f t="shared" si="3"/>
        <v>31</v>
      </c>
      <c r="U9" s="14">
        <f t="shared" si="3"/>
        <v>111208</v>
      </c>
      <c r="V9" s="14">
        <f t="shared" si="3"/>
        <v>0</v>
      </c>
      <c r="W9" s="14">
        <f t="shared" si="3"/>
        <v>0</v>
      </c>
      <c r="X9" s="14">
        <f t="shared" si="3"/>
        <v>4</v>
      </c>
      <c r="Y9" s="14">
        <f t="shared" si="3"/>
        <v>15650</v>
      </c>
      <c r="Z9" s="14">
        <f t="shared" si="3"/>
        <v>0</v>
      </c>
      <c r="AA9" s="14">
        <f t="shared" si="3"/>
        <v>0</v>
      </c>
      <c r="AB9" s="14">
        <f t="shared" si="3"/>
        <v>14</v>
      </c>
      <c r="AC9" s="14">
        <f t="shared" si="3"/>
        <v>16333</v>
      </c>
      <c r="AD9" s="14">
        <f t="shared" si="3"/>
        <v>0</v>
      </c>
      <c r="AE9" s="14">
        <f t="shared" si="3"/>
        <v>0</v>
      </c>
      <c r="AF9" s="14">
        <f t="shared" si="3"/>
        <v>1</v>
      </c>
      <c r="AG9" s="14">
        <f t="shared" si="3"/>
        <v>161</v>
      </c>
      <c r="AH9" s="14">
        <f t="shared" si="3"/>
        <v>0</v>
      </c>
      <c r="AI9" s="14">
        <f t="shared" si="3"/>
        <v>0</v>
      </c>
      <c r="AJ9" s="14">
        <f t="shared" si="3"/>
        <v>3</v>
      </c>
      <c r="AK9" s="14">
        <f t="shared" si="3"/>
        <v>10690</v>
      </c>
      <c r="AL9" s="14">
        <f t="shared" si="3"/>
        <v>0</v>
      </c>
      <c r="AM9" s="14">
        <f t="shared" si="3"/>
        <v>0</v>
      </c>
    </row>
    <row r="10" spans="1:39">
      <c r="A10" s="12"/>
      <c r="B10" s="12">
        <v>7.1</v>
      </c>
      <c r="C10" s="8" t="s">
        <v>29</v>
      </c>
      <c r="D10" s="8"/>
      <c r="E10" s="8"/>
      <c r="F10" s="8"/>
      <c r="G10" s="14">
        <f>SUM(G11:G12)</f>
        <v>0</v>
      </c>
      <c r="H10" s="14">
        <f t="shared" si="1"/>
        <v>0</v>
      </c>
      <c r="I10" s="14">
        <f>SUM(I11:I12)</f>
        <v>0</v>
      </c>
      <c r="J10" s="14">
        <f>SUM(J11:J12)</f>
        <v>0</v>
      </c>
      <c r="K10" s="14"/>
      <c r="L10" s="14">
        <f t="shared" ref="L10:AM10" si="4">SUM(L11:L12)</f>
        <v>0</v>
      </c>
      <c r="M10" s="14">
        <f t="shared" si="4"/>
        <v>0</v>
      </c>
      <c r="N10" s="14">
        <f t="shared" si="4"/>
        <v>0</v>
      </c>
      <c r="O10" s="14">
        <f t="shared" si="4"/>
        <v>0</v>
      </c>
      <c r="P10" s="14">
        <f t="shared" si="4"/>
        <v>0</v>
      </c>
      <c r="Q10" s="14">
        <f t="shared" si="4"/>
        <v>0</v>
      </c>
      <c r="R10" s="14">
        <f t="shared" si="4"/>
        <v>0</v>
      </c>
      <c r="S10" s="14">
        <f t="shared" si="4"/>
        <v>0</v>
      </c>
      <c r="T10" s="14">
        <f t="shared" si="4"/>
        <v>0</v>
      </c>
      <c r="U10" s="14">
        <f t="shared" si="4"/>
        <v>0</v>
      </c>
      <c r="V10" s="14">
        <f t="shared" si="4"/>
        <v>0</v>
      </c>
      <c r="W10" s="14">
        <f t="shared" si="4"/>
        <v>0</v>
      </c>
      <c r="X10" s="14">
        <f t="shared" si="4"/>
        <v>0</v>
      </c>
      <c r="Y10" s="14">
        <f t="shared" si="4"/>
        <v>0</v>
      </c>
      <c r="Z10" s="14">
        <f t="shared" si="4"/>
        <v>0</v>
      </c>
      <c r="AA10" s="14">
        <f t="shared" si="4"/>
        <v>0</v>
      </c>
      <c r="AB10" s="14">
        <f t="shared" si="4"/>
        <v>0</v>
      </c>
      <c r="AC10" s="14">
        <f t="shared" si="4"/>
        <v>0</v>
      </c>
      <c r="AD10" s="14">
        <f t="shared" si="4"/>
        <v>0</v>
      </c>
      <c r="AE10" s="14">
        <f t="shared" si="4"/>
        <v>0</v>
      </c>
      <c r="AF10" s="14">
        <f t="shared" si="4"/>
        <v>0</v>
      </c>
      <c r="AG10" s="14">
        <f t="shared" si="4"/>
        <v>0</v>
      </c>
      <c r="AH10" s="14">
        <f t="shared" si="4"/>
        <v>0</v>
      </c>
      <c r="AI10" s="14">
        <f t="shared" si="4"/>
        <v>0</v>
      </c>
      <c r="AJ10" s="14">
        <f t="shared" si="4"/>
        <v>0</v>
      </c>
      <c r="AK10" s="14">
        <f t="shared" si="4"/>
        <v>0</v>
      </c>
      <c r="AL10" s="14">
        <f t="shared" si="4"/>
        <v>0</v>
      </c>
      <c r="AM10" s="14">
        <f t="shared" si="4"/>
        <v>0</v>
      </c>
    </row>
    <row r="11" spans="1:39">
      <c r="A11" s="21"/>
      <c r="B11" s="22" t="s">
        <v>30</v>
      </c>
      <c r="C11" s="23" t="s">
        <v>31</v>
      </c>
      <c r="D11" s="23"/>
      <c r="E11" s="24"/>
      <c r="F11" s="24"/>
      <c r="G11" s="18">
        <v>0</v>
      </c>
      <c r="H11" s="14">
        <f t="shared" si="1"/>
        <v>0</v>
      </c>
      <c r="I11" s="14">
        <f>+L11+N11+P11+R11+T11+V11+X11+Z11+AB11+AD11+AF11+AH11+AJ11+AL11</f>
        <v>0</v>
      </c>
      <c r="J11" s="14">
        <f>+M11+O11+Q11+S11+U11+W11+Y11+AA11+AC11+AE11+AG11+AI11+AK11+AM11</f>
        <v>0</v>
      </c>
      <c r="K11" s="53"/>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0</v>
      </c>
      <c r="AM11" s="18">
        <v>0</v>
      </c>
    </row>
    <row r="12" spans="1:39">
      <c r="A12" s="21"/>
      <c r="B12" s="22" t="s">
        <v>32</v>
      </c>
      <c r="C12" s="23" t="s">
        <v>33</v>
      </c>
      <c r="D12" s="23"/>
      <c r="E12" s="24"/>
      <c r="F12" s="24"/>
      <c r="G12" s="18">
        <v>0</v>
      </c>
      <c r="H12" s="14">
        <f t="shared" si="1"/>
        <v>0</v>
      </c>
      <c r="I12" s="14">
        <f>+L12+N12+P12+R12+T12+V12+X12+Z12+AB12+AD12+AF12+AH12+AJ12+AL12</f>
        <v>0</v>
      </c>
      <c r="J12" s="14">
        <f>+M12+O12+Q12+S12+U12+W12+Y12+AA12+AC12+AE12+AG12+AI12+AK12+AM12</f>
        <v>0</v>
      </c>
      <c r="K12" s="53"/>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0</v>
      </c>
      <c r="AH12" s="18">
        <v>0</v>
      </c>
      <c r="AI12" s="18">
        <v>0</v>
      </c>
      <c r="AJ12" s="18">
        <v>0</v>
      </c>
      <c r="AK12" s="18">
        <v>0</v>
      </c>
      <c r="AL12" s="18">
        <v>0</v>
      </c>
      <c r="AM12" s="18">
        <v>0</v>
      </c>
    </row>
    <row r="13" spans="1:39">
      <c r="A13" s="21"/>
      <c r="B13" s="25">
        <v>7.2</v>
      </c>
      <c r="C13" s="14" t="s">
        <v>34</v>
      </c>
      <c r="D13" s="14"/>
      <c r="E13" s="8"/>
      <c r="F13" s="8"/>
      <c r="G13" s="14">
        <f>SUM(G14:G15)</f>
        <v>101</v>
      </c>
      <c r="H13" s="14">
        <f t="shared" si="1"/>
        <v>101</v>
      </c>
      <c r="I13" s="14">
        <f>SUM(I14:I15)</f>
        <v>112</v>
      </c>
      <c r="J13" s="14">
        <f>SUM(J14:J15)</f>
        <v>559324</v>
      </c>
      <c r="K13" s="14"/>
      <c r="L13" s="14">
        <f t="shared" ref="L13:AM13" si="5">SUM(L14:L15)</f>
        <v>6</v>
      </c>
      <c r="M13" s="14">
        <f t="shared" si="5"/>
        <v>41393</v>
      </c>
      <c r="N13" s="14">
        <f t="shared" si="5"/>
        <v>0</v>
      </c>
      <c r="O13" s="14">
        <f t="shared" si="5"/>
        <v>0</v>
      </c>
      <c r="P13" s="14">
        <f t="shared" si="5"/>
        <v>53</v>
      </c>
      <c r="Q13" s="14">
        <f t="shared" si="5"/>
        <v>363889</v>
      </c>
      <c r="R13" s="14">
        <f t="shared" si="5"/>
        <v>0</v>
      </c>
      <c r="S13" s="14">
        <f t="shared" si="5"/>
        <v>0</v>
      </c>
      <c r="T13" s="14">
        <f t="shared" si="5"/>
        <v>31</v>
      </c>
      <c r="U13" s="14">
        <f t="shared" si="5"/>
        <v>111208</v>
      </c>
      <c r="V13" s="14">
        <f t="shared" si="5"/>
        <v>0</v>
      </c>
      <c r="W13" s="14">
        <f t="shared" si="5"/>
        <v>0</v>
      </c>
      <c r="X13" s="14">
        <f t="shared" si="5"/>
        <v>4</v>
      </c>
      <c r="Y13" s="14">
        <f t="shared" si="5"/>
        <v>15650</v>
      </c>
      <c r="Z13" s="14">
        <f t="shared" si="5"/>
        <v>0</v>
      </c>
      <c r="AA13" s="14">
        <f t="shared" si="5"/>
        <v>0</v>
      </c>
      <c r="AB13" s="14">
        <f t="shared" si="5"/>
        <v>14</v>
      </c>
      <c r="AC13" s="14">
        <f t="shared" si="5"/>
        <v>16333</v>
      </c>
      <c r="AD13" s="14">
        <f t="shared" si="5"/>
        <v>0</v>
      </c>
      <c r="AE13" s="14">
        <f t="shared" si="5"/>
        <v>0</v>
      </c>
      <c r="AF13" s="14">
        <f t="shared" si="5"/>
        <v>1</v>
      </c>
      <c r="AG13" s="14">
        <f t="shared" si="5"/>
        <v>161</v>
      </c>
      <c r="AH13" s="14">
        <f t="shared" si="5"/>
        <v>0</v>
      </c>
      <c r="AI13" s="14">
        <f t="shared" si="5"/>
        <v>0</v>
      </c>
      <c r="AJ13" s="14">
        <f t="shared" si="5"/>
        <v>3</v>
      </c>
      <c r="AK13" s="14">
        <f t="shared" si="5"/>
        <v>10690</v>
      </c>
      <c r="AL13" s="14">
        <f t="shared" si="5"/>
        <v>0</v>
      </c>
      <c r="AM13" s="14">
        <f t="shared" si="5"/>
        <v>0</v>
      </c>
    </row>
    <row r="14" ht="150" spans="1:39">
      <c r="A14" s="21"/>
      <c r="B14" s="22" t="s">
        <v>35</v>
      </c>
      <c r="C14" s="23" t="s">
        <v>31</v>
      </c>
      <c r="D14" s="23" t="s">
        <v>36</v>
      </c>
      <c r="E14" s="24"/>
      <c r="F14" s="24"/>
      <c r="G14" s="18">
        <v>58</v>
      </c>
      <c r="H14" s="14">
        <f t="shared" si="1"/>
        <v>58</v>
      </c>
      <c r="I14" s="14">
        <f>+L14+N14+P14+R14+T14+V14+X14+Z14+AB14+AD14+AF14+AH14+AJ14+AL14</f>
        <v>65</v>
      </c>
      <c r="J14" s="14">
        <f>+M14+O14+Q14+S14+U14+W14+Y14+AA14+AC14+AE14+AG14+AI14+AK14+AM14</f>
        <v>171844</v>
      </c>
      <c r="K14" s="53"/>
      <c r="L14" s="18">
        <v>6</v>
      </c>
      <c r="M14" s="18">
        <v>41393</v>
      </c>
      <c r="N14" s="18">
        <v>0</v>
      </c>
      <c r="O14" s="18">
        <v>0</v>
      </c>
      <c r="P14" s="18">
        <v>22</v>
      </c>
      <c r="Q14" s="18">
        <v>56036</v>
      </c>
      <c r="R14" s="18">
        <v>0</v>
      </c>
      <c r="S14" s="18">
        <v>0</v>
      </c>
      <c r="T14" s="18">
        <v>21</v>
      </c>
      <c r="U14" s="18">
        <v>56811</v>
      </c>
      <c r="V14" s="18">
        <v>0</v>
      </c>
      <c r="W14" s="18">
        <v>0</v>
      </c>
      <c r="X14" s="18">
        <v>2</v>
      </c>
      <c r="Y14" s="18">
        <v>1435</v>
      </c>
      <c r="Z14" s="18">
        <v>0</v>
      </c>
      <c r="AA14" s="18">
        <v>0</v>
      </c>
      <c r="AB14" s="18">
        <v>12</v>
      </c>
      <c r="AC14" s="18">
        <v>13771</v>
      </c>
      <c r="AD14" s="18">
        <v>0</v>
      </c>
      <c r="AE14" s="18">
        <v>0</v>
      </c>
      <c r="AF14" s="18">
        <v>1</v>
      </c>
      <c r="AG14" s="18">
        <v>161</v>
      </c>
      <c r="AH14" s="18">
        <v>0</v>
      </c>
      <c r="AI14" s="18">
        <v>0</v>
      </c>
      <c r="AJ14" s="18">
        <v>1</v>
      </c>
      <c r="AK14" s="18">
        <v>2237</v>
      </c>
      <c r="AL14" s="18">
        <v>0</v>
      </c>
      <c r="AM14" s="18">
        <v>0</v>
      </c>
    </row>
    <row r="15" ht="150" spans="1:39">
      <c r="A15" s="21"/>
      <c r="B15" s="22" t="s">
        <v>37</v>
      </c>
      <c r="C15" s="23" t="s">
        <v>33</v>
      </c>
      <c r="D15" s="23" t="s">
        <v>38</v>
      </c>
      <c r="E15" s="24"/>
      <c r="F15" s="24"/>
      <c r="G15" s="18">
        <v>43</v>
      </c>
      <c r="H15" s="14">
        <f t="shared" si="1"/>
        <v>43</v>
      </c>
      <c r="I15" s="14">
        <f>+L15+N15+P15+R15+T15+V15+X15+Z15+AB15+AD15+AF15+AH15+AJ15+AL15</f>
        <v>47</v>
      </c>
      <c r="J15" s="14">
        <f>+M15+O15+Q15+S15+U15+W15+Y15+AA15+AC15+AE15+AG15+AI15+AK15+AM15</f>
        <v>387480</v>
      </c>
      <c r="K15" s="53"/>
      <c r="L15" s="18">
        <v>0</v>
      </c>
      <c r="M15" s="18">
        <v>0</v>
      </c>
      <c r="N15" s="18">
        <v>0</v>
      </c>
      <c r="O15" s="18">
        <v>0</v>
      </c>
      <c r="P15" s="18">
        <v>31</v>
      </c>
      <c r="Q15" s="18">
        <v>307853</v>
      </c>
      <c r="R15" s="18">
        <v>0</v>
      </c>
      <c r="S15" s="18">
        <v>0</v>
      </c>
      <c r="T15" s="18">
        <v>10</v>
      </c>
      <c r="U15" s="18">
        <v>54397</v>
      </c>
      <c r="V15" s="18">
        <v>0</v>
      </c>
      <c r="W15" s="18">
        <v>0</v>
      </c>
      <c r="X15" s="18">
        <v>2</v>
      </c>
      <c r="Y15" s="18">
        <v>14215</v>
      </c>
      <c r="Z15" s="18">
        <v>0</v>
      </c>
      <c r="AA15" s="18">
        <v>0</v>
      </c>
      <c r="AB15" s="18">
        <v>2</v>
      </c>
      <c r="AC15" s="18">
        <v>2562</v>
      </c>
      <c r="AD15" s="18">
        <v>0</v>
      </c>
      <c r="AE15" s="18">
        <v>0</v>
      </c>
      <c r="AF15" s="18">
        <v>0</v>
      </c>
      <c r="AG15" s="18">
        <v>0</v>
      </c>
      <c r="AH15" s="18">
        <v>0</v>
      </c>
      <c r="AI15" s="18">
        <v>0</v>
      </c>
      <c r="AJ15" s="18">
        <v>2</v>
      </c>
      <c r="AK15" s="18">
        <v>8453</v>
      </c>
      <c r="AL15" s="18">
        <v>0</v>
      </c>
      <c r="AM15" s="18">
        <v>0</v>
      </c>
    </row>
    <row r="16" spans="1:39">
      <c r="A16" s="12">
        <v>8</v>
      </c>
      <c r="B16" s="12"/>
      <c r="C16" s="8" t="s">
        <v>39</v>
      </c>
      <c r="D16" s="8"/>
      <c r="E16" s="8"/>
      <c r="F16" s="8"/>
      <c r="G16" s="14">
        <f>G17+G23+G28</f>
        <v>675</v>
      </c>
      <c r="H16" s="14">
        <f t="shared" si="1"/>
        <v>675</v>
      </c>
      <c r="I16" s="26">
        <f>I17+I23+I28</f>
        <v>3510</v>
      </c>
      <c r="J16" s="26">
        <f>J17+J23+J28</f>
        <v>13674395</v>
      </c>
      <c r="K16" s="53"/>
      <c r="L16" s="26">
        <f t="shared" ref="L16:AM16" si="6">L17+L23+L28</f>
        <v>489</v>
      </c>
      <c r="M16" s="26">
        <f t="shared" si="6"/>
        <v>691555</v>
      </c>
      <c r="N16" s="26">
        <f t="shared" si="6"/>
        <v>0</v>
      </c>
      <c r="O16" s="26">
        <f t="shared" si="6"/>
        <v>0</v>
      </c>
      <c r="P16" s="26">
        <f t="shared" si="6"/>
        <v>2257</v>
      </c>
      <c r="Q16" s="26">
        <f t="shared" si="6"/>
        <v>6887828</v>
      </c>
      <c r="R16" s="26">
        <f t="shared" si="6"/>
        <v>47</v>
      </c>
      <c r="S16" s="26">
        <f t="shared" si="6"/>
        <v>4223110</v>
      </c>
      <c r="T16" s="26">
        <f t="shared" si="6"/>
        <v>314</v>
      </c>
      <c r="U16" s="26">
        <f t="shared" si="6"/>
        <v>1306842</v>
      </c>
      <c r="V16" s="26">
        <f t="shared" si="6"/>
        <v>0</v>
      </c>
      <c r="W16" s="26">
        <f t="shared" si="6"/>
        <v>0</v>
      </c>
      <c r="X16" s="26">
        <f t="shared" si="6"/>
        <v>48</v>
      </c>
      <c r="Y16" s="26">
        <f t="shared" si="6"/>
        <v>39039</v>
      </c>
      <c r="Z16" s="26">
        <f t="shared" si="6"/>
        <v>0</v>
      </c>
      <c r="AA16" s="26">
        <f t="shared" si="6"/>
        <v>0</v>
      </c>
      <c r="AB16" s="26">
        <f t="shared" si="6"/>
        <v>292</v>
      </c>
      <c r="AC16" s="26">
        <f t="shared" si="6"/>
        <v>362463</v>
      </c>
      <c r="AD16" s="26">
        <f t="shared" si="6"/>
        <v>0</v>
      </c>
      <c r="AE16" s="26">
        <f t="shared" si="6"/>
        <v>0</v>
      </c>
      <c r="AF16" s="26">
        <f t="shared" si="6"/>
        <v>23</v>
      </c>
      <c r="AG16" s="26">
        <f t="shared" si="6"/>
        <v>45764</v>
      </c>
      <c r="AH16" s="26">
        <f t="shared" si="6"/>
        <v>0</v>
      </c>
      <c r="AI16" s="26">
        <f t="shared" si="6"/>
        <v>0</v>
      </c>
      <c r="AJ16" s="26">
        <f t="shared" si="6"/>
        <v>40</v>
      </c>
      <c r="AK16" s="26">
        <f t="shared" si="6"/>
        <v>117794</v>
      </c>
      <c r="AL16" s="26">
        <f t="shared" si="6"/>
        <v>0</v>
      </c>
      <c r="AM16" s="26">
        <f t="shared" si="6"/>
        <v>0</v>
      </c>
    </row>
    <row r="17" spans="1:39">
      <c r="A17" s="12"/>
      <c r="B17" s="12">
        <v>8.1</v>
      </c>
      <c r="C17" s="8" t="s">
        <v>40</v>
      </c>
      <c r="D17" s="8"/>
      <c r="E17" s="8"/>
      <c r="F17" s="8"/>
      <c r="G17" s="26">
        <f>SUM(G18:G22)</f>
        <v>7</v>
      </c>
      <c r="H17" s="14">
        <f t="shared" si="1"/>
        <v>7</v>
      </c>
      <c r="I17" s="26">
        <f>SUM(I18:I22)</f>
        <v>12</v>
      </c>
      <c r="J17" s="26">
        <f>SUM(J18:J22)</f>
        <v>1728969</v>
      </c>
      <c r="K17" s="53"/>
      <c r="L17" s="26">
        <f t="shared" ref="L17:AM17" si="7">SUM(L18:L22)</f>
        <v>0</v>
      </c>
      <c r="M17" s="26">
        <f t="shared" si="7"/>
        <v>0</v>
      </c>
      <c r="N17" s="26">
        <f t="shared" si="7"/>
        <v>0</v>
      </c>
      <c r="O17" s="26">
        <f t="shared" si="7"/>
        <v>0</v>
      </c>
      <c r="P17" s="26">
        <f t="shared" si="7"/>
        <v>2</v>
      </c>
      <c r="Q17" s="26">
        <f t="shared" si="7"/>
        <v>422395</v>
      </c>
      <c r="R17" s="26">
        <f t="shared" si="7"/>
        <v>7</v>
      </c>
      <c r="S17" s="26">
        <f t="shared" si="7"/>
        <v>614355</v>
      </c>
      <c r="T17" s="26">
        <f t="shared" si="7"/>
        <v>3</v>
      </c>
      <c r="U17" s="26">
        <f t="shared" si="7"/>
        <v>692219</v>
      </c>
      <c r="V17" s="26">
        <f t="shared" si="7"/>
        <v>0</v>
      </c>
      <c r="W17" s="26">
        <f t="shared" si="7"/>
        <v>0</v>
      </c>
      <c r="X17" s="26">
        <f t="shared" si="7"/>
        <v>0</v>
      </c>
      <c r="Y17" s="26">
        <f t="shared" si="7"/>
        <v>0</v>
      </c>
      <c r="Z17" s="26">
        <f t="shared" si="7"/>
        <v>0</v>
      </c>
      <c r="AA17" s="26">
        <f t="shared" si="7"/>
        <v>0</v>
      </c>
      <c r="AB17" s="26">
        <f t="shared" si="7"/>
        <v>0</v>
      </c>
      <c r="AC17" s="26">
        <f t="shared" si="7"/>
        <v>0</v>
      </c>
      <c r="AD17" s="26">
        <f t="shared" si="7"/>
        <v>0</v>
      </c>
      <c r="AE17" s="26">
        <f t="shared" si="7"/>
        <v>0</v>
      </c>
      <c r="AF17" s="26">
        <f t="shared" si="7"/>
        <v>0</v>
      </c>
      <c r="AG17" s="26">
        <f t="shared" si="7"/>
        <v>0</v>
      </c>
      <c r="AH17" s="26">
        <f t="shared" si="7"/>
        <v>0</v>
      </c>
      <c r="AI17" s="26">
        <f t="shared" si="7"/>
        <v>0</v>
      </c>
      <c r="AJ17" s="26">
        <f t="shared" si="7"/>
        <v>0</v>
      </c>
      <c r="AK17" s="26">
        <f t="shared" si="7"/>
        <v>0</v>
      </c>
      <c r="AL17" s="26">
        <f t="shared" si="7"/>
        <v>0</v>
      </c>
      <c r="AM17" s="26">
        <f t="shared" si="7"/>
        <v>0</v>
      </c>
    </row>
    <row r="18" ht="100" spans="1:39">
      <c r="A18" s="27"/>
      <c r="B18" s="16" t="s">
        <v>41</v>
      </c>
      <c r="C18" s="28" t="s">
        <v>42</v>
      </c>
      <c r="D18" s="28" t="s">
        <v>43</v>
      </c>
      <c r="E18" s="29"/>
      <c r="F18" s="29"/>
      <c r="G18" s="18">
        <v>3</v>
      </c>
      <c r="H18" s="14">
        <f t="shared" si="1"/>
        <v>3</v>
      </c>
      <c r="I18" s="14">
        <f t="shared" ref="I18:J22" si="8">+L18+N18+P18+R18+T18+V18+X18+Z18+AB18+AD18+AF18+AH18+AJ18+AL18</f>
        <v>7</v>
      </c>
      <c r="J18" s="14">
        <f t="shared" si="8"/>
        <v>614355</v>
      </c>
      <c r="K18" s="53"/>
      <c r="L18" s="18">
        <v>0</v>
      </c>
      <c r="M18" s="18">
        <v>0</v>
      </c>
      <c r="N18" s="18">
        <v>0</v>
      </c>
      <c r="O18" s="18">
        <v>0</v>
      </c>
      <c r="P18" s="18">
        <v>0</v>
      </c>
      <c r="Q18" s="18">
        <v>0</v>
      </c>
      <c r="R18" s="18">
        <v>7</v>
      </c>
      <c r="S18" s="18">
        <v>614355</v>
      </c>
      <c r="T18" s="18">
        <v>0</v>
      </c>
      <c r="U18" s="18">
        <v>0</v>
      </c>
      <c r="V18" s="18">
        <v>0</v>
      </c>
      <c r="W18" s="18">
        <v>0</v>
      </c>
      <c r="X18" s="18">
        <v>0</v>
      </c>
      <c r="Y18" s="18">
        <v>0</v>
      </c>
      <c r="Z18" s="18">
        <v>0</v>
      </c>
      <c r="AA18" s="18">
        <v>0</v>
      </c>
      <c r="AB18" s="18">
        <v>0</v>
      </c>
      <c r="AC18" s="18">
        <v>0</v>
      </c>
      <c r="AD18" s="18">
        <v>0</v>
      </c>
      <c r="AE18" s="18">
        <v>0</v>
      </c>
      <c r="AF18" s="18">
        <v>0</v>
      </c>
      <c r="AG18" s="18">
        <v>0</v>
      </c>
      <c r="AH18" s="18">
        <v>0</v>
      </c>
      <c r="AI18" s="18">
        <v>0</v>
      </c>
      <c r="AJ18" s="18">
        <v>0</v>
      </c>
      <c r="AK18" s="18">
        <v>0</v>
      </c>
      <c r="AL18" s="18">
        <v>0</v>
      </c>
      <c r="AM18" s="18">
        <v>0</v>
      </c>
    </row>
    <row r="19" spans="1:39">
      <c r="A19" s="27"/>
      <c r="B19" s="16" t="s">
        <v>44</v>
      </c>
      <c r="C19" s="28" t="s">
        <v>45</v>
      </c>
      <c r="D19" s="28"/>
      <c r="E19" s="29"/>
      <c r="F19" s="29"/>
      <c r="G19" s="18">
        <v>0</v>
      </c>
      <c r="H19" s="14">
        <f t="shared" si="1"/>
        <v>0</v>
      </c>
      <c r="I19" s="14">
        <f t="shared" si="8"/>
        <v>0</v>
      </c>
      <c r="J19" s="14">
        <f t="shared" si="8"/>
        <v>0</v>
      </c>
      <c r="K19" s="53"/>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row>
    <row r="20" ht="90" spans="1:39">
      <c r="A20" s="27"/>
      <c r="B20" s="16" t="s">
        <v>46</v>
      </c>
      <c r="C20" s="28" t="s">
        <v>47</v>
      </c>
      <c r="D20" s="28" t="s">
        <v>48</v>
      </c>
      <c r="E20" s="29"/>
      <c r="F20" s="29"/>
      <c r="G20" s="18">
        <v>3</v>
      </c>
      <c r="H20" s="14">
        <f t="shared" si="1"/>
        <v>3</v>
      </c>
      <c r="I20" s="14">
        <f t="shared" si="8"/>
        <v>3</v>
      </c>
      <c r="J20" s="14">
        <f t="shared" si="8"/>
        <v>697870</v>
      </c>
      <c r="K20" s="53"/>
      <c r="L20" s="18">
        <v>0</v>
      </c>
      <c r="M20" s="18">
        <v>0</v>
      </c>
      <c r="N20" s="18">
        <v>0</v>
      </c>
      <c r="O20" s="18">
        <v>0</v>
      </c>
      <c r="P20" s="18">
        <v>1</v>
      </c>
      <c r="Q20" s="18">
        <v>146920</v>
      </c>
      <c r="R20" s="18">
        <v>0</v>
      </c>
      <c r="S20" s="18">
        <v>0</v>
      </c>
      <c r="T20" s="18">
        <v>2</v>
      </c>
      <c r="U20" s="18">
        <v>550950</v>
      </c>
      <c r="V20" s="18">
        <v>0</v>
      </c>
      <c r="W20" s="18">
        <v>0</v>
      </c>
      <c r="X20" s="18">
        <v>0</v>
      </c>
      <c r="Y20" s="18">
        <v>0</v>
      </c>
      <c r="Z20" s="18">
        <v>0</v>
      </c>
      <c r="AA20" s="18">
        <v>0</v>
      </c>
      <c r="AB20" s="18">
        <v>0</v>
      </c>
      <c r="AC20" s="18">
        <v>0</v>
      </c>
      <c r="AD20" s="18">
        <v>0</v>
      </c>
      <c r="AE20" s="18">
        <v>0</v>
      </c>
      <c r="AF20" s="18">
        <v>0</v>
      </c>
      <c r="AG20" s="18">
        <v>0</v>
      </c>
      <c r="AH20" s="18">
        <v>0</v>
      </c>
      <c r="AI20" s="18">
        <v>0</v>
      </c>
      <c r="AJ20" s="18">
        <v>0</v>
      </c>
      <c r="AK20" s="18">
        <v>0</v>
      </c>
      <c r="AL20" s="18">
        <v>0</v>
      </c>
      <c r="AM20" s="18">
        <v>0</v>
      </c>
    </row>
    <row r="21" ht="100" spans="1:39">
      <c r="A21" s="30"/>
      <c r="B21" s="16" t="s">
        <v>49</v>
      </c>
      <c r="C21" s="28" t="s">
        <v>50</v>
      </c>
      <c r="D21" s="28" t="s">
        <v>51</v>
      </c>
      <c r="E21" s="29"/>
      <c r="F21" s="29"/>
      <c r="G21" s="18">
        <v>1</v>
      </c>
      <c r="H21" s="14">
        <f t="shared" si="1"/>
        <v>1</v>
      </c>
      <c r="I21" s="14">
        <f t="shared" si="8"/>
        <v>1</v>
      </c>
      <c r="J21" s="14">
        <f t="shared" si="8"/>
        <v>141269</v>
      </c>
      <c r="K21" s="53"/>
      <c r="L21" s="18">
        <v>0</v>
      </c>
      <c r="M21" s="18">
        <v>0</v>
      </c>
      <c r="N21" s="18">
        <v>0</v>
      </c>
      <c r="O21" s="18">
        <v>0</v>
      </c>
      <c r="P21" s="18">
        <v>0</v>
      </c>
      <c r="Q21" s="18">
        <v>0</v>
      </c>
      <c r="R21" s="18">
        <v>0</v>
      </c>
      <c r="S21" s="18">
        <v>0</v>
      </c>
      <c r="T21" s="18">
        <v>1</v>
      </c>
      <c r="U21" s="18">
        <v>141269</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0</v>
      </c>
      <c r="AM21" s="18">
        <v>0</v>
      </c>
    </row>
    <row r="22" ht="100" spans="1:39">
      <c r="A22" s="30"/>
      <c r="B22" s="16" t="s">
        <v>52</v>
      </c>
      <c r="C22" s="31" t="s">
        <v>53</v>
      </c>
      <c r="D22" s="31" t="s">
        <v>54</v>
      </c>
      <c r="E22" s="32"/>
      <c r="F22" s="32"/>
      <c r="G22" s="18">
        <v>0</v>
      </c>
      <c r="H22" s="14">
        <f t="shared" si="1"/>
        <v>0</v>
      </c>
      <c r="I22" s="14">
        <f t="shared" si="8"/>
        <v>1</v>
      </c>
      <c r="J22" s="14">
        <f t="shared" si="8"/>
        <v>275475</v>
      </c>
      <c r="K22" s="53"/>
      <c r="L22" s="18">
        <v>0</v>
      </c>
      <c r="M22" s="18">
        <v>0</v>
      </c>
      <c r="N22" s="18">
        <v>0</v>
      </c>
      <c r="O22" s="18">
        <v>0</v>
      </c>
      <c r="P22" s="18">
        <v>1</v>
      </c>
      <c r="Q22" s="18">
        <v>275475</v>
      </c>
      <c r="R22" s="18">
        <v>0</v>
      </c>
      <c r="S22" s="18">
        <v>0</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0</v>
      </c>
      <c r="AK22" s="18">
        <v>0</v>
      </c>
      <c r="AL22" s="18">
        <v>0</v>
      </c>
      <c r="AM22" s="18">
        <v>0</v>
      </c>
    </row>
    <row r="23" spans="1:39">
      <c r="A23" s="12"/>
      <c r="B23" s="12" t="s">
        <v>55</v>
      </c>
      <c r="C23" s="8" t="s">
        <v>56</v>
      </c>
      <c r="D23" s="8"/>
      <c r="E23" s="26">
        <f>SUM(E26:E27)</f>
        <v>105</v>
      </c>
      <c r="F23" s="26">
        <f>SUM(F26:F27)</f>
        <v>4</v>
      </c>
      <c r="G23" s="26">
        <f>SUM(G24:G27)</f>
        <v>668</v>
      </c>
      <c r="H23" s="14">
        <f>SUM(E23:G23)</f>
        <v>777</v>
      </c>
      <c r="I23" s="26">
        <f>SUM(I24:I27)</f>
        <v>1577</v>
      </c>
      <c r="J23" s="26">
        <f>SUM(J24:J27)</f>
        <v>10385066</v>
      </c>
      <c r="K23" s="53"/>
      <c r="L23" s="26">
        <f t="shared" ref="L23:AM23" si="9">SUM(L24:L27)</f>
        <v>190</v>
      </c>
      <c r="M23" s="26">
        <f t="shared" si="9"/>
        <v>615118</v>
      </c>
      <c r="N23" s="26">
        <f t="shared" si="9"/>
        <v>0</v>
      </c>
      <c r="O23" s="26">
        <f t="shared" si="9"/>
        <v>0</v>
      </c>
      <c r="P23" s="26">
        <f t="shared" si="9"/>
        <v>809</v>
      </c>
      <c r="Q23" s="26">
        <f t="shared" si="9"/>
        <v>5039989</v>
      </c>
      <c r="R23" s="26">
        <f t="shared" si="9"/>
        <v>40</v>
      </c>
      <c r="S23" s="26">
        <f t="shared" si="9"/>
        <v>3608755</v>
      </c>
      <c r="T23" s="26">
        <f t="shared" si="9"/>
        <v>311</v>
      </c>
      <c r="U23" s="26">
        <f t="shared" si="9"/>
        <v>614623</v>
      </c>
      <c r="V23" s="26">
        <f t="shared" si="9"/>
        <v>0</v>
      </c>
      <c r="W23" s="26">
        <f t="shared" si="9"/>
        <v>0</v>
      </c>
      <c r="X23" s="26">
        <f t="shared" si="9"/>
        <v>42</v>
      </c>
      <c r="Y23" s="26">
        <f t="shared" si="9"/>
        <v>33076</v>
      </c>
      <c r="Z23" s="26">
        <f t="shared" si="9"/>
        <v>0</v>
      </c>
      <c r="AA23" s="26">
        <f t="shared" si="9"/>
        <v>0</v>
      </c>
      <c r="AB23" s="26">
        <f t="shared" si="9"/>
        <v>123</v>
      </c>
      <c r="AC23" s="26">
        <f t="shared" si="9"/>
        <v>310499</v>
      </c>
      <c r="AD23" s="26">
        <f t="shared" si="9"/>
        <v>0</v>
      </c>
      <c r="AE23" s="26">
        <f t="shared" si="9"/>
        <v>0</v>
      </c>
      <c r="AF23" s="26">
        <f t="shared" si="9"/>
        <v>22</v>
      </c>
      <c r="AG23" s="26">
        <f t="shared" si="9"/>
        <v>45212</v>
      </c>
      <c r="AH23" s="26">
        <f t="shared" si="9"/>
        <v>0</v>
      </c>
      <c r="AI23" s="26">
        <f t="shared" si="9"/>
        <v>0</v>
      </c>
      <c r="AJ23" s="26">
        <f t="shared" si="9"/>
        <v>40</v>
      </c>
      <c r="AK23" s="26">
        <f t="shared" si="9"/>
        <v>117794</v>
      </c>
      <c r="AL23" s="26">
        <f t="shared" si="9"/>
        <v>0</v>
      </c>
      <c r="AM23" s="26">
        <f t="shared" si="9"/>
        <v>0</v>
      </c>
    </row>
    <row r="24" spans="1:39">
      <c r="A24" s="30"/>
      <c r="B24" s="33" t="s">
        <v>57</v>
      </c>
      <c r="C24" s="34" t="s">
        <v>58</v>
      </c>
      <c r="D24" s="34"/>
      <c r="E24" s="35"/>
      <c r="F24" s="36"/>
      <c r="G24" s="18">
        <v>0</v>
      </c>
      <c r="H24" s="14">
        <f t="shared" si="1"/>
        <v>0</v>
      </c>
      <c r="I24" s="14">
        <f t="shared" ref="I24:J27" si="10">+L24+N24+P24+R24+T24+V24+X24+Z24+AB24+AD24+AF24+AH24+AJ24+AL24</f>
        <v>0</v>
      </c>
      <c r="J24" s="14">
        <f t="shared" si="10"/>
        <v>0</v>
      </c>
      <c r="K24" s="53"/>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c r="AL24" s="18">
        <v>0</v>
      </c>
      <c r="AM24" s="18">
        <v>0</v>
      </c>
    </row>
    <row r="25" spans="1:39">
      <c r="A25" s="21"/>
      <c r="B25" s="33" t="s">
        <v>59</v>
      </c>
      <c r="C25" s="34" t="s">
        <v>60</v>
      </c>
      <c r="D25" s="34" t="s">
        <v>61</v>
      </c>
      <c r="E25" s="35"/>
      <c r="F25" s="36"/>
      <c r="G25" s="18">
        <v>80</v>
      </c>
      <c r="H25" s="14">
        <f t="shared" si="1"/>
        <v>80</v>
      </c>
      <c r="I25" s="14">
        <f t="shared" si="10"/>
        <v>236</v>
      </c>
      <c r="J25" s="14">
        <f t="shared" si="10"/>
        <v>6156386</v>
      </c>
      <c r="K25" s="53"/>
      <c r="L25" s="18">
        <v>17</v>
      </c>
      <c r="M25" s="18">
        <v>282961</v>
      </c>
      <c r="N25" s="18">
        <v>0</v>
      </c>
      <c r="O25" s="18">
        <v>0</v>
      </c>
      <c r="P25" s="18">
        <v>110</v>
      </c>
      <c r="Q25" s="18">
        <v>1999158</v>
      </c>
      <c r="R25" s="18">
        <v>40</v>
      </c>
      <c r="S25" s="18">
        <v>3608755</v>
      </c>
      <c r="T25" s="18">
        <v>35</v>
      </c>
      <c r="U25" s="18">
        <v>177457</v>
      </c>
      <c r="V25" s="18">
        <v>0</v>
      </c>
      <c r="W25" s="18">
        <v>0</v>
      </c>
      <c r="X25" s="18">
        <v>0</v>
      </c>
      <c r="Y25" s="18">
        <v>0</v>
      </c>
      <c r="Z25" s="18">
        <v>0</v>
      </c>
      <c r="AA25" s="18">
        <v>0</v>
      </c>
      <c r="AB25" s="18">
        <v>9</v>
      </c>
      <c r="AC25" s="18">
        <v>74823</v>
      </c>
      <c r="AD25" s="18">
        <v>0</v>
      </c>
      <c r="AE25" s="18">
        <v>0</v>
      </c>
      <c r="AF25" s="18">
        <v>0</v>
      </c>
      <c r="AG25" s="18">
        <v>0</v>
      </c>
      <c r="AH25" s="18">
        <v>0</v>
      </c>
      <c r="AI25" s="18">
        <v>0</v>
      </c>
      <c r="AJ25" s="18">
        <v>25</v>
      </c>
      <c r="AK25" s="18">
        <v>13232</v>
      </c>
      <c r="AL25" s="18">
        <v>0</v>
      </c>
      <c r="AM25" s="18">
        <v>0</v>
      </c>
    </row>
    <row r="26" spans="1:39">
      <c r="A26" s="37"/>
      <c r="B26" s="33" t="s">
        <v>62</v>
      </c>
      <c r="C26" s="38" t="s">
        <v>63</v>
      </c>
      <c r="D26" s="38" t="s">
        <v>64</v>
      </c>
      <c r="E26" s="39">
        <v>105</v>
      </c>
      <c r="F26" s="39">
        <v>4</v>
      </c>
      <c r="G26" s="36"/>
      <c r="H26" s="14">
        <f>SUM(E26:G26)</f>
        <v>109</v>
      </c>
      <c r="I26" s="14">
        <f t="shared" si="10"/>
        <v>109</v>
      </c>
      <c r="J26" s="14">
        <f t="shared" si="10"/>
        <v>1877965</v>
      </c>
      <c r="K26" s="53"/>
      <c r="L26" s="18">
        <v>6</v>
      </c>
      <c r="M26" s="18">
        <v>60102</v>
      </c>
      <c r="N26" s="18">
        <v>0</v>
      </c>
      <c r="O26" s="18">
        <v>0</v>
      </c>
      <c r="P26" s="18">
        <v>103</v>
      </c>
      <c r="Q26" s="18">
        <v>1817863</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c r="AL26" s="18">
        <v>0</v>
      </c>
      <c r="AM26" s="18">
        <v>0</v>
      </c>
    </row>
    <row r="27" ht="170" spans="1:39">
      <c r="A27" s="37"/>
      <c r="B27" s="33" t="s">
        <v>65</v>
      </c>
      <c r="C27" s="40" t="s">
        <v>66</v>
      </c>
      <c r="D27" s="40" t="s">
        <v>67</v>
      </c>
      <c r="E27" s="35"/>
      <c r="F27" s="36"/>
      <c r="G27" s="18">
        <v>588</v>
      </c>
      <c r="H27" s="14">
        <f t="shared" ref="H27:H47" si="11">SUM(E27:G27)</f>
        <v>588</v>
      </c>
      <c r="I27" s="14">
        <f t="shared" si="10"/>
        <v>1232</v>
      </c>
      <c r="J27" s="14">
        <f t="shared" si="10"/>
        <v>2350715</v>
      </c>
      <c r="K27" s="53"/>
      <c r="L27" s="18">
        <v>167</v>
      </c>
      <c r="M27" s="18">
        <v>272055</v>
      </c>
      <c r="N27" s="18">
        <v>0</v>
      </c>
      <c r="O27" s="18">
        <v>0</v>
      </c>
      <c r="P27" s="18">
        <v>596</v>
      </c>
      <c r="Q27" s="18">
        <v>1222968</v>
      </c>
      <c r="R27" s="18">
        <v>0</v>
      </c>
      <c r="S27" s="18">
        <v>0</v>
      </c>
      <c r="T27" s="18">
        <v>276</v>
      </c>
      <c r="U27" s="18">
        <v>437166</v>
      </c>
      <c r="V27" s="18">
        <v>0</v>
      </c>
      <c r="W27" s="18">
        <v>0</v>
      </c>
      <c r="X27" s="18">
        <v>42</v>
      </c>
      <c r="Y27" s="18">
        <v>33076</v>
      </c>
      <c r="Z27" s="18">
        <v>0</v>
      </c>
      <c r="AA27" s="18">
        <v>0</v>
      </c>
      <c r="AB27" s="18">
        <v>114</v>
      </c>
      <c r="AC27" s="18">
        <v>235676</v>
      </c>
      <c r="AD27" s="18">
        <v>0</v>
      </c>
      <c r="AE27" s="18">
        <v>0</v>
      </c>
      <c r="AF27" s="18">
        <v>22</v>
      </c>
      <c r="AG27" s="18">
        <v>45212</v>
      </c>
      <c r="AH27" s="18">
        <v>0</v>
      </c>
      <c r="AI27" s="18">
        <v>0</v>
      </c>
      <c r="AJ27" s="18">
        <v>15</v>
      </c>
      <c r="AK27" s="18">
        <v>104562</v>
      </c>
      <c r="AL27" s="18">
        <v>0</v>
      </c>
      <c r="AM27" s="18">
        <v>0</v>
      </c>
    </row>
    <row r="28" ht="105" spans="1:39">
      <c r="A28" s="12"/>
      <c r="B28" s="12">
        <v>8.3</v>
      </c>
      <c r="C28" s="8" t="s">
        <v>68</v>
      </c>
      <c r="D28" s="8" t="s">
        <v>69</v>
      </c>
      <c r="E28" s="26">
        <f>E29+E39</f>
        <v>1659</v>
      </c>
      <c r="F28" s="26">
        <f>F29+F39</f>
        <v>262</v>
      </c>
      <c r="G28" s="36"/>
      <c r="H28" s="14">
        <f t="shared" si="11"/>
        <v>1921</v>
      </c>
      <c r="I28" s="26">
        <f>I29+I39</f>
        <v>1921</v>
      </c>
      <c r="J28" s="26">
        <f>J29+J39</f>
        <v>1560360</v>
      </c>
      <c r="K28" s="53"/>
      <c r="L28" s="26">
        <f t="shared" ref="L28:AM28" si="12">L29+L39</f>
        <v>299</v>
      </c>
      <c r="M28" s="26">
        <f t="shared" si="12"/>
        <v>76437</v>
      </c>
      <c r="N28" s="26">
        <f t="shared" si="12"/>
        <v>0</v>
      </c>
      <c r="O28" s="26">
        <f t="shared" si="12"/>
        <v>0</v>
      </c>
      <c r="P28" s="26">
        <f t="shared" si="12"/>
        <v>1446</v>
      </c>
      <c r="Q28" s="26">
        <f t="shared" si="12"/>
        <v>1425444</v>
      </c>
      <c r="R28" s="26">
        <f t="shared" si="12"/>
        <v>0</v>
      </c>
      <c r="S28" s="26">
        <f t="shared" si="12"/>
        <v>0</v>
      </c>
      <c r="T28" s="26">
        <f t="shared" si="12"/>
        <v>0</v>
      </c>
      <c r="U28" s="26">
        <f t="shared" si="12"/>
        <v>0</v>
      </c>
      <c r="V28" s="26">
        <f t="shared" si="12"/>
        <v>0</v>
      </c>
      <c r="W28" s="26">
        <f t="shared" si="12"/>
        <v>0</v>
      </c>
      <c r="X28" s="26">
        <f t="shared" si="12"/>
        <v>6</v>
      </c>
      <c r="Y28" s="26">
        <f t="shared" si="12"/>
        <v>5963</v>
      </c>
      <c r="Z28" s="26">
        <f t="shared" si="12"/>
        <v>0</v>
      </c>
      <c r="AA28" s="26">
        <f t="shared" si="12"/>
        <v>0</v>
      </c>
      <c r="AB28" s="26">
        <f t="shared" si="12"/>
        <v>169</v>
      </c>
      <c r="AC28" s="26">
        <f t="shared" si="12"/>
        <v>51964</v>
      </c>
      <c r="AD28" s="26">
        <f t="shared" si="12"/>
        <v>0</v>
      </c>
      <c r="AE28" s="26">
        <f t="shared" si="12"/>
        <v>0</v>
      </c>
      <c r="AF28" s="26">
        <f t="shared" si="12"/>
        <v>1</v>
      </c>
      <c r="AG28" s="26">
        <f t="shared" si="12"/>
        <v>552</v>
      </c>
      <c r="AH28" s="26">
        <f t="shared" si="12"/>
        <v>0</v>
      </c>
      <c r="AI28" s="26">
        <f t="shared" si="12"/>
        <v>0</v>
      </c>
      <c r="AJ28" s="26">
        <f t="shared" si="12"/>
        <v>0</v>
      </c>
      <c r="AK28" s="26">
        <f t="shared" si="12"/>
        <v>0</v>
      </c>
      <c r="AL28" s="26">
        <f t="shared" si="12"/>
        <v>0</v>
      </c>
      <c r="AM28" s="26">
        <f t="shared" si="12"/>
        <v>0</v>
      </c>
    </row>
    <row r="29" spans="1:39">
      <c r="A29" s="12"/>
      <c r="B29" s="12" t="s">
        <v>70</v>
      </c>
      <c r="C29" s="41" t="s">
        <v>71</v>
      </c>
      <c r="D29" s="41" t="s">
        <v>72</v>
      </c>
      <c r="E29" s="26">
        <f>SUM(E30:E38)</f>
        <v>25</v>
      </c>
      <c r="F29" s="26">
        <f>SUM(F30:F38)</f>
        <v>19</v>
      </c>
      <c r="G29" s="35"/>
      <c r="H29" s="14">
        <f t="shared" si="11"/>
        <v>44</v>
      </c>
      <c r="I29" s="26">
        <f>SUM(I30:I38)</f>
        <v>44</v>
      </c>
      <c r="J29" s="26">
        <f>SUM(J30:J38)</f>
        <v>24896</v>
      </c>
      <c r="K29" s="53"/>
      <c r="L29" s="26">
        <f t="shared" ref="L29:AM29" si="13">SUM(L30:L38)</f>
        <v>3</v>
      </c>
      <c r="M29" s="26">
        <f t="shared" si="13"/>
        <v>1475</v>
      </c>
      <c r="N29" s="26">
        <f t="shared" si="13"/>
        <v>0</v>
      </c>
      <c r="O29" s="26">
        <f t="shared" si="13"/>
        <v>0</v>
      </c>
      <c r="P29" s="26">
        <f t="shared" si="13"/>
        <v>39</v>
      </c>
      <c r="Q29" s="26">
        <f t="shared" si="13"/>
        <v>23243</v>
      </c>
      <c r="R29" s="26">
        <f t="shared" si="13"/>
        <v>0</v>
      </c>
      <c r="S29" s="26">
        <f t="shared" si="13"/>
        <v>0</v>
      </c>
      <c r="T29" s="26">
        <f t="shared" si="13"/>
        <v>0</v>
      </c>
      <c r="U29" s="26">
        <f t="shared" si="13"/>
        <v>0</v>
      </c>
      <c r="V29" s="26">
        <f t="shared" si="13"/>
        <v>0</v>
      </c>
      <c r="W29" s="26">
        <f t="shared" si="13"/>
        <v>0</v>
      </c>
      <c r="X29" s="26">
        <f t="shared" si="13"/>
        <v>0</v>
      </c>
      <c r="Y29" s="26">
        <f t="shared" si="13"/>
        <v>0</v>
      </c>
      <c r="Z29" s="26">
        <f t="shared" si="13"/>
        <v>0</v>
      </c>
      <c r="AA29" s="26">
        <f t="shared" si="13"/>
        <v>0</v>
      </c>
      <c r="AB29" s="26">
        <f t="shared" si="13"/>
        <v>2</v>
      </c>
      <c r="AC29" s="26">
        <f t="shared" si="13"/>
        <v>178</v>
      </c>
      <c r="AD29" s="26">
        <f t="shared" si="13"/>
        <v>0</v>
      </c>
      <c r="AE29" s="26">
        <f t="shared" si="13"/>
        <v>0</v>
      </c>
      <c r="AF29" s="26">
        <f t="shared" si="13"/>
        <v>0</v>
      </c>
      <c r="AG29" s="26">
        <f t="shared" si="13"/>
        <v>0</v>
      </c>
      <c r="AH29" s="26">
        <f t="shared" si="13"/>
        <v>0</v>
      </c>
      <c r="AI29" s="26">
        <f t="shared" si="13"/>
        <v>0</v>
      </c>
      <c r="AJ29" s="26">
        <f t="shared" si="13"/>
        <v>0</v>
      </c>
      <c r="AK29" s="26">
        <f t="shared" si="13"/>
        <v>0</v>
      </c>
      <c r="AL29" s="26">
        <f t="shared" si="13"/>
        <v>0</v>
      </c>
      <c r="AM29" s="26">
        <f t="shared" si="13"/>
        <v>0</v>
      </c>
    </row>
    <row r="30" ht="40" spans="1:39">
      <c r="A30" s="37"/>
      <c r="B30" s="16" t="s">
        <v>73</v>
      </c>
      <c r="C30" s="42" t="s">
        <v>74</v>
      </c>
      <c r="D30" s="42" t="s">
        <v>75</v>
      </c>
      <c r="E30" s="43">
        <v>0</v>
      </c>
      <c r="F30" s="43">
        <v>1</v>
      </c>
      <c r="G30" s="35"/>
      <c r="H30" s="14">
        <f t="shared" si="11"/>
        <v>1</v>
      </c>
      <c r="I30" s="14">
        <f t="shared" ref="I30:J38" si="14">+L30+N30+P30+R30+T30+V30+X30+Z30+AB30+AD30+AF30+AH30+AJ30+AL30</f>
        <v>1</v>
      </c>
      <c r="J30" s="14">
        <f t="shared" si="14"/>
        <v>117</v>
      </c>
      <c r="K30" s="53"/>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1</v>
      </c>
      <c r="AC30" s="18">
        <v>117</v>
      </c>
      <c r="AD30" s="18">
        <v>0</v>
      </c>
      <c r="AE30" s="18">
        <v>0</v>
      </c>
      <c r="AF30" s="18">
        <v>0</v>
      </c>
      <c r="AG30" s="18">
        <v>0</v>
      </c>
      <c r="AH30" s="18">
        <v>0</v>
      </c>
      <c r="AI30" s="18">
        <v>0</v>
      </c>
      <c r="AJ30" s="18">
        <v>0</v>
      </c>
      <c r="AK30" s="18">
        <v>0</v>
      </c>
      <c r="AL30" s="18">
        <v>0</v>
      </c>
      <c r="AM30" s="18">
        <v>0</v>
      </c>
    </row>
    <row r="31" ht="40" spans="1:39">
      <c r="A31" s="37"/>
      <c r="B31" s="16" t="s">
        <v>76</v>
      </c>
      <c r="C31" s="44" t="s">
        <v>77</v>
      </c>
      <c r="D31" s="44" t="s">
        <v>78</v>
      </c>
      <c r="E31" s="43">
        <v>0</v>
      </c>
      <c r="F31" s="43">
        <v>1</v>
      </c>
      <c r="G31" s="35"/>
      <c r="H31" s="14">
        <f t="shared" si="11"/>
        <v>1</v>
      </c>
      <c r="I31" s="14">
        <f t="shared" si="14"/>
        <v>1</v>
      </c>
      <c r="J31" s="14">
        <f t="shared" si="14"/>
        <v>27</v>
      </c>
      <c r="K31" s="53"/>
      <c r="L31" s="18">
        <v>0</v>
      </c>
      <c r="M31" s="18">
        <v>0</v>
      </c>
      <c r="N31" s="18">
        <v>0</v>
      </c>
      <c r="O31" s="18">
        <v>0</v>
      </c>
      <c r="P31" s="18">
        <v>1</v>
      </c>
      <c r="Q31" s="18">
        <v>27</v>
      </c>
      <c r="R31" s="18">
        <v>0</v>
      </c>
      <c r="S31" s="18">
        <v>0</v>
      </c>
      <c r="T31" s="18">
        <v>0</v>
      </c>
      <c r="U31" s="18">
        <v>0</v>
      </c>
      <c r="V31" s="18">
        <v>0</v>
      </c>
      <c r="W31" s="18">
        <v>0</v>
      </c>
      <c r="X31" s="18">
        <v>0</v>
      </c>
      <c r="Y31" s="18">
        <v>0</v>
      </c>
      <c r="Z31" s="18">
        <v>0</v>
      </c>
      <c r="AA31" s="18">
        <v>0</v>
      </c>
      <c r="AB31" s="18">
        <v>0</v>
      </c>
      <c r="AC31" s="18">
        <v>0</v>
      </c>
      <c r="AD31" s="18">
        <v>0</v>
      </c>
      <c r="AE31" s="18">
        <v>0</v>
      </c>
      <c r="AF31" s="18">
        <v>0</v>
      </c>
      <c r="AG31" s="18">
        <v>0</v>
      </c>
      <c r="AH31" s="18">
        <v>0</v>
      </c>
      <c r="AI31" s="18">
        <v>0</v>
      </c>
      <c r="AJ31" s="18">
        <v>0</v>
      </c>
      <c r="AK31" s="18">
        <v>0</v>
      </c>
      <c r="AL31" s="18">
        <v>0</v>
      </c>
      <c r="AM31" s="18">
        <v>0</v>
      </c>
    </row>
    <row r="32" ht="100" spans="1:39">
      <c r="A32" s="37"/>
      <c r="B32" s="16" t="s">
        <v>79</v>
      </c>
      <c r="C32" s="44" t="s">
        <v>80</v>
      </c>
      <c r="D32" s="44" t="s">
        <v>81</v>
      </c>
      <c r="E32" s="43">
        <v>0</v>
      </c>
      <c r="F32" s="43">
        <v>0</v>
      </c>
      <c r="G32" s="35"/>
      <c r="H32" s="14">
        <f t="shared" si="11"/>
        <v>0</v>
      </c>
      <c r="I32" s="14">
        <f t="shared" si="14"/>
        <v>0</v>
      </c>
      <c r="J32" s="14">
        <f t="shared" si="14"/>
        <v>0</v>
      </c>
      <c r="K32" s="53"/>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0</v>
      </c>
      <c r="AH32" s="18">
        <v>0</v>
      </c>
      <c r="AI32" s="18">
        <v>0</v>
      </c>
      <c r="AJ32" s="18">
        <v>0</v>
      </c>
      <c r="AK32" s="18">
        <v>0</v>
      </c>
      <c r="AL32" s="18">
        <v>0</v>
      </c>
      <c r="AM32" s="18">
        <v>0</v>
      </c>
    </row>
    <row r="33" spans="1:39">
      <c r="A33" s="37"/>
      <c r="B33" s="16" t="s">
        <v>82</v>
      </c>
      <c r="C33" s="44" t="s">
        <v>83</v>
      </c>
      <c r="D33" s="44" t="s">
        <v>84</v>
      </c>
      <c r="E33" s="43">
        <v>0</v>
      </c>
      <c r="F33" s="43">
        <v>0</v>
      </c>
      <c r="G33" s="35"/>
      <c r="H33" s="14">
        <f t="shared" si="11"/>
        <v>0</v>
      </c>
      <c r="I33" s="14">
        <f t="shared" si="14"/>
        <v>0</v>
      </c>
      <c r="J33" s="14">
        <f t="shared" si="14"/>
        <v>0</v>
      </c>
      <c r="K33" s="53"/>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row>
    <row r="34" spans="1:39">
      <c r="A34" s="37"/>
      <c r="B34" s="16" t="s">
        <v>85</v>
      </c>
      <c r="C34" s="44" t="s">
        <v>86</v>
      </c>
      <c r="D34" s="44" t="s">
        <v>84</v>
      </c>
      <c r="E34" s="43">
        <v>0</v>
      </c>
      <c r="F34" s="43">
        <v>0</v>
      </c>
      <c r="G34" s="35"/>
      <c r="H34" s="14">
        <f t="shared" si="11"/>
        <v>0</v>
      </c>
      <c r="I34" s="14">
        <f t="shared" si="14"/>
        <v>0</v>
      </c>
      <c r="J34" s="14">
        <f t="shared" si="14"/>
        <v>0</v>
      </c>
      <c r="K34" s="53"/>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0</v>
      </c>
      <c r="AH34" s="18">
        <v>0</v>
      </c>
      <c r="AI34" s="18">
        <v>0</v>
      </c>
      <c r="AJ34" s="18">
        <v>0</v>
      </c>
      <c r="AK34" s="18">
        <v>0</v>
      </c>
      <c r="AL34" s="18">
        <v>0</v>
      </c>
      <c r="AM34" s="18">
        <v>0</v>
      </c>
    </row>
    <row r="35" ht="40" spans="1:39">
      <c r="A35" s="37"/>
      <c r="B35" s="16" t="s">
        <v>87</v>
      </c>
      <c r="C35" s="40" t="s">
        <v>88</v>
      </c>
      <c r="D35" s="40" t="s">
        <v>89</v>
      </c>
      <c r="E35" s="43">
        <v>13</v>
      </c>
      <c r="F35" s="43">
        <v>2</v>
      </c>
      <c r="G35" s="35"/>
      <c r="H35" s="14">
        <f t="shared" si="11"/>
        <v>15</v>
      </c>
      <c r="I35" s="14">
        <f t="shared" si="14"/>
        <v>15</v>
      </c>
      <c r="J35" s="14">
        <f t="shared" si="14"/>
        <v>23635</v>
      </c>
      <c r="K35" s="53"/>
      <c r="L35" s="18">
        <v>2</v>
      </c>
      <c r="M35" s="18">
        <v>1434</v>
      </c>
      <c r="N35" s="18">
        <v>0</v>
      </c>
      <c r="O35" s="18">
        <v>0</v>
      </c>
      <c r="P35" s="18">
        <v>13</v>
      </c>
      <c r="Q35" s="18">
        <v>22201</v>
      </c>
      <c r="R35" s="18">
        <v>0</v>
      </c>
      <c r="S35" s="18">
        <v>0</v>
      </c>
      <c r="T35" s="18">
        <v>0</v>
      </c>
      <c r="U35" s="18">
        <v>0</v>
      </c>
      <c r="V35" s="18">
        <v>0</v>
      </c>
      <c r="W35" s="18">
        <v>0</v>
      </c>
      <c r="X35" s="18">
        <v>0</v>
      </c>
      <c r="Y35" s="18">
        <v>0</v>
      </c>
      <c r="Z35" s="18">
        <v>0</v>
      </c>
      <c r="AA35" s="18">
        <v>0</v>
      </c>
      <c r="AB35" s="18">
        <v>0</v>
      </c>
      <c r="AC35" s="18">
        <v>0</v>
      </c>
      <c r="AD35" s="18">
        <v>0</v>
      </c>
      <c r="AE35" s="18">
        <v>0</v>
      </c>
      <c r="AF35" s="18">
        <v>0</v>
      </c>
      <c r="AG35" s="18">
        <v>0</v>
      </c>
      <c r="AH35" s="18">
        <v>0</v>
      </c>
      <c r="AI35" s="18">
        <v>0</v>
      </c>
      <c r="AJ35" s="18">
        <v>0</v>
      </c>
      <c r="AK35" s="18">
        <v>0</v>
      </c>
      <c r="AL35" s="18">
        <v>0</v>
      </c>
      <c r="AM35" s="18">
        <v>0</v>
      </c>
    </row>
    <row r="36" spans="1:39">
      <c r="A36" s="37"/>
      <c r="B36" s="16" t="s">
        <v>90</v>
      </c>
      <c r="C36" s="44" t="s">
        <v>91</v>
      </c>
      <c r="D36" s="44" t="s">
        <v>84</v>
      </c>
      <c r="E36" s="43">
        <v>0</v>
      </c>
      <c r="F36" s="43">
        <v>0</v>
      </c>
      <c r="G36" s="35"/>
      <c r="H36" s="14">
        <f t="shared" si="11"/>
        <v>0</v>
      </c>
      <c r="I36" s="14">
        <f t="shared" si="14"/>
        <v>0</v>
      </c>
      <c r="J36" s="14">
        <f t="shared" si="14"/>
        <v>0</v>
      </c>
      <c r="K36" s="53"/>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0</v>
      </c>
      <c r="AH36" s="18">
        <v>0</v>
      </c>
      <c r="AI36" s="18">
        <v>0</v>
      </c>
      <c r="AJ36" s="18">
        <v>0</v>
      </c>
      <c r="AK36" s="18">
        <v>0</v>
      </c>
      <c r="AL36" s="18">
        <v>0</v>
      </c>
      <c r="AM36" s="18">
        <v>0</v>
      </c>
    </row>
    <row r="37" ht="30" spans="1:39">
      <c r="A37" s="37"/>
      <c r="B37" s="16" t="s">
        <v>92</v>
      </c>
      <c r="C37" s="44" t="s">
        <v>93</v>
      </c>
      <c r="D37" s="44" t="s">
        <v>94</v>
      </c>
      <c r="E37" s="43">
        <v>12</v>
      </c>
      <c r="F37" s="43">
        <v>15</v>
      </c>
      <c r="G37" s="35"/>
      <c r="H37" s="14">
        <f t="shared" si="11"/>
        <v>27</v>
      </c>
      <c r="I37" s="14">
        <f t="shared" si="14"/>
        <v>27</v>
      </c>
      <c r="J37" s="14">
        <f t="shared" si="14"/>
        <v>1117</v>
      </c>
      <c r="K37" s="53"/>
      <c r="L37" s="18">
        <v>1</v>
      </c>
      <c r="M37" s="18">
        <v>41</v>
      </c>
      <c r="N37" s="18">
        <v>0</v>
      </c>
      <c r="O37" s="18">
        <v>0</v>
      </c>
      <c r="P37" s="18">
        <v>25</v>
      </c>
      <c r="Q37" s="18">
        <v>1015</v>
      </c>
      <c r="R37" s="18">
        <v>0</v>
      </c>
      <c r="S37" s="18">
        <v>0</v>
      </c>
      <c r="T37" s="18">
        <v>0</v>
      </c>
      <c r="U37" s="18">
        <v>0</v>
      </c>
      <c r="V37" s="18">
        <v>0</v>
      </c>
      <c r="W37" s="18">
        <v>0</v>
      </c>
      <c r="X37" s="18">
        <v>0</v>
      </c>
      <c r="Y37" s="18">
        <v>0</v>
      </c>
      <c r="Z37" s="18">
        <v>0</v>
      </c>
      <c r="AA37" s="18">
        <v>0</v>
      </c>
      <c r="AB37" s="18">
        <v>1</v>
      </c>
      <c r="AC37" s="18">
        <v>61</v>
      </c>
      <c r="AD37" s="18">
        <v>0</v>
      </c>
      <c r="AE37" s="18">
        <v>0</v>
      </c>
      <c r="AF37" s="18">
        <v>0</v>
      </c>
      <c r="AG37" s="18">
        <v>0</v>
      </c>
      <c r="AH37" s="18">
        <v>0</v>
      </c>
      <c r="AI37" s="18">
        <v>0</v>
      </c>
      <c r="AJ37" s="18">
        <v>0</v>
      </c>
      <c r="AK37" s="18">
        <v>0</v>
      </c>
      <c r="AL37" s="18">
        <v>0</v>
      </c>
      <c r="AM37" s="18">
        <v>0</v>
      </c>
    </row>
    <row r="38" ht="30" spans="1:39">
      <c r="A38" s="37"/>
      <c r="B38" s="16" t="s">
        <v>95</v>
      </c>
      <c r="C38" s="44" t="s">
        <v>96</v>
      </c>
      <c r="D38" s="44" t="s">
        <v>97</v>
      </c>
      <c r="E38" s="43">
        <v>0</v>
      </c>
      <c r="F38" s="43">
        <v>0</v>
      </c>
      <c r="G38" s="35"/>
      <c r="H38" s="14">
        <f t="shared" si="11"/>
        <v>0</v>
      </c>
      <c r="I38" s="14">
        <f t="shared" si="14"/>
        <v>0</v>
      </c>
      <c r="J38" s="14">
        <f t="shared" si="14"/>
        <v>0</v>
      </c>
      <c r="K38" s="53"/>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0</v>
      </c>
      <c r="AH38" s="18">
        <v>0</v>
      </c>
      <c r="AI38" s="18">
        <v>0</v>
      </c>
      <c r="AJ38" s="18">
        <v>0</v>
      </c>
      <c r="AK38" s="18">
        <v>0</v>
      </c>
      <c r="AL38" s="18">
        <v>0</v>
      </c>
      <c r="AM38" s="18">
        <v>0</v>
      </c>
    </row>
    <row r="39" spans="1:39">
      <c r="A39" s="12"/>
      <c r="B39" s="12" t="s">
        <v>98</v>
      </c>
      <c r="C39" s="41" t="s">
        <v>99</v>
      </c>
      <c r="D39" s="41" t="s">
        <v>100</v>
      </c>
      <c r="E39" s="26">
        <f>SUM(E40:E47)</f>
        <v>1634</v>
      </c>
      <c r="F39" s="26">
        <f>SUM(F40:F47)</f>
        <v>243</v>
      </c>
      <c r="G39" s="35"/>
      <c r="H39" s="14">
        <f t="shared" si="11"/>
        <v>1877</v>
      </c>
      <c r="I39" s="26">
        <f>SUM(I40:I47)</f>
        <v>1877</v>
      </c>
      <c r="J39" s="26">
        <f>SUM(J40:J47)</f>
        <v>1535464</v>
      </c>
      <c r="K39" s="53"/>
      <c r="L39" s="26">
        <f t="shared" ref="L39:AM39" si="15">SUM(L40:L47)</f>
        <v>296</v>
      </c>
      <c r="M39" s="26">
        <f t="shared" si="15"/>
        <v>74962</v>
      </c>
      <c r="N39" s="26">
        <f t="shared" si="15"/>
        <v>0</v>
      </c>
      <c r="O39" s="26">
        <f t="shared" si="15"/>
        <v>0</v>
      </c>
      <c r="P39" s="26">
        <f t="shared" si="15"/>
        <v>1407</v>
      </c>
      <c r="Q39" s="26">
        <f t="shared" si="15"/>
        <v>1402201</v>
      </c>
      <c r="R39" s="26">
        <f t="shared" si="15"/>
        <v>0</v>
      </c>
      <c r="S39" s="26">
        <f t="shared" si="15"/>
        <v>0</v>
      </c>
      <c r="T39" s="26">
        <f t="shared" si="15"/>
        <v>0</v>
      </c>
      <c r="U39" s="26">
        <f t="shared" si="15"/>
        <v>0</v>
      </c>
      <c r="V39" s="26">
        <f t="shared" si="15"/>
        <v>0</v>
      </c>
      <c r="W39" s="26">
        <f t="shared" si="15"/>
        <v>0</v>
      </c>
      <c r="X39" s="26">
        <f t="shared" si="15"/>
        <v>6</v>
      </c>
      <c r="Y39" s="26">
        <f t="shared" si="15"/>
        <v>5963</v>
      </c>
      <c r="Z39" s="26">
        <f t="shared" si="15"/>
        <v>0</v>
      </c>
      <c r="AA39" s="26">
        <f t="shared" si="15"/>
        <v>0</v>
      </c>
      <c r="AB39" s="26">
        <f t="shared" si="15"/>
        <v>167</v>
      </c>
      <c r="AC39" s="26">
        <f t="shared" si="15"/>
        <v>51786</v>
      </c>
      <c r="AD39" s="26">
        <f t="shared" si="15"/>
        <v>0</v>
      </c>
      <c r="AE39" s="26">
        <f t="shared" si="15"/>
        <v>0</v>
      </c>
      <c r="AF39" s="26">
        <f t="shared" si="15"/>
        <v>1</v>
      </c>
      <c r="AG39" s="26">
        <f t="shared" si="15"/>
        <v>552</v>
      </c>
      <c r="AH39" s="26">
        <f t="shared" si="15"/>
        <v>0</v>
      </c>
      <c r="AI39" s="26">
        <f t="shared" si="15"/>
        <v>0</v>
      </c>
      <c r="AJ39" s="26">
        <f t="shared" si="15"/>
        <v>0</v>
      </c>
      <c r="AK39" s="26">
        <f t="shared" si="15"/>
        <v>0</v>
      </c>
      <c r="AL39" s="26">
        <f t="shared" si="15"/>
        <v>0</v>
      </c>
      <c r="AM39" s="26">
        <f t="shared" si="15"/>
        <v>0</v>
      </c>
    </row>
    <row r="40" ht="40" spans="1:39">
      <c r="A40" s="37"/>
      <c r="B40" s="16" t="s">
        <v>101</v>
      </c>
      <c r="C40" s="42" t="s">
        <v>74</v>
      </c>
      <c r="D40" s="42" t="s">
        <v>78</v>
      </c>
      <c r="E40" s="43">
        <v>152</v>
      </c>
      <c r="F40" s="43">
        <v>45</v>
      </c>
      <c r="G40" s="35"/>
      <c r="H40" s="14">
        <f t="shared" si="11"/>
        <v>197</v>
      </c>
      <c r="I40" s="14">
        <f t="shared" ref="I40:J47" si="16">+L40+N40+P40+R40+T40+V40+X40+Z40+AB40+AD40+AF40+AH40+AJ40+AL40</f>
        <v>197</v>
      </c>
      <c r="J40" s="14">
        <f t="shared" si="16"/>
        <v>8125</v>
      </c>
      <c r="K40" s="53"/>
      <c r="L40" s="18">
        <v>77</v>
      </c>
      <c r="M40" s="18">
        <v>2897</v>
      </c>
      <c r="N40" s="18">
        <v>0</v>
      </c>
      <c r="O40" s="18">
        <v>0</v>
      </c>
      <c r="P40" s="18">
        <v>84</v>
      </c>
      <c r="Q40" s="18">
        <v>2707</v>
      </c>
      <c r="R40" s="18">
        <v>0</v>
      </c>
      <c r="S40" s="18">
        <v>0</v>
      </c>
      <c r="T40" s="18">
        <v>0</v>
      </c>
      <c r="U40" s="18">
        <v>0</v>
      </c>
      <c r="V40" s="18">
        <v>0</v>
      </c>
      <c r="W40" s="18">
        <v>0</v>
      </c>
      <c r="X40" s="18">
        <v>0</v>
      </c>
      <c r="Y40" s="18">
        <v>0</v>
      </c>
      <c r="Z40" s="18">
        <v>0</v>
      </c>
      <c r="AA40" s="18">
        <v>0</v>
      </c>
      <c r="AB40" s="18">
        <v>36</v>
      </c>
      <c r="AC40" s="18">
        <v>2521</v>
      </c>
      <c r="AD40" s="18">
        <v>0</v>
      </c>
      <c r="AE40" s="18">
        <v>0</v>
      </c>
      <c r="AF40" s="18">
        <v>0</v>
      </c>
      <c r="AG40" s="18">
        <v>0</v>
      </c>
      <c r="AH40" s="18">
        <v>0</v>
      </c>
      <c r="AI40" s="18">
        <v>0</v>
      </c>
      <c r="AJ40" s="18">
        <v>0</v>
      </c>
      <c r="AK40" s="18">
        <v>0</v>
      </c>
      <c r="AL40" s="18">
        <v>0</v>
      </c>
      <c r="AM40" s="18">
        <v>0</v>
      </c>
    </row>
    <row r="41" ht="100" spans="1:39">
      <c r="A41" s="37"/>
      <c r="B41" s="16" t="s">
        <v>102</v>
      </c>
      <c r="C41" s="44" t="s">
        <v>77</v>
      </c>
      <c r="D41" s="44" t="s">
        <v>81</v>
      </c>
      <c r="E41" s="43">
        <v>131</v>
      </c>
      <c r="F41" s="43">
        <v>12</v>
      </c>
      <c r="G41" s="35"/>
      <c r="H41" s="14">
        <f t="shared" si="11"/>
        <v>143</v>
      </c>
      <c r="I41" s="14">
        <f t="shared" si="16"/>
        <v>143</v>
      </c>
      <c r="J41" s="14">
        <f t="shared" si="16"/>
        <v>19609</v>
      </c>
      <c r="K41" s="53"/>
      <c r="L41" s="18">
        <v>13</v>
      </c>
      <c r="M41" s="18">
        <v>1411</v>
      </c>
      <c r="N41" s="18">
        <v>0</v>
      </c>
      <c r="O41" s="18">
        <v>0</v>
      </c>
      <c r="P41" s="18">
        <v>99</v>
      </c>
      <c r="Q41" s="18">
        <v>13960</v>
      </c>
      <c r="R41" s="18">
        <v>0</v>
      </c>
      <c r="S41" s="18">
        <v>0</v>
      </c>
      <c r="T41" s="18">
        <v>0</v>
      </c>
      <c r="U41" s="18">
        <v>0</v>
      </c>
      <c r="V41" s="18">
        <v>0</v>
      </c>
      <c r="W41" s="18">
        <v>0</v>
      </c>
      <c r="X41" s="18">
        <v>0</v>
      </c>
      <c r="Y41" s="18">
        <v>0</v>
      </c>
      <c r="Z41" s="18">
        <v>0</v>
      </c>
      <c r="AA41" s="18">
        <v>0</v>
      </c>
      <c r="AB41" s="18">
        <v>31</v>
      </c>
      <c r="AC41" s="18">
        <v>4238</v>
      </c>
      <c r="AD41" s="18">
        <v>0</v>
      </c>
      <c r="AE41" s="18">
        <v>0</v>
      </c>
      <c r="AF41" s="18">
        <v>0</v>
      </c>
      <c r="AG41" s="18">
        <v>0</v>
      </c>
      <c r="AH41" s="18">
        <v>0</v>
      </c>
      <c r="AI41" s="18">
        <v>0</v>
      </c>
      <c r="AJ41" s="18">
        <v>0</v>
      </c>
      <c r="AK41" s="18">
        <v>0</v>
      </c>
      <c r="AL41" s="18">
        <v>0</v>
      </c>
      <c r="AM41" s="18">
        <v>0</v>
      </c>
    </row>
    <row r="42" spans="1:39">
      <c r="A42" s="37"/>
      <c r="B42" s="16" t="s">
        <v>103</v>
      </c>
      <c r="C42" s="44" t="s">
        <v>80</v>
      </c>
      <c r="D42" s="44" t="s">
        <v>84</v>
      </c>
      <c r="E42" s="43">
        <v>692</v>
      </c>
      <c r="F42" s="43">
        <v>92</v>
      </c>
      <c r="G42" s="35"/>
      <c r="H42" s="14">
        <f t="shared" si="11"/>
        <v>784</v>
      </c>
      <c r="I42" s="14">
        <f t="shared" si="16"/>
        <v>784</v>
      </c>
      <c r="J42" s="14">
        <f t="shared" si="16"/>
        <v>377845</v>
      </c>
      <c r="K42" s="53"/>
      <c r="L42" s="18">
        <v>157</v>
      </c>
      <c r="M42" s="18">
        <v>35196</v>
      </c>
      <c r="N42" s="18">
        <v>0</v>
      </c>
      <c r="O42" s="18">
        <v>0</v>
      </c>
      <c r="P42" s="18">
        <v>576</v>
      </c>
      <c r="Q42" s="18">
        <v>316049</v>
      </c>
      <c r="R42" s="18">
        <v>0</v>
      </c>
      <c r="S42" s="18">
        <v>0</v>
      </c>
      <c r="T42" s="18">
        <v>0</v>
      </c>
      <c r="U42" s="18">
        <v>0</v>
      </c>
      <c r="V42" s="18">
        <v>0</v>
      </c>
      <c r="W42" s="18">
        <v>0</v>
      </c>
      <c r="X42" s="18">
        <v>0</v>
      </c>
      <c r="Y42" s="18">
        <v>0</v>
      </c>
      <c r="Z42" s="18">
        <v>0</v>
      </c>
      <c r="AA42" s="18">
        <v>0</v>
      </c>
      <c r="AB42" s="18">
        <v>51</v>
      </c>
      <c r="AC42" s="18">
        <v>26600</v>
      </c>
      <c r="AD42" s="18">
        <v>0</v>
      </c>
      <c r="AE42" s="18">
        <v>0</v>
      </c>
      <c r="AF42" s="18">
        <v>0</v>
      </c>
      <c r="AG42" s="18">
        <v>0</v>
      </c>
      <c r="AH42" s="18">
        <v>0</v>
      </c>
      <c r="AI42" s="18">
        <v>0</v>
      </c>
      <c r="AJ42" s="18">
        <v>0</v>
      </c>
      <c r="AK42" s="18">
        <v>0</v>
      </c>
      <c r="AL42" s="18">
        <v>0</v>
      </c>
      <c r="AM42" s="18">
        <v>0</v>
      </c>
    </row>
    <row r="43" spans="1:39">
      <c r="A43" s="37"/>
      <c r="B43" s="16" t="s">
        <v>104</v>
      </c>
      <c r="C43" s="44" t="s">
        <v>83</v>
      </c>
      <c r="D43" s="44" t="s">
        <v>84</v>
      </c>
      <c r="E43" s="43">
        <v>0</v>
      </c>
      <c r="F43" s="43">
        <v>0</v>
      </c>
      <c r="G43" s="35"/>
      <c r="H43" s="14">
        <f t="shared" si="11"/>
        <v>0</v>
      </c>
      <c r="I43" s="14">
        <f t="shared" si="16"/>
        <v>0</v>
      </c>
      <c r="J43" s="14">
        <f t="shared" si="16"/>
        <v>0</v>
      </c>
      <c r="K43" s="53"/>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0</v>
      </c>
      <c r="AH43" s="18">
        <v>0</v>
      </c>
      <c r="AI43" s="18">
        <v>0</v>
      </c>
      <c r="AJ43" s="18">
        <v>0</v>
      </c>
      <c r="AK43" s="18">
        <v>0</v>
      </c>
      <c r="AL43" s="18">
        <v>0</v>
      </c>
      <c r="AM43" s="18">
        <v>0</v>
      </c>
    </row>
    <row r="44" ht="40" spans="1:39">
      <c r="A44" s="37"/>
      <c r="B44" s="16" t="s">
        <v>105</v>
      </c>
      <c r="C44" s="40" t="s">
        <v>106</v>
      </c>
      <c r="D44" s="40" t="s">
        <v>89</v>
      </c>
      <c r="E44" s="43">
        <v>521</v>
      </c>
      <c r="F44" s="43">
        <v>60</v>
      </c>
      <c r="G44" s="35"/>
      <c r="H44" s="14">
        <f t="shared" si="11"/>
        <v>581</v>
      </c>
      <c r="I44" s="14">
        <f t="shared" si="16"/>
        <v>581</v>
      </c>
      <c r="J44" s="14">
        <f t="shared" si="16"/>
        <v>1090660</v>
      </c>
      <c r="K44" s="53"/>
      <c r="L44" s="18">
        <v>28</v>
      </c>
      <c r="M44" s="18">
        <v>33740</v>
      </c>
      <c r="N44" s="18">
        <v>0</v>
      </c>
      <c r="O44" s="18">
        <v>0</v>
      </c>
      <c r="P44" s="18">
        <v>523</v>
      </c>
      <c r="Q44" s="18">
        <v>1037276</v>
      </c>
      <c r="R44" s="18">
        <v>0</v>
      </c>
      <c r="S44" s="18">
        <v>0</v>
      </c>
      <c r="T44" s="18">
        <v>0</v>
      </c>
      <c r="U44" s="18">
        <v>0</v>
      </c>
      <c r="V44" s="18">
        <v>0</v>
      </c>
      <c r="W44" s="18">
        <v>0</v>
      </c>
      <c r="X44" s="18">
        <v>6</v>
      </c>
      <c r="Y44" s="18">
        <v>5963</v>
      </c>
      <c r="Z44" s="18">
        <v>0</v>
      </c>
      <c r="AA44" s="18">
        <v>0</v>
      </c>
      <c r="AB44" s="18">
        <v>23</v>
      </c>
      <c r="AC44" s="18">
        <v>13129</v>
      </c>
      <c r="AD44" s="18">
        <v>0</v>
      </c>
      <c r="AE44" s="18">
        <v>0</v>
      </c>
      <c r="AF44" s="18">
        <v>1</v>
      </c>
      <c r="AG44" s="18">
        <v>552</v>
      </c>
      <c r="AH44" s="18">
        <v>0</v>
      </c>
      <c r="AI44" s="18">
        <v>0</v>
      </c>
      <c r="AJ44" s="18">
        <v>0</v>
      </c>
      <c r="AK44" s="18">
        <v>0</v>
      </c>
      <c r="AL44" s="18">
        <v>0</v>
      </c>
      <c r="AM44" s="18">
        <v>0</v>
      </c>
    </row>
    <row r="45" spans="1:39">
      <c r="A45" s="37"/>
      <c r="B45" s="16" t="s">
        <v>107</v>
      </c>
      <c r="C45" s="44" t="s">
        <v>91</v>
      </c>
      <c r="D45" s="44" t="s">
        <v>84</v>
      </c>
      <c r="E45" s="43">
        <v>0</v>
      </c>
      <c r="F45" s="43">
        <v>0</v>
      </c>
      <c r="G45" s="35"/>
      <c r="H45" s="14">
        <f t="shared" si="11"/>
        <v>0</v>
      </c>
      <c r="I45" s="14">
        <f t="shared" si="16"/>
        <v>0</v>
      </c>
      <c r="J45" s="14">
        <f t="shared" si="16"/>
        <v>0</v>
      </c>
      <c r="K45" s="53"/>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0</v>
      </c>
      <c r="AH45" s="18">
        <v>0</v>
      </c>
      <c r="AI45" s="18">
        <v>0</v>
      </c>
      <c r="AJ45" s="18">
        <v>0</v>
      </c>
      <c r="AK45" s="18">
        <v>0</v>
      </c>
      <c r="AL45" s="18">
        <v>0</v>
      </c>
      <c r="AM45" s="18">
        <v>0</v>
      </c>
    </row>
    <row r="46" ht="30" spans="1:39">
      <c r="A46" s="37"/>
      <c r="B46" s="16" t="s">
        <v>108</v>
      </c>
      <c r="C46" s="44" t="s">
        <v>93</v>
      </c>
      <c r="D46" s="44" t="s">
        <v>94</v>
      </c>
      <c r="E46" s="43">
        <v>136</v>
      </c>
      <c r="F46" s="43">
        <v>31</v>
      </c>
      <c r="G46" s="35"/>
      <c r="H46" s="14">
        <f t="shared" si="11"/>
        <v>167</v>
      </c>
      <c r="I46" s="14">
        <f t="shared" si="16"/>
        <v>167</v>
      </c>
      <c r="J46" s="14">
        <f t="shared" si="16"/>
        <v>38081</v>
      </c>
      <c r="K46" s="53"/>
      <c r="L46" s="18">
        <v>18</v>
      </c>
      <c r="M46" s="18">
        <v>1470</v>
      </c>
      <c r="N46" s="18">
        <v>0</v>
      </c>
      <c r="O46" s="18">
        <v>0</v>
      </c>
      <c r="P46" s="18">
        <v>124</v>
      </c>
      <c r="Q46" s="18">
        <v>31456</v>
      </c>
      <c r="R46" s="18">
        <v>0</v>
      </c>
      <c r="S46" s="18">
        <v>0</v>
      </c>
      <c r="T46" s="18">
        <v>0</v>
      </c>
      <c r="U46" s="18">
        <v>0</v>
      </c>
      <c r="V46" s="18">
        <v>0</v>
      </c>
      <c r="W46" s="18">
        <v>0</v>
      </c>
      <c r="X46" s="18">
        <v>0</v>
      </c>
      <c r="Y46" s="18">
        <v>0</v>
      </c>
      <c r="Z46" s="18">
        <v>0</v>
      </c>
      <c r="AA46" s="18">
        <v>0</v>
      </c>
      <c r="AB46" s="18">
        <v>25</v>
      </c>
      <c r="AC46" s="18">
        <v>5155</v>
      </c>
      <c r="AD46" s="18">
        <v>0</v>
      </c>
      <c r="AE46" s="18">
        <v>0</v>
      </c>
      <c r="AF46" s="18">
        <v>0</v>
      </c>
      <c r="AG46" s="18">
        <v>0</v>
      </c>
      <c r="AH46" s="18">
        <v>0</v>
      </c>
      <c r="AI46" s="18">
        <v>0</v>
      </c>
      <c r="AJ46" s="18">
        <v>0</v>
      </c>
      <c r="AK46" s="18">
        <v>0</v>
      </c>
      <c r="AL46" s="18">
        <v>0</v>
      </c>
      <c r="AM46" s="18">
        <v>0</v>
      </c>
    </row>
    <row r="47" ht="30" spans="1:39">
      <c r="A47" s="37"/>
      <c r="B47" s="16" t="s">
        <v>109</v>
      </c>
      <c r="C47" s="44" t="s">
        <v>96</v>
      </c>
      <c r="D47" s="44" t="s">
        <v>97</v>
      </c>
      <c r="E47" s="43">
        <v>2</v>
      </c>
      <c r="F47" s="43">
        <v>3</v>
      </c>
      <c r="G47" s="35"/>
      <c r="H47" s="14">
        <f t="shared" si="11"/>
        <v>5</v>
      </c>
      <c r="I47" s="14">
        <f t="shared" si="16"/>
        <v>5</v>
      </c>
      <c r="J47" s="14">
        <f t="shared" si="16"/>
        <v>1144</v>
      </c>
      <c r="K47" s="53"/>
      <c r="L47" s="18">
        <v>3</v>
      </c>
      <c r="M47" s="18">
        <v>248</v>
      </c>
      <c r="N47" s="18">
        <v>0</v>
      </c>
      <c r="O47" s="18">
        <v>0</v>
      </c>
      <c r="P47" s="18">
        <v>1</v>
      </c>
      <c r="Q47" s="18">
        <v>753</v>
      </c>
      <c r="R47" s="18">
        <v>0</v>
      </c>
      <c r="S47" s="18">
        <v>0</v>
      </c>
      <c r="T47" s="18">
        <v>0</v>
      </c>
      <c r="U47" s="18">
        <v>0</v>
      </c>
      <c r="V47" s="18">
        <v>0</v>
      </c>
      <c r="W47" s="18">
        <v>0</v>
      </c>
      <c r="X47" s="18">
        <v>0</v>
      </c>
      <c r="Y47" s="18">
        <v>0</v>
      </c>
      <c r="Z47" s="18">
        <v>0</v>
      </c>
      <c r="AA47" s="18">
        <v>0</v>
      </c>
      <c r="AB47" s="18">
        <v>1</v>
      </c>
      <c r="AC47" s="18">
        <v>143</v>
      </c>
      <c r="AD47" s="18">
        <v>0</v>
      </c>
      <c r="AE47" s="18">
        <v>0</v>
      </c>
      <c r="AF47" s="18">
        <v>0</v>
      </c>
      <c r="AG47" s="18">
        <v>0</v>
      </c>
      <c r="AH47" s="18">
        <v>0</v>
      </c>
      <c r="AI47" s="18">
        <v>0</v>
      </c>
      <c r="AJ47" s="18">
        <v>0</v>
      </c>
      <c r="AK47" s="18">
        <v>0</v>
      </c>
      <c r="AL47" s="18">
        <v>0</v>
      </c>
      <c r="AM47" s="18">
        <v>0</v>
      </c>
    </row>
    <row r="48" spans="1:39">
      <c r="A48" s="45"/>
      <c r="B48" s="46"/>
      <c r="C48" s="47" t="s">
        <v>110</v>
      </c>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55"/>
    </row>
  </sheetData>
  <mergeCells count="28">
    <mergeCell ref="E1:AM1"/>
    <mergeCell ref="A2:B2"/>
    <mergeCell ref="I2:K2"/>
    <mergeCell ref="L2:O2"/>
    <mergeCell ref="P2:S2"/>
    <mergeCell ref="T2:W2"/>
    <mergeCell ref="X2:AA2"/>
    <mergeCell ref="AB2:AE2"/>
    <mergeCell ref="AF2:AI2"/>
    <mergeCell ref="AJ2:AM2"/>
    <mergeCell ref="L3:M3"/>
    <mergeCell ref="N3:O3"/>
    <mergeCell ref="P3:Q3"/>
    <mergeCell ref="R3:S3"/>
    <mergeCell ref="T3:U3"/>
    <mergeCell ref="V3:W3"/>
    <mergeCell ref="X3:Y3"/>
    <mergeCell ref="Z3:AA3"/>
    <mergeCell ref="AB3:AC3"/>
    <mergeCell ref="AD3:AE3"/>
    <mergeCell ref="AF3:AG3"/>
    <mergeCell ref="AH3:AI3"/>
    <mergeCell ref="AJ3:AK3"/>
    <mergeCell ref="AL3:AM3"/>
    <mergeCell ref="C48:AM48"/>
    <mergeCell ref="I3:I4"/>
    <mergeCell ref="J3:J4"/>
    <mergeCell ref="E2:H3"/>
  </mergeCells>
  <dataValidations count="1">
    <dataValidation type="whole" operator="greaterThanOrEqual" allowBlank="1" showInputMessage="1" showErrorMessage="1" error="Please insert a valid data!" sqref="F26:F27 G6:G8 G11:G12 G14:G15 G18:G22 G24:G27 L40:AM47 E40:G47 L30:AM38 E30:G38 L24:AM27 L18:AM22 L14:AM15 L11:AM12 L6:AM8">
      <formula1>0</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BRF56_MAPPING_DOCUMENT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Amuthasenthuran s</dc:creator>
  <cp:lastModifiedBy>user</cp:lastModifiedBy>
  <dcterms:created xsi:type="dcterms:W3CDTF">2023-12-09T05:43:00Z</dcterms:created>
  <dcterms:modified xsi:type="dcterms:W3CDTF">2023-12-11T09:11:24Z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D8C7FC43F934451292F6B84F42A62C23_13</vt:lpwstr>
  </property>
  <property fmtid="{D5CDD505-2E9C-101B-9397-08002B2CF9AE}" pid="3" name="KSOProductBuildVer">
    <vt:lpwstr>1033-12.2.0.13359</vt:lpwstr>
  </property>
</Properties>
</file>