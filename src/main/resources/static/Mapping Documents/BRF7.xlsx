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defaultThemeVersion="166925"/>
  <mc:AlternateContent xmlns:mc="http://schemas.openxmlformats.org/markup-compatibility/2006">
    <mc:Choice Requires="x15">
      <x15ac:absPath xmlns:x15ac="http://schemas.microsoft.com/office/spreadsheetml/2010/11/ac" url="C:\Users\user\Desktop\BRF\LOGIC\"/>
    </mc:Choice>
  </mc:AlternateContent>
  <xr:revisionPtr revIDLastSave="0" documentId="13_ncr:1_{8302E591-8774-4D4B-8A57-E5E417AEAD06}" xr6:coauthVersionLast="36" xr6:coauthVersionMax="36" xr10:uidLastSave="{00000000-0000-0000-0000-000000000000}"/>
  <bookViews>
    <workbookView xWindow="0" yWindow="0" windowWidth="19200" windowHeight="6810" xr2:uid="{244C8772-0159-4126-BFD4-F141A4524F82}"/>
  </bookViews>
  <sheets>
    <sheet name="Sheet1" sheetId="1" r:id="rId1"/>
    <sheet name="1.1" sheetId="2" r:id="rId2"/>
    <sheet name="2.1" sheetId="3" r:id="rId3"/>
    <sheet name="2.1.2"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3" l="1"/>
  <c r="F36" i="1" l="1"/>
  <c r="F21" i="1"/>
  <c r="F24" i="1" s="1"/>
  <c r="F25" i="1" s="1"/>
  <c r="F37" i="1" s="1"/>
  <c r="F38" i="1" s="1"/>
  <c r="F14" i="1"/>
  <c r="D11" i="2"/>
  <c r="D9" i="2"/>
  <c r="M11" i="2"/>
  <c r="L11" i="2"/>
  <c r="D6" i="2" l="1"/>
</calcChain>
</file>

<file path=xl/sharedStrings.xml><?xml version="1.0" encoding="utf-8"?>
<sst xmlns="http://schemas.openxmlformats.org/spreadsheetml/2006/main" count="130" uniqueCount="118">
  <si>
    <t xml:space="preserve"> BANKING AND MONETARY STATISTICS-  LENDING TO STABLE RESOURCES RATIO (LSRR)- BRF 7  (AED IN 000)</t>
  </si>
  <si>
    <t>Template ID:</t>
  </si>
  <si>
    <t>2-7-2-0</t>
  </si>
  <si>
    <t xml:space="preserve">Name of Bank : </t>
  </si>
  <si>
    <t>Bank of Baroda</t>
  </si>
  <si>
    <t>Month End:</t>
  </si>
  <si>
    <t>Items</t>
  </si>
  <si>
    <t>Computation of Advances</t>
  </si>
  <si>
    <t>Net Lending (BRF1 Item 7+8) minus {Specific (BRF-2: item 25.1) + Collective impairment provision (BRF-2 items 25.2.1+25.2.2) + interest in Suspense (BRF-2 item: 25.3}</t>
  </si>
  <si>
    <t>Lending to NBFI (BRF 1, item 4)</t>
  </si>
  <si>
    <t>Financial Guarantees &amp; Stand-by LC Issued (BRF 3-Item 3.1)</t>
  </si>
  <si>
    <t xml:space="preserve">Financial Guarantees &amp; Stand -by LCs Received </t>
  </si>
  <si>
    <t>Interbank Placements with a remaining life of more than 3 months (BRF 9)</t>
  </si>
  <si>
    <t>Total Advances</t>
  </si>
  <si>
    <t>Calculation of Net Stable Ressources</t>
  </si>
  <si>
    <t>Total own funds (BRF2 Liab: item 28 + item 26.7)+ Gen provision (BRF-2 Liab: item 25.2.3)</t>
  </si>
  <si>
    <t xml:space="preserve">Deduct: </t>
  </si>
  <si>
    <t>2.1.1</t>
  </si>
  <si>
    <t>Goodwill and other intangible assets (BRF1 Assets: 11.3 and 11.4)</t>
  </si>
  <si>
    <t>2.1.2</t>
  </si>
  <si>
    <t>Fixed Assets (BRF1 Assets: 9.1 + 9.2 + 9.3 + 9.5)</t>
  </si>
  <si>
    <t>2.1.3</t>
  </si>
  <si>
    <t>Funds allocated to branches abroad (BRF1 Assets: 9.4)</t>
  </si>
  <si>
    <t>2.1.4</t>
  </si>
  <si>
    <t>Treasury shares held / No INPUT required here</t>
  </si>
  <si>
    <t>2.1.5</t>
  </si>
  <si>
    <t xml:space="preserve">Unquoted Investments (BRF 5- Applicable items) </t>
  </si>
  <si>
    <t>2.1.6</t>
  </si>
  <si>
    <t>Investment in  subsidiaries, associates and affiliates ( BRF5- Applicable items)</t>
  </si>
  <si>
    <t>2.1.7</t>
  </si>
  <si>
    <t>Total deduction</t>
  </si>
  <si>
    <t>Net Free Capital Funds</t>
  </si>
  <si>
    <t>Other stable resources:</t>
  </si>
  <si>
    <t>2.3.1</t>
  </si>
  <si>
    <t>Non repayable head office funds (BRF2 Liab- Item 26.5)</t>
  </si>
  <si>
    <t>2.3.2</t>
  </si>
  <si>
    <t>Interbank deposits with remaining life of more than 6 months (BRF 9)</t>
  </si>
  <si>
    <t>2.3.3</t>
  </si>
  <si>
    <t>Refinancing of Housing Loans</t>
  </si>
  <si>
    <t>2.3.4 (a)</t>
  </si>
  <si>
    <t>Borrowing from non-Banking Financial Institutions remaining life of more than 6 months (BRF 9)</t>
  </si>
  <si>
    <t>2.3.4 (b)</t>
  </si>
  <si>
    <t>85% of the rest of NBFI Deposits</t>
  </si>
  <si>
    <t>2.3.5 (a)</t>
  </si>
  <si>
    <t>Customer Deposits with remaining life of more than 6 months (BRF 9)</t>
  </si>
  <si>
    <t>2.3.5 (b)</t>
  </si>
  <si>
    <t>85% of the rest of Customer Deposits</t>
  </si>
  <si>
    <t>2.3.6</t>
  </si>
  <si>
    <t>Capital market funding/ term borrowings maturing after 6 months from reporting date (BRF 9)</t>
  </si>
  <si>
    <t>2.3.7</t>
  </si>
  <si>
    <t>Head Office loans towards meeting Large Exposure Funding (BRF 2 Liab- item 26.6)</t>
  </si>
  <si>
    <t>2.3.8</t>
  </si>
  <si>
    <t>Total other stable resources</t>
  </si>
  <si>
    <t>Total Stable Resources (2.2+2.3.8)</t>
  </si>
  <si>
    <t>LENDING TO STABLE RESOURCES RATIO  (1.6/ 2.4*100)</t>
  </si>
  <si>
    <t>FORM NO:BSD/ BRF 7- LSRR/MAY 16</t>
  </si>
  <si>
    <t>It includes glsubheadcode 61031</t>
  </si>
  <si>
    <t>It includes glsubheadcode 61041</t>
  </si>
  <si>
    <t>It includes Sub GL Code - 15171 and Bacid - 15171006</t>
  </si>
  <si>
    <t>It includes (IF GL Sub Head Code is - 24101,24102, 24116, 24117, 24122, 24146 ) Add     ( IF GL Sub Head Code is - 24171, 24176, 24181)  subtract(If Sub GL Code - 15171 and Bacid - 15171001) add (If Sub head GL Code is 15151 and Bacid - 15151001 (GL subhead 15151 and Acct_ Name)</t>
  </si>
  <si>
    <t>It includes Net Of Sub Head GL code 15501 and 25501</t>
  </si>
  <si>
    <t>NIL</t>
  </si>
  <si>
    <t>Logic Details</t>
  </si>
  <si>
    <t>Specific (BRF-2: item 25.1)</t>
  </si>
  <si>
    <t>Collective impairment provision (BRF-2 items 25.2.1+25.2.2)</t>
  </si>
  <si>
    <t>BRF-2 items 25.2.1</t>
  </si>
  <si>
    <t>BRF-2 items 25.2.2</t>
  </si>
  <si>
    <t>interest in Suspense (BRF-2 item: 25.3</t>
  </si>
  <si>
    <t>TOTAL</t>
  </si>
  <si>
    <t>Net Lending (BRF1 Item 7+8)</t>
  </si>
  <si>
    <t>BRF1 Item 7</t>
  </si>
  <si>
    <t>BRF1 Item 8</t>
  </si>
  <si>
    <t>LABEL</t>
  </si>
  <si>
    <t>ROW101</t>
  </si>
  <si>
    <t>ROW102</t>
  </si>
  <si>
    <t>ROW103</t>
  </si>
  <si>
    <t>ROW104</t>
  </si>
  <si>
    <t>ROW105</t>
  </si>
  <si>
    <t>ROW106</t>
  </si>
  <si>
    <t>ROW107</t>
  </si>
  <si>
    <t>ROW108</t>
  </si>
  <si>
    <t>ROW109</t>
  </si>
  <si>
    <t>ROW110</t>
  </si>
  <si>
    <t>ROW111</t>
  </si>
  <si>
    <t>ROW112</t>
  </si>
  <si>
    <t>ROW113</t>
  </si>
  <si>
    <t>ROW114</t>
  </si>
  <si>
    <t>ROW115</t>
  </si>
  <si>
    <t>ROW116</t>
  </si>
  <si>
    <t>ROW117</t>
  </si>
  <si>
    <t>ROW118</t>
  </si>
  <si>
    <t>ROW119</t>
  </si>
  <si>
    <t>ROW120</t>
  </si>
  <si>
    <t>ROW121</t>
  </si>
  <si>
    <t>ROW122</t>
  </si>
  <si>
    <t>ROW123</t>
  </si>
  <si>
    <t>ROW124</t>
  </si>
  <si>
    <t>ROW125</t>
  </si>
  <si>
    <t>ROW126</t>
  </si>
  <si>
    <t>ROW127</t>
  </si>
  <si>
    <t>ROW128</t>
  </si>
  <si>
    <t>ROW129</t>
  </si>
  <si>
    <t>ROW130</t>
  </si>
  <si>
    <t>ROW131</t>
  </si>
  <si>
    <t>LEGAL ENTITY IN  NBFC AND MXC</t>
  </si>
  <si>
    <t>BRF2 Liab: item 28</t>
  </si>
  <si>
    <t>BRF2 Liab item 26.7</t>
  </si>
  <si>
    <t>BRF-2 Liab: item 25.2.3</t>
  </si>
  <si>
    <t>total</t>
  </si>
  <si>
    <t>BRF1 Assets: 9.1</t>
  </si>
  <si>
    <t>BRF1 Assets: 9.2</t>
  </si>
  <si>
    <t>BRF1 Assets: 9.3</t>
  </si>
  <si>
    <t>BRF1 Assets: 9.5</t>
  </si>
  <si>
    <t>30/06/2023</t>
  </si>
  <si>
    <t xml:space="preserve"> ACCT_NO IN ('A61111001','A61111002','A61111003','A61111004','A61150000','A61160000')AND AMT_LC&lt;0 ;
gl_sub_head_code IN ('31104') AND  acct_number IN ('90010200012605','90010200012604','90010200018894') AND 
SOL_ID IN ('9001','9002','9003','9004','9005','9008') AND act_balance_amt_lc&lt;0;
ACCT_NO IN ('A22010009', 'A22010004', 'A22010022', 'A22010029', 'A22010032', 'A22010040', 'A22010046', 'A22010054', 'A22010059', 
'A22010060', 'A22010061', 'A22010078', 'A22010081')AND AMT_LC&lt;0 ;
ACCT_NO IN ('A21012202', 'A22022009', 'A22022008')
CONSTITUTION_CODE NOT IN ('44101', '44102','44103', '44104', '44105', '44106', '44107', '44108', '44109', '44110', '44111', '44112', 
'44113', '44114', '44115', '44116', '44199','44201', '44202', '44203', '44204', '44205', '44206', '44207', '44208', '44209', '44210', '44211', 
'44212', '44213', '44214', '44215', '44216', '44217', '44299', '71005', 'HUFJT', 'INDL','INDL ', 'INDVF', 'INDVM', 'NREIN', 'RESIN','WPS') and 
legal_entity_type not in('GOVTF','CGOVB','CB','GOVT','GOVTL','GOVTE','PSENO','PSEN','PSEC','PSECO')
and purpose_of_advn  in ('9001','9002','9003','9004','9005','9007','9009','9034','9035','9036','9037') AND SOL_ID IN ('9001','9002','9003','9004','9005','9008')</t>
  </si>
  <si>
    <t>KTP  account FORACID IN ('L52250000', 'L52260000') - KTP  account FORACID IN ('A61111001','A61111002','A61111003','A61160000','A61111004','A61150000')   -ACT_BALANCE_AMT_LC&gt;0 and GL_SUB_HEAD_CODE='31104' and  ACT_BALANCE_AMT_LC&gt;0.----FORACID IN ('A22010009','A22010004','A22010022','A22010029','A22010032','A22010040','A22010046','A22010054','A22010059','A22010060','A22010061','A22010078','A22010081')
AND ACT_BALANCE_AMT_LC&gt;0----FORACID IN ('L33130004','L33130003','L33130010','L33130011')</t>
  </si>
  <si>
    <t>constitution_code in ('11507', '11508', '11510', '11511', '11512', '11700', '22399', '22499', '33106', '33107', 'NBFC','NBFC ','11599',
  '11506','33101','33103','33104','MXC','11501')and GL_SUB_HEAD_CODE in ('13101','13201','13206','13215','13216','13217','13220','13241','24301','24311','24312','24313',
  '24319', '24503','24337','13222') and SCHM_CODE IN ('CA101','CA102','CA103','CA106','CA107','CA108','CA109','CA110','CA111','CA112','LA101','LA106','OD001','OD002','OD003','OD028','OD651','SB105','SB107',
'TD115') and  ACT_BALANCE_AMT_LC&gt;=0 ----constitution_code in ('11507', '11508', '11510', '11511', '11512', '11700', '22399', '22499', '33106', '33107', 'NBFC','NBFC ','11599',
  '11506','33101','33103','33104','MXC','11501')and GL_SUB_HEAD_CODE in ('13601','13611','13631','13641') 
        and SCHM_CODE IN ('TD101','TD102','TD103','TD105','TD106','TD108','TD109','TD112','TD115','TD301') and  ACT_BALANCE_AMT_LC&gt;0</t>
  </si>
  <si>
    <t>whole private sector logic from brf2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</si>
</sst>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5" x14ac:knownFonts="1">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8"/>
      <color indexed="8"/>
      <name val="Arial"/>
      <family val="2"/>
    </font>
    <font>
      <b/>
      <sz val="8"/>
      <name val="Arial"/>
      <family val="2"/>
    </font>
    <font>
      <sz val="11"/>
      <color indexed="8"/>
      <name val="Calibri"/>
      <family val="2"/>
    </font>
    <font>
      <sz val="8"/>
      <color indexed="8"/>
      <name val="Arial"/>
      <family val="2"/>
    </font>
    <font>
      <sz val="12"/>
      <name val="Times New Roman"/>
      <family val="1"/>
    </font>
    <font>
      <sz val="12"/>
      <name val="Calibri"/>
      <family val="2"/>
    </font>
    <font>
      <sz val="12"/>
      <color indexed="10"/>
      <name val="Calibri"/>
      <family val="2"/>
    </font>
    <font>
      <sz val="11"/>
      <color theme="1"/>
      <name val="Calibri"/>
      <family val="2"/>
    </font>
    <font>
      <sz val="12"/>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indexed="5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2">
    <xf numFmtId="0" fontId="0" fillId="0" borderId="0"/>
    <xf numFmtId="0" fontId="2" fillId="0" borderId="0"/>
    <xf numFmtId="164" fontId="7" fillId="0" borderId="0" applyFont="0" applyFill="0" applyBorder="0" applyAlignment="0" applyProtection="0"/>
    <xf numFmtId="0" fontId="4" fillId="0" borderId="0"/>
    <xf numFmtId="0" fontId="4" fillId="0" borderId="0"/>
    <xf numFmtId="0" fontId="4" fillId="0" borderId="0"/>
    <xf numFmtId="0" fontId="1" fillId="0" borderId="0"/>
    <xf numFmtId="0" fontId="4" fillId="0" borderId="0"/>
    <xf numFmtId="0" fontId="12" fillId="0" borderId="0"/>
    <xf numFmtId="0" fontId="4" fillId="0" borderId="0"/>
    <xf numFmtId="0" fontId="4" fillId="0" borderId="0"/>
    <xf numFmtId="0" fontId="9" fillId="0" borderId="0">
      <alignment vertical="center"/>
    </xf>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0" fontId="1" fillId="0" borderId="0"/>
    <xf numFmtId="0" fontId="1" fillId="0" borderId="0"/>
    <xf numFmtId="0" fontId="1" fillId="0" borderId="0"/>
  </cellStyleXfs>
  <cellXfs count="41">
    <xf numFmtId="0" fontId="0" fillId="0" borderId="0" xfId="0"/>
    <xf numFmtId="0" fontId="2" fillId="0" borderId="0" xfId="1"/>
    <xf numFmtId="0" fontId="5" fillId="2" borderId="1" xfId="3" applyFont="1" applyFill="1" applyBorder="1"/>
    <xf numFmtId="15" fontId="6" fillId="2" borderId="1" xfId="4" applyNumberFormat="1" applyFont="1" applyFill="1" applyBorder="1" applyAlignment="1">
      <alignment horizontal="left"/>
    </xf>
    <xf numFmtId="0" fontId="6" fillId="2" borderId="1" xfId="4" applyFont="1" applyFill="1" applyBorder="1"/>
    <xf numFmtId="0" fontId="6" fillId="7" borderId="1" xfId="4" applyFont="1" applyFill="1" applyBorder="1" applyAlignment="1">
      <alignment wrapText="1"/>
    </xf>
    <xf numFmtId="0" fontId="6" fillId="7" borderId="1" xfId="4" applyFont="1" applyFill="1" applyBorder="1" applyAlignment="1">
      <alignment horizontal="right" wrapText="1"/>
    </xf>
    <xf numFmtId="0" fontId="6" fillId="7" borderId="1" xfId="4" applyFont="1" applyFill="1" applyBorder="1" applyAlignment="1">
      <alignment horizontal="left" wrapText="1"/>
    </xf>
    <xf numFmtId="0" fontId="8" fillId="0" borderId="1" xfId="11" applyFont="1" applyBorder="1" applyAlignment="1">
      <alignment vertical="center" wrapText="1"/>
    </xf>
    <xf numFmtId="0" fontId="8" fillId="3" borderId="1" xfId="11" applyFont="1" applyFill="1" applyBorder="1" applyAlignment="1">
      <alignment horizontal="right" vertical="center" wrapText="1"/>
    </xf>
    <xf numFmtId="0" fontId="8" fillId="4" borderId="1" xfId="11" applyFont="1" applyFill="1" applyBorder="1" applyAlignment="1">
      <alignment vertical="center" wrapText="1"/>
    </xf>
    <xf numFmtId="0" fontId="8" fillId="6" borderId="1" xfId="11" applyFont="1" applyFill="1" applyBorder="1" applyAlignment="1">
      <alignment vertical="center" wrapText="1"/>
    </xf>
    <xf numFmtId="0" fontId="8" fillId="0" borderId="1" xfId="11" applyFont="1" applyBorder="1" applyAlignment="1">
      <alignment horizontal="right" vertical="center" wrapText="1"/>
    </xf>
    <xf numFmtId="0" fontId="3" fillId="0" borderId="1" xfId="11" applyFont="1" applyBorder="1" applyAlignment="1">
      <alignment horizontal="right" vertical="center"/>
    </xf>
    <xf numFmtId="0" fontId="8" fillId="2" borderId="1" xfId="11" applyFont="1" applyFill="1" applyBorder="1" applyAlignment="1">
      <alignment vertical="center" wrapText="1"/>
    </xf>
    <xf numFmtId="0" fontId="8" fillId="2" borderId="1" xfId="11" applyFont="1" applyFill="1" applyBorder="1" applyAlignment="1">
      <alignment horizontal="right" vertical="center" wrapText="1"/>
    </xf>
    <xf numFmtId="0" fontId="3" fillId="3" borderId="1" xfId="11" applyFont="1" applyFill="1" applyBorder="1" applyAlignment="1">
      <alignment vertical="center" wrapText="1"/>
    </xf>
    <xf numFmtId="0" fontId="10" fillId="0" borderId="1" xfId="11" applyFont="1" applyBorder="1">
      <alignment vertical="center"/>
    </xf>
    <xf numFmtId="0" fontId="6" fillId="6" borderId="1" xfId="4" applyFont="1" applyFill="1" applyBorder="1" applyAlignment="1">
      <alignment wrapText="1"/>
    </xf>
    <xf numFmtId="0" fontId="11" fillId="3" borderId="0" xfId="11" applyFont="1" applyFill="1">
      <alignment vertical="center"/>
    </xf>
    <xf numFmtId="0" fontId="11" fillId="3" borderId="0" xfId="11" applyFont="1" applyFill="1" applyAlignment="1">
      <alignment horizontal="right" vertical="center"/>
    </xf>
    <xf numFmtId="0" fontId="2" fillId="0" borderId="0" xfId="1" applyAlignment="1">
      <alignment wrapText="1"/>
    </xf>
    <xf numFmtId="0" fontId="11" fillId="3" borderId="0" xfId="11" applyFont="1" applyFill="1" applyAlignment="1">
      <alignment vertical="center" wrapText="1"/>
    </xf>
    <xf numFmtId="0" fontId="0" fillId="0" borderId="0" xfId="0" applyAlignment="1">
      <alignment wrapText="1"/>
    </xf>
    <xf numFmtId="0" fontId="13" fillId="0" borderId="1" xfId="0" applyFont="1" applyBorder="1" applyAlignment="1">
      <alignment vertical="center" wrapText="1"/>
    </xf>
    <xf numFmtId="0" fontId="0" fillId="0" borderId="1" xfId="0" applyBorder="1"/>
    <xf numFmtId="0" fontId="0" fillId="4" borderId="1" xfId="0" applyFill="1" applyBorder="1"/>
    <xf numFmtId="0" fontId="14" fillId="0" borderId="1" xfId="0" applyFont="1" applyBorder="1"/>
    <xf numFmtId="1" fontId="8" fillId="3" borderId="1" xfId="11" applyNumberFormat="1" applyFont="1" applyFill="1" applyBorder="1" applyAlignment="1" applyProtection="1">
      <alignment wrapText="1"/>
      <protection locked="0"/>
    </xf>
    <xf numFmtId="1" fontId="8" fillId="8" borderId="1" xfId="11" applyNumberFormat="1" applyFont="1" applyFill="1" applyBorder="1" applyAlignment="1" applyProtection="1">
      <alignment wrapText="1"/>
    </xf>
    <xf numFmtId="1" fontId="8" fillId="0" borderId="1" xfId="11" applyNumberFormat="1" applyFont="1" applyFill="1" applyBorder="1" applyAlignment="1" applyProtection="1">
      <alignment wrapText="1"/>
      <protection locked="0"/>
    </xf>
    <xf numFmtId="0" fontId="6" fillId="8" borderId="1" xfId="4" applyFont="1" applyFill="1" applyBorder="1" applyAlignment="1" applyProtection="1">
      <alignment wrapText="1"/>
    </xf>
    <xf numFmtId="1" fontId="3" fillId="2" borderId="1" xfId="11" applyNumberFormat="1" applyFont="1" applyFill="1" applyBorder="1" applyAlignment="1" applyProtection="1">
      <alignment wrapText="1"/>
    </xf>
    <xf numFmtId="1" fontId="8" fillId="2" borderId="1" xfId="11" applyNumberFormat="1" applyFont="1" applyFill="1" applyBorder="1" applyAlignment="1" applyProtection="1">
      <alignment wrapText="1"/>
    </xf>
    <xf numFmtId="2" fontId="8" fillId="2" borderId="1" xfId="11" applyNumberFormat="1" applyFont="1" applyFill="1" applyBorder="1" applyAlignment="1" applyProtection="1">
      <alignment wrapText="1"/>
    </xf>
    <xf numFmtId="0" fontId="0" fillId="0" borderId="1" xfId="0" applyBorder="1" applyAlignment="1">
      <alignment wrapText="1"/>
    </xf>
    <xf numFmtId="0" fontId="10" fillId="0" borderId="1" xfId="11" applyFont="1" applyBorder="1" applyAlignment="1">
      <alignment horizontal="center" vertical="center"/>
    </xf>
    <xf numFmtId="0" fontId="6" fillId="5" borderId="1" xfId="9" applyFont="1" applyFill="1" applyBorder="1" applyAlignment="1">
      <alignment horizontal="center"/>
    </xf>
    <xf numFmtId="15" fontId="6" fillId="0" borderId="1" xfId="4" applyNumberFormat="1" applyFont="1" applyBorder="1" applyAlignment="1">
      <alignment horizontal="left"/>
    </xf>
    <xf numFmtId="0" fontId="0" fillId="0" borderId="0" xfId="0" applyAlignment="1">
      <alignment horizontal="center" wrapText="1"/>
    </xf>
    <xf numFmtId="0" fontId="0" fillId="0" borderId="0" xfId="0" applyAlignment="1">
      <alignment horizontal="center"/>
    </xf>
  </cellXfs>
  <cellStyles count="22">
    <cellStyle name="Comma 2" xfId="2" xr:uid="{00000000-0005-0000-0000-000001000000}"/>
    <cellStyle name="Comma 3" xfId="18" xr:uid="{00000000-0005-0000-0000-00002F000000}"/>
    <cellStyle name="Normal" xfId="0" builtinId="0"/>
    <cellStyle name="Normal 10" xfId="20" xr:uid="{178967EE-8DBB-42AF-ADEA-7F634063CE2B}"/>
    <cellStyle name="Normal 11" xfId="21" xr:uid="{1DB9DEA7-69D8-4236-9644-C59DE321A109}"/>
    <cellStyle name="Normal 12" xfId="1" xr:uid="{00000000-0005-0000-0000-00003100000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 name="Normal 4 2" xfId="7" xr:uid="{00000000-0005-0000-0000-000007000000}"/>
    <cellStyle name="Normal 4 3" xfId="8" xr:uid="{00000000-0005-0000-0000-000008000000}"/>
    <cellStyle name="Normal 5" xfId="9" xr:uid="{00000000-0005-0000-0000-000009000000}"/>
    <cellStyle name="Normal 5 2" xfId="10" xr:uid="{00000000-0005-0000-0000-00000A000000}"/>
    <cellStyle name="Normal 6" xfId="11" xr:uid="{00000000-0005-0000-0000-00000B000000}"/>
    <cellStyle name="Normal 7" xfId="12" xr:uid="{00000000-0005-0000-0000-00000C000000}"/>
    <cellStyle name="Normal 7 2" xfId="13" xr:uid="{00000000-0005-0000-0000-00000D000000}"/>
    <cellStyle name="Normal 7 3" xfId="14" xr:uid="{00000000-0005-0000-0000-00000E000000}"/>
    <cellStyle name="Normal 8" xfId="15" xr:uid="{00000000-0005-0000-0000-00000F000000}"/>
    <cellStyle name="Normal 9" xfId="19" xr:uid="{00000000-0005-0000-0000-000010000000}"/>
    <cellStyle name="Percent 2" xfId="16" xr:uid="{00000000-0005-0000-0000-000015000000}"/>
    <cellStyle name="Percent 3" xfId="17"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A29D-99B7-4BB7-9B36-5C2E182EEF4F}">
  <dimension ref="B1:G45"/>
  <sheetViews>
    <sheetView tabSelected="1" topLeftCell="A30" zoomScale="80" zoomScaleNormal="80" workbookViewId="0">
      <selection activeCell="E23" sqref="E23"/>
    </sheetView>
  </sheetViews>
  <sheetFormatPr defaultRowHeight="14.5" x14ac:dyDescent="0.35"/>
  <cols>
    <col min="4" max="4" width="41.90625" style="23" customWidth="1"/>
    <col min="5" max="5" width="90.6328125" customWidth="1"/>
  </cols>
  <sheetData>
    <row r="1" spans="2:7" x14ac:dyDescent="0.35">
      <c r="B1" s="1"/>
      <c r="C1" s="1"/>
      <c r="D1" s="21"/>
    </row>
    <row r="2" spans="2:7" x14ac:dyDescent="0.35">
      <c r="B2" s="37" t="s">
        <v>0</v>
      </c>
      <c r="C2" s="37"/>
      <c r="D2" s="37"/>
      <c r="E2" s="25"/>
    </row>
    <row r="3" spans="2:7" x14ac:dyDescent="0.35">
      <c r="B3" s="2" t="s">
        <v>1</v>
      </c>
      <c r="C3" s="38" t="s">
        <v>2</v>
      </c>
      <c r="D3" s="38"/>
      <c r="E3" s="25"/>
    </row>
    <row r="4" spans="2:7" x14ac:dyDescent="0.35">
      <c r="B4" s="3" t="s">
        <v>3</v>
      </c>
      <c r="C4" s="38" t="s">
        <v>4</v>
      </c>
      <c r="D4" s="38"/>
      <c r="E4" s="25"/>
    </row>
    <row r="5" spans="2:7" x14ac:dyDescent="0.35">
      <c r="B5" s="4" t="s">
        <v>5</v>
      </c>
      <c r="C5" s="38" t="s">
        <v>113</v>
      </c>
      <c r="D5" s="38"/>
      <c r="E5" s="25"/>
    </row>
    <row r="6" spans="2:7" ht="15.5" x14ac:dyDescent="0.35">
      <c r="B6" s="36"/>
      <c r="C6" s="36"/>
      <c r="D6" s="36"/>
      <c r="E6" s="25"/>
    </row>
    <row r="7" spans="2:7" x14ac:dyDescent="0.35">
      <c r="B7" s="7"/>
      <c r="C7" s="7"/>
      <c r="D7" s="7" t="s">
        <v>6</v>
      </c>
      <c r="E7" s="27" t="s">
        <v>62</v>
      </c>
      <c r="G7" t="s">
        <v>72</v>
      </c>
    </row>
    <row r="8" spans="2:7" x14ac:dyDescent="0.35">
      <c r="B8" s="5">
        <v>1</v>
      </c>
      <c r="C8" s="5"/>
      <c r="D8" s="5" t="s">
        <v>7</v>
      </c>
      <c r="E8" s="25"/>
      <c r="G8" t="s">
        <v>73</v>
      </c>
    </row>
    <row r="9" spans="2:7" ht="77.5" x14ac:dyDescent="0.35">
      <c r="B9" s="8"/>
      <c r="C9" s="9">
        <v>1.1000000000000001</v>
      </c>
      <c r="D9" s="10" t="s">
        <v>8</v>
      </c>
      <c r="E9" s="24" t="s">
        <v>59</v>
      </c>
      <c r="F9" s="28">
        <v>10478681</v>
      </c>
      <c r="G9" t="s">
        <v>74</v>
      </c>
    </row>
    <row r="10" spans="2:7" x14ac:dyDescent="0.35">
      <c r="B10" s="8"/>
      <c r="C10" s="9">
        <v>1.2</v>
      </c>
      <c r="D10" s="11" t="s">
        <v>9</v>
      </c>
      <c r="E10" s="25" t="s">
        <v>104</v>
      </c>
      <c r="F10" s="28">
        <v>1102984</v>
      </c>
      <c r="G10" t="s">
        <v>75</v>
      </c>
    </row>
    <row r="11" spans="2:7" x14ac:dyDescent="0.35">
      <c r="B11" s="8"/>
      <c r="C11" s="9">
        <v>1.3</v>
      </c>
      <c r="D11" s="10" t="s">
        <v>10</v>
      </c>
      <c r="E11" s="25" t="s">
        <v>56</v>
      </c>
      <c r="F11" s="28">
        <v>496485</v>
      </c>
      <c r="G11" t="s">
        <v>76</v>
      </c>
    </row>
    <row r="12" spans="2:7" x14ac:dyDescent="0.35">
      <c r="B12" s="8"/>
      <c r="C12" s="9">
        <v>1.4</v>
      </c>
      <c r="D12" s="10" t="s">
        <v>11</v>
      </c>
      <c r="E12" s="25" t="s">
        <v>57</v>
      </c>
      <c r="F12" s="28">
        <v>1508205</v>
      </c>
      <c r="G12" t="s">
        <v>77</v>
      </c>
    </row>
    <row r="13" spans="2:7" ht="121.5" customHeight="1" x14ac:dyDescent="0.35">
      <c r="B13" s="8"/>
      <c r="C13" s="9">
        <v>1.5</v>
      </c>
      <c r="D13" s="10" t="s">
        <v>12</v>
      </c>
      <c r="E13" s="35" t="s">
        <v>114</v>
      </c>
      <c r="F13" s="28">
        <v>4410822</v>
      </c>
      <c r="G13" t="s">
        <v>78</v>
      </c>
    </row>
    <row r="14" spans="2:7" x14ac:dyDescent="0.35">
      <c r="B14" s="5"/>
      <c r="C14" s="5">
        <v>1.6</v>
      </c>
      <c r="D14" s="5" t="s">
        <v>13</v>
      </c>
      <c r="E14" s="25"/>
      <c r="F14" s="29">
        <f>F9+F10+F11-F12+F13</f>
        <v>14980767</v>
      </c>
      <c r="G14" t="s">
        <v>79</v>
      </c>
    </row>
    <row r="15" spans="2:7" x14ac:dyDescent="0.35">
      <c r="B15" s="5">
        <v>2</v>
      </c>
      <c r="C15" s="5"/>
      <c r="D15" s="5" t="s">
        <v>14</v>
      </c>
      <c r="E15" s="25"/>
      <c r="F15" s="29"/>
      <c r="G15" t="s">
        <v>80</v>
      </c>
    </row>
    <row r="16" spans="2:7" ht="20" x14ac:dyDescent="0.35">
      <c r="B16" s="8"/>
      <c r="C16" s="12">
        <v>2.1</v>
      </c>
      <c r="D16" s="10" t="s">
        <v>15</v>
      </c>
      <c r="E16" s="25" t="s">
        <v>58</v>
      </c>
      <c r="F16" s="30">
        <v>2897681</v>
      </c>
      <c r="G16" t="s">
        <v>81</v>
      </c>
    </row>
    <row r="17" spans="2:7" x14ac:dyDescent="0.35">
      <c r="B17" s="5"/>
      <c r="C17" s="5"/>
      <c r="D17" s="5" t="s">
        <v>16</v>
      </c>
      <c r="E17" s="25"/>
      <c r="F17" s="31"/>
      <c r="G17" t="s">
        <v>82</v>
      </c>
    </row>
    <row r="18" spans="2:7" ht="20" x14ac:dyDescent="0.35">
      <c r="B18" s="8"/>
      <c r="C18" s="13" t="s">
        <v>17</v>
      </c>
      <c r="D18" s="8" t="s">
        <v>18</v>
      </c>
      <c r="E18" s="25" t="s">
        <v>61</v>
      </c>
      <c r="F18" s="30">
        <v>0</v>
      </c>
      <c r="G18" t="s">
        <v>83</v>
      </c>
    </row>
    <row r="19" spans="2:7" x14ac:dyDescent="0.35">
      <c r="B19" s="8"/>
      <c r="C19" s="13" t="s">
        <v>19</v>
      </c>
      <c r="D19" s="10" t="s">
        <v>20</v>
      </c>
      <c r="E19" s="26" t="s">
        <v>60</v>
      </c>
      <c r="F19" s="30">
        <v>10139</v>
      </c>
      <c r="G19" t="s">
        <v>84</v>
      </c>
    </row>
    <row r="20" spans="2:7" x14ac:dyDescent="0.35">
      <c r="B20" s="8"/>
      <c r="C20" s="13" t="s">
        <v>21</v>
      </c>
      <c r="D20" s="8" t="s">
        <v>22</v>
      </c>
      <c r="E20" s="25" t="s">
        <v>61</v>
      </c>
      <c r="F20" s="30">
        <v>0</v>
      </c>
      <c r="G20" t="s">
        <v>85</v>
      </c>
    </row>
    <row r="21" spans="2:7" x14ac:dyDescent="0.35">
      <c r="B21" s="14"/>
      <c r="C21" s="15" t="s">
        <v>23</v>
      </c>
      <c r="D21" s="14" t="s">
        <v>24</v>
      </c>
      <c r="E21" s="25"/>
      <c r="F21" s="32">
        <f>0</f>
        <v>0</v>
      </c>
      <c r="G21" t="s">
        <v>86</v>
      </c>
    </row>
    <row r="22" spans="2:7" x14ac:dyDescent="0.35">
      <c r="B22" s="8"/>
      <c r="C22" s="13" t="s">
        <v>25</v>
      </c>
      <c r="D22" s="8" t="s">
        <v>26</v>
      </c>
      <c r="E22" s="25" t="s">
        <v>61</v>
      </c>
      <c r="F22" s="30">
        <v>0</v>
      </c>
      <c r="G22" t="s">
        <v>87</v>
      </c>
    </row>
    <row r="23" spans="2:7" ht="20" x14ac:dyDescent="0.35">
      <c r="B23" s="8"/>
      <c r="C23" s="13" t="s">
        <v>27</v>
      </c>
      <c r="D23" s="10" t="s">
        <v>28</v>
      </c>
      <c r="E23" s="25" t="s">
        <v>61</v>
      </c>
      <c r="F23" s="30">
        <v>0</v>
      </c>
      <c r="G23" t="s">
        <v>88</v>
      </c>
    </row>
    <row r="24" spans="2:7" x14ac:dyDescent="0.35">
      <c r="B24" s="5"/>
      <c r="C24" s="6" t="s">
        <v>29</v>
      </c>
      <c r="D24" s="5" t="s">
        <v>30</v>
      </c>
      <c r="E24" s="25"/>
      <c r="F24" s="33">
        <f>SUM(F18:F23)</f>
        <v>10139</v>
      </c>
      <c r="G24" t="s">
        <v>89</v>
      </c>
    </row>
    <row r="25" spans="2:7" x14ac:dyDescent="0.35">
      <c r="B25" s="5"/>
      <c r="C25" s="5">
        <v>2.2000000000000002</v>
      </c>
      <c r="D25" s="5" t="s">
        <v>31</v>
      </c>
      <c r="E25" s="25"/>
      <c r="F25" s="33">
        <f>+F16-F24</f>
        <v>2887542</v>
      </c>
      <c r="G25" t="s">
        <v>90</v>
      </c>
    </row>
    <row r="26" spans="2:7" x14ac:dyDescent="0.35">
      <c r="B26" s="5"/>
      <c r="C26" s="5">
        <v>2.2999999999999998</v>
      </c>
      <c r="D26" s="5" t="s">
        <v>32</v>
      </c>
      <c r="E26" s="25"/>
      <c r="F26" s="33"/>
      <c r="G26" t="s">
        <v>91</v>
      </c>
    </row>
    <row r="27" spans="2:7" x14ac:dyDescent="0.35">
      <c r="B27" s="8"/>
      <c r="C27" s="9" t="s">
        <v>33</v>
      </c>
      <c r="D27" s="8" t="s">
        <v>34</v>
      </c>
      <c r="E27" s="25" t="s">
        <v>61</v>
      </c>
      <c r="F27" s="30">
        <v>0</v>
      </c>
      <c r="G27" t="s">
        <v>92</v>
      </c>
    </row>
    <row r="28" spans="2:7" ht="87" x14ac:dyDescent="0.35">
      <c r="B28" s="8"/>
      <c r="C28" s="9" t="s">
        <v>35</v>
      </c>
      <c r="D28" s="8" t="s">
        <v>36</v>
      </c>
      <c r="E28" s="35" t="s">
        <v>115</v>
      </c>
      <c r="F28" s="30">
        <v>550950</v>
      </c>
      <c r="G28" t="s">
        <v>93</v>
      </c>
    </row>
    <row r="29" spans="2:7" x14ac:dyDescent="0.35">
      <c r="B29" s="8"/>
      <c r="C29" s="9" t="s">
        <v>37</v>
      </c>
      <c r="D29" s="16" t="s">
        <v>38</v>
      </c>
      <c r="E29" s="25" t="s">
        <v>61</v>
      </c>
      <c r="F29" s="30">
        <v>0</v>
      </c>
      <c r="G29" t="s">
        <v>94</v>
      </c>
    </row>
    <row r="30" spans="2:7" ht="188.5" x14ac:dyDescent="0.35">
      <c r="B30" s="8"/>
      <c r="C30" s="9" t="s">
        <v>39</v>
      </c>
      <c r="D30" s="16" t="s">
        <v>40</v>
      </c>
      <c r="E30" s="35" t="s">
        <v>116</v>
      </c>
      <c r="F30" s="30">
        <v>139519</v>
      </c>
      <c r="G30" t="s">
        <v>95</v>
      </c>
    </row>
    <row r="31" spans="2:7" ht="188.5" x14ac:dyDescent="0.35">
      <c r="B31" s="8"/>
      <c r="C31" s="9" t="s">
        <v>41</v>
      </c>
      <c r="D31" s="16" t="s">
        <v>42</v>
      </c>
      <c r="E31" s="35" t="s">
        <v>116</v>
      </c>
      <c r="F31" s="30">
        <v>509250</v>
      </c>
      <c r="G31" t="s">
        <v>96</v>
      </c>
    </row>
    <row r="32" spans="2:7" ht="20" x14ac:dyDescent="0.35">
      <c r="B32" s="8"/>
      <c r="C32" s="9" t="s">
        <v>43</v>
      </c>
      <c r="D32" s="8" t="s">
        <v>44</v>
      </c>
      <c r="E32" s="25" t="s">
        <v>117</v>
      </c>
      <c r="F32" s="30">
        <v>3652497</v>
      </c>
      <c r="G32" t="s">
        <v>97</v>
      </c>
    </row>
    <row r="33" spans="2:7" x14ac:dyDescent="0.35">
      <c r="B33" s="8"/>
      <c r="C33" s="9" t="s">
        <v>45</v>
      </c>
      <c r="D33" s="8" t="s">
        <v>46</v>
      </c>
      <c r="E33" s="25" t="s">
        <v>117</v>
      </c>
      <c r="F33" s="30">
        <v>10035706</v>
      </c>
      <c r="G33" t="s">
        <v>98</v>
      </c>
    </row>
    <row r="34" spans="2:7" ht="20" x14ac:dyDescent="0.35">
      <c r="B34" s="8"/>
      <c r="C34" s="9" t="s">
        <v>47</v>
      </c>
      <c r="D34" s="8" t="s">
        <v>48</v>
      </c>
      <c r="E34" s="25" t="s">
        <v>61</v>
      </c>
      <c r="F34" s="30">
        <v>0</v>
      </c>
      <c r="G34" t="s">
        <v>99</v>
      </c>
    </row>
    <row r="35" spans="2:7" ht="20" x14ac:dyDescent="0.35">
      <c r="B35" s="8"/>
      <c r="C35" s="9" t="s">
        <v>49</v>
      </c>
      <c r="D35" s="8" t="s">
        <v>50</v>
      </c>
      <c r="E35" s="25" t="s">
        <v>61</v>
      </c>
      <c r="F35" s="30">
        <v>0</v>
      </c>
      <c r="G35" t="s">
        <v>100</v>
      </c>
    </row>
    <row r="36" spans="2:7" x14ac:dyDescent="0.35">
      <c r="B36" s="5"/>
      <c r="C36" s="6" t="s">
        <v>51</v>
      </c>
      <c r="D36" s="5" t="s">
        <v>52</v>
      </c>
      <c r="E36" s="25"/>
      <c r="F36" s="33">
        <f>SUM(F27:F35)</f>
        <v>14887922</v>
      </c>
      <c r="G36" t="s">
        <v>101</v>
      </c>
    </row>
    <row r="37" spans="2:7" x14ac:dyDescent="0.35">
      <c r="B37" s="5"/>
      <c r="C37" s="5">
        <v>2.4</v>
      </c>
      <c r="D37" s="5" t="s">
        <v>53</v>
      </c>
      <c r="E37" s="25"/>
      <c r="F37" s="33">
        <f>+F25+F36</f>
        <v>17775464</v>
      </c>
      <c r="G37" t="s">
        <v>102</v>
      </c>
    </row>
    <row r="38" spans="2:7" x14ac:dyDescent="0.35">
      <c r="B38" s="5">
        <v>3</v>
      </c>
      <c r="C38" s="5"/>
      <c r="D38" s="5" t="s">
        <v>54</v>
      </c>
      <c r="E38" s="25"/>
      <c r="F38" s="34">
        <f>IF(F37=0,0,(+F14/F37)*100)</f>
        <v>84.277783128474169</v>
      </c>
      <c r="G38" t="s">
        <v>103</v>
      </c>
    </row>
    <row r="39" spans="2:7" ht="15.5" x14ac:dyDescent="0.35">
      <c r="B39" s="17"/>
      <c r="C39" s="17"/>
      <c r="D39" s="18" t="s">
        <v>55</v>
      </c>
      <c r="E39" s="25"/>
    </row>
    <row r="40" spans="2:7" ht="15.5" x14ac:dyDescent="0.35">
      <c r="B40" s="19"/>
      <c r="C40" s="20"/>
      <c r="D40" s="22"/>
    </row>
    <row r="43" spans="2:7" x14ac:dyDescent="0.35">
      <c r="B43" s="1"/>
      <c r="C43" s="1"/>
      <c r="D43" s="21"/>
    </row>
    <row r="44" spans="2:7" x14ac:dyDescent="0.35">
      <c r="B44" s="1"/>
      <c r="C44" s="1"/>
      <c r="D44" s="21"/>
    </row>
    <row r="45" spans="2:7" x14ac:dyDescent="0.35">
      <c r="B45" s="1"/>
      <c r="C45" s="1"/>
      <c r="D45" s="21"/>
    </row>
  </sheetData>
  <mergeCells count="5">
    <mergeCell ref="B6:D6"/>
    <mergeCell ref="B2:D2"/>
    <mergeCell ref="C3:D3"/>
    <mergeCell ref="C4:D4"/>
    <mergeCell ref="C5:D5"/>
  </mergeCells>
  <dataValidations count="2">
    <dataValidation type="whole" operator="greaterThanOrEqual" allowBlank="1" showInputMessage="1" showErrorMessage="1" error="Please input a valid data!" sqref="F13:F38 F9:F11" xr:uid="{66390C69-CDC9-42B3-92C9-AAC383BD6D87}">
      <formula1>0</formula1>
    </dataValidation>
    <dataValidation type="whole" operator="greaterThanOrEqual" showInputMessage="1" showErrorMessage="1" error="Please input a valid data!" sqref="F12" xr:uid="{326FF68A-465B-4D50-984B-DADC6D78C4E7}">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BE2E-A4F3-4DCF-B70A-0B6182ACBE00}">
  <dimension ref="A1:M11"/>
  <sheetViews>
    <sheetView workbookViewId="0">
      <selection activeCell="B2" sqref="B2"/>
    </sheetView>
  </sheetViews>
  <sheetFormatPr defaultRowHeight="14.5" x14ac:dyDescent="0.35"/>
  <cols>
    <col min="2" max="2" width="22.453125" bestFit="1" customWidth="1"/>
    <col min="3" max="3" width="16.1796875" bestFit="1" customWidth="1"/>
    <col min="4" max="4" width="11.453125" bestFit="1" customWidth="1"/>
  </cols>
  <sheetData>
    <row r="1" spans="1:13" x14ac:dyDescent="0.35">
      <c r="L1">
        <v>697870</v>
      </c>
      <c r="M1">
        <v>697870</v>
      </c>
    </row>
    <row r="2" spans="1:13" x14ac:dyDescent="0.35">
      <c r="B2" t="s">
        <v>63</v>
      </c>
      <c r="D2">
        <v>2573815.9653170002</v>
      </c>
      <c r="L2">
        <v>614355</v>
      </c>
      <c r="M2">
        <v>614355</v>
      </c>
    </row>
    <row r="3" spans="1:13" ht="43.5" customHeight="1" x14ac:dyDescent="0.35">
      <c r="B3" s="39" t="s">
        <v>64</v>
      </c>
      <c r="C3" t="s">
        <v>65</v>
      </c>
      <c r="D3">
        <v>0</v>
      </c>
      <c r="L3">
        <v>171844</v>
      </c>
      <c r="M3">
        <v>163245</v>
      </c>
    </row>
    <row r="4" spans="1:13" x14ac:dyDescent="0.35">
      <c r="B4" s="39"/>
      <c r="C4" t="s">
        <v>66</v>
      </c>
      <c r="D4">
        <v>0</v>
      </c>
      <c r="L4">
        <v>6156386</v>
      </c>
      <c r="M4">
        <v>4334122</v>
      </c>
    </row>
    <row r="5" spans="1:13" ht="29" x14ac:dyDescent="0.35">
      <c r="B5" s="23" t="s">
        <v>67</v>
      </c>
      <c r="D5">
        <v>1181221.8538583999</v>
      </c>
      <c r="L5">
        <v>1877965</v>
      </c>
      <c r="M5">
        <v>1943115</v>
      </c>
    </row>
    <row r="6" spans="1:13" x14ac:dyDescent="0.35">
      <c r="B6" t="s">
        <v>68</v>
      </c>
      <c r="D6">
        <f>SUM(D2:D5)</f>
        <v>3755037.8191753998</v>
      </c>
      <c r="L6">
        <v>2350715</v>
      </c>
      <c r="M6">
        <v>4994478</v>
      </c>
    </row>
    <row r="7" spans="1:13" ht="29" customHeight="1" x14ac:dyDescent="0.35">
      <c r="B7" s="39" t="s">
        <v>69</v>
      </c>
      <c r="C7" t="s">
        <v>70</v>
      </c>
      <c r="D7">
        <v>559324</v>
      </c>
      <c r="L7">
        <v>1560360</v>
      </c>
      <c r="M7">
        <v>1495168</v>
      </c>
    </row>
    <row r="8" spans="1:13" x14ac:dyDescent="0.35">
      <c r="B8" s="39"/>
      <c r="C8" t="s">
        <v>71</v>
      </c>
      <c r="D8">
        <v>13674395</v>
      </c>
      <c r="L8">
        <v>387480</v>
      </c>
      <c r="M8">
        <v>387480</v>
      </c>
    </row>
    <row r="9" spans="1:13" x14ac:dyDescent="0.35">
      <c r="B9" t="s">
        <v>68</v>
      </c>
      <c r="D9">
        <f>SUM(D7:D8)</f>
        <v>14233719</v>
      </c>
      <c r="L9">
        <v>141269</v>
      </c>
      <c r="M9">
        <v>141269</v>
      </c>
    </row>
    <row r="10" spans="1:13" x14ac:dyDescent="0.35">
      <c r="L10">
        <v>275475</v>
      </c>
      <c r="M10">
        <v>275475</v>
      </c>
    </row>
    <row r="11" spans="1:13" x14ac:dyDescent="0.35">
      <c r="A11">
        <v>1.1000000000000001</v>
      </c>
      <c r="D11">
        <f>SUM(D6-D9)</f>
        <v>-10478681.1808246</v>
      </c>
      <c r="L11">
        <f>SUM(L1:L10)</f>
        <v>14233719</v>
      </c>
      <c r="M11">
        <f>SUM(M1:M10)</f>
        <v>15046577</v>
      </c>
    </row>
  </sheetData>
  <mergeCells count="2">
    <mergeCell ref="B3:B4"/>
    <mergeCell ref="B7: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87FA-98C2-428F-9B01-048830A49E52}">
  <dimension ref="B2:J7"/>
  <sheetViews>
    <sheetView workbookViewId="0">
      <selection activeCell="C8" sqref="C8"/>
    </sheetView>
  </sheetViews>
  <sheetFormatPr defaultRowHeight="14.5" x14ac:dyDescent="0.35"/>
  <cols>
    <col min="2" max="2" width="19.81640625" bestFit="1" customWidth="1"/>
  </cols>
  <sheetData>
    <row r="2" spans="2:10" x14ac:dyDescent="0.35">
      <c r="B2" s="40" t="s">
        <v>15</v>
      </c>
      <c r="C2" s="40"/>
      <c r="D2" s="40"/>
      <c r="E2" s="40"/>
      <c r="F2" s="40"/>
      <c r="G2" s="40"/>
      <c r="H2" s="40"/>
      <c r="I2" s="40"/>
      <c r="J2" s="40"/>
    </row>
    <row r="4" spans="2:10" x14ac:dyDescent="0.35">
      <c r="B4" t="s">
        <v>105</v>
      </c>
      <c r="C4">
        <v>2661445</v>
      </c>
    </row>
    <row r="5" spans="2:10" x14ac:dyDescent="0.35">
      <c r="B5" t="s">
        <v>106</v>
      </c>
      <c r="C5">
        <v>0</v>
      </c>
    </row>
    <row r="6" spans="2:10" x14ac:dyDescent="0.35">
      <c r="B6" t="s">
        <v>107</v>
      </c>
      <c r="C6">
        <v>236236</v>
      </c>
    </row>
    <row r="7" spans="2:10" x14ac:dyDescent="0.35">
      <c r="B7" t="s">
        <v>108</v>
      </c>
      <c r="C7">
        <f>SUM(C4:C6)</f>
        <v>2897681</v>
      </c>
    </row>
  </sheetData>
  <mergeCells count="1">
    <mergeCell ref="B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90587-789C-4C29-9005-1D2D5E8B6EBE}">
  <dimension ref="B2:F7"/>
  <sheetViews>
    <sheetView workbookViewId="0">
      <selection activeCell="F6" sqref="F6"/>
    </sheetView>
  </sheetViews>
  <sheetFormatPr defaultRowHeight="14.5" x14ac:dyDescent="0.35"/>
  <cols>
    <col min="2" max="2" width="14.26953125" bestFit="1" customWidth="1"/>
  </cols>
  <sheetData>
    <row r="2" spans="2:6" x14ac:dyDescent="0.35">
      <c r="B2" s="40" t="s">
        <v>20</v>
      </c>
      <c r="C2" s="40"/>
      <c r="D2" s="40"/>
      <c r="E2" s="40"/>
      <c r="F2" s="40"/>
    </row>
    <row r="4" spans="2:6" x14ac:dyDescent="0.35">
      <c r="B4" t="s">
        <v>109</v>
      </c>
      <c r="C4">
        <v>0</v>
      </c>
    </row>
    <row r="5" spans="2:6" x14ac:dyDescent="0.35">
      <c r="B5" t="s">
        <v>110</v>
      </c>
      <c r="C5">
        <v>0</v>
      </c>
    </row>
    <row r="6" spans="2:6" x14ac:dyDescent="0.35">
      <c r="B6" t="s">
        <v>111</v>
      </c>
      <c r="C6">
        <v>10139</v>
      </c>
    </row>
    <row r="7" spans="2:6" x14ac:dyDescent="0.35">
      <c r="B7" t="s">
        <v>112</v>
      </c>
      <c r="C7">
        <v>0</v>
      </c>
    </row>
  </sheetData>
  <mergeCells count="1">
    <mergeCell ref="B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97DE6D8C4DBE4FBBB26A0889E7241A" ma:contentTypeVersion="14" ma:contentTypeDescription="Create a new document." ma:contentTypeScope="" ma:versionID="bc92e2a8b1c2d6d5bf40d4c98b2ec6e7">
  <xsd:schema xmlns:xsd="http://www.w3.org/2001/XMLSchema" xmlns:xs="http://www.w3.org/2001/XMLSchema" xmlns:p="http://schemas.microsoft.com/office/2006/metadata/properties" xmlns:ns3="ad67743b-09ee-400c-a0e2-113cc2f39c83" xmlns:ns4="ffa728c7-1e39-4658-b239-ecda6ca352dd" targetNamespace="http://schemas.microsoft.com/office/2006/metadata/properties" ma:root="true" ma:fieldsID="f1b0e503ffdcedbfb3c41b53f3e09cee" ns3:_="" ns4:_="">
    <xsd:import namespace="ad67743b-09ee-400c-a0e2-113cc2f39c83"/>
    <xsd:import namespace="ffa728c7-1e39-4658-b239-ecda6ca352dd"/>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67743b-09ee-400c-a0e2-113cc2f39c8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728c7-1e39-4658-b239-ecda6ca352dd"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d67743b-09ee-400c-a0e2-113cc2f39c83" xsi:nil="true"/>
  </documentManagement>
</p:properties>
</file>

<file path=customXml/itemProps1.xml><?xml version="1.0" encoding="utf-8"?>
<ds:datastoreItem xmlns:ds="http://schemas.openxmlformats.org/officeDocument/2006/customXml" ds:itemID="{C4840FE8-D532-4F7E-A1AE-1761F78D25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67743b-09ee-400c-a0e2-113cc2f39c83"/>
    <ds:schemaRef ds:uri="ffa728c7-1e39-4658-b239-ecda6ca35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4C52C3-1133-4D59-B299-8EB47C09D5BA}">
  <ds:schemaRefs>
    <ds:schemaRef ds:uri="http://schemas.microsoft.com/sharepoint/v3/contenttype/forms"/>
  </ds:schemaRefs>
</ds:datastoreItem>
</file>

<file path=customXml/itemProps3.xml><?xml version="1.0" encoding="utf-8"?>
<ds:datastoreItem xmlns:ds="http://schemas.openxmlformats.org/officeDocument/2006/customXml" ds:itemID="{815EFF00-B2B4-44DC-B037-85A650A0C463}">
  <ds:schemaRefs>
    <ds:schemaRef ds:uri="http://purl.org/dc/elements/1.1/"/>
    <ds:schemaRef ds:uri="http://www.w3.org/XML/1998/namespace"/>
    <ds:schemaRef ds:uri="ad67743b-09ee-400c-a0e2-113cc2f39c83"/>
    <ds:schemaRef ds:uri="http://schemas.openxmlformats.org/package/2006/metadata/core-properties"/>
    <ds:schemaRef ds:uri="http://schemas.microsoft.com/office/infopath/2007/PartnerControls"/>
    <ds:schemaRef ds:uri="http://schemas.microsoft.com/office/2006/documentManagement/types"/>
    <ds:schemaRef ds:uri="http://schemas.microsoft.com/office/2006/metadata/properties"/>
    <ds:schemaRef ds:uri="ffa728c7-1e39-4658-b239-ecda6ca352dd"/>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1.1</vt:lpstr>
      <vt:lpstr>2.1</vt:lpstr>
      <vt:lpstr>2.1.2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Abhirami U</dc:creator>
  <cp:lastModifiedBy>Amuthasenthuran s</cp:lastModifiedBy>
  <dcterms:created xsi:type="dcterms:W3CDTF">2023-11-15T14:46:49Z</dcterms:created>
  <dcterms:modified xsi:type="dcterms:W3CDTF">2024-01-03T05:36:09Z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0x0101008597DE6D8C4DBE4FBBB26A0889E7241A</vt:lpwstr>
  </property>
</Properties>
</file>