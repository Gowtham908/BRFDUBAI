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<sst xmlns="http://schemas.openxmlformats.org/spreadsheetml/2006/main" count="137" uniqueCount="132">
  <si>
    <t>BANKING AND MONETARY STATISTICS-  INCOME STATEMENT - BRF 4   (AED in 000)</t>
  </si>
  <si>
    <t>ID:</t>
  </si>
  <si>
    <t>2-4-1-0</t>
  </si>
  <si>
    <t>BANK</t>
  </si>
  <si>
    <t>Bank of Baroda</t>
  </si>
  <si>
    <t>As On</t>
  </si>
  <si>
    <t>30/06/2023</t>
  </si>
  <si>
    <t>No</t>
  </si>
  <si>
    <t>INCOME &amp; EXPENSE ITEMS</t>
  </si>
  <si>
    <t>Year to Date</t>
  </si>
  <si>
    <t xml:space="preserve"> </t>
  </si>
  <si>
    <t>INTEREST OR PROFIT INCOME EARNED FROM:</t>
  </si>
  <si>
    <t>Government &amp; public sector</t>
  </si>
  <si>
    <t>Private sector (corporate &amp; HNW customers)</t>
  </si>
  <si>
    <t xml:space="preserve">GLSH_CODE in ('41021','41041','41071','41141','41191','52101','41001','41151') and
bacid in ('41021016','41021017','41041004','41071019','41071029','41141001','41141054','41141056','41141057','41191006','41191009','52101006','41001001','41001005','41021008','41021013','41021014',
'41021015','41071013','41141002','41151002','41151003','41151004','41191001','41191007','41191008')  and  sol_id in ('9001','9002','9003','9004','9005','9008')
</t>
  </si>
  <si>
    <t>Loans to individuals</t>
  </si>
  <si>
    <t>1.3.1</t>
  </si>
  <si>
    <t>Personal consumer loans</t>
  </si>
  <si>
    <t>GLSH_CODE in ('41071','41131') and
bacid in ('41071001','41071018','41071035','41131001')
 and  sol_id in ('9001','9002','9003','9004','9005','9008')</t>
  </si>
  <si>
    <t>1.3.2</t>
  </si>
  <si>
    <t>Car loan</t>
  </si>
  <si>
    <t>GLSH_CODE in ('41071','41141') and
bacid in ('41071017','41141055')
 and  sol_id in ('9001','9002','9003','9004','9005','9008')</t>
  </si>
  <si>
    <t>1.3.3</t>
  </si>
  <si>
    <t>Overdraft</t>
  </si>
  <si>
    <t xml:space="preserve">GLSH_CODE in ('41051','41101') and
bacid in ('41101003','41101004','41051001')
 and  sol_id in ('9001','9002','9003','9004','9005','9008'),FORACID LIKE '%141071001%'  </t>
  </si>
  <si>
    <t>1.3.4</t>
  </si>
  <si>
    <t>Credit card loan</t>
  </si>
  <si>
    <t>1.3.5</t>
  </si>
  <si>
    <t>Refinanced Government Housing Loans</t>
  </si>
  <si>
    <t>1.3.6</t>
  </si>
  <si>
    <t>Other Real  Estate/ housing loans</t>
  </si>
  <si>
    <t>GLSH_CODE in ('41131','41141') and
bacid in ('41131004','41141029')
 and  sol_id in ('9001','9002','9003','9004','9005','9008')</t>
  </si>
  <si>
    <t>1.3.7</t>
  </si>
  <si>
    <t>Loans against shares/for share trading</t>
  </si>
  <si>
    <t>1.3.8</t>
  </si>
  <si>
    <t>Other loans to individuals</t>
  </si>
  <si>
    <t>GLSH_CODE in ('41101') and
bacid in ('41101001','41101002')
 and  sol_id in ('9001','9002','9003','9004','9005','9008')</t>
  </si>
  <si>
    <t>1.3.9</t>
  </si>
  <si>
    <t>Small business loans (upto AED 2 Mln)</t>
  </si>
  <si>
    <t>GLSH_CODE in ('41071') and
bacid in ('41071036')
 and  sol_id in ('9001','9002','9003','9004','9005','9008')</t>
  </si>
  <si>
    <t>Financial Sector</t>
  </si>
  <si>
    <t>1.4.1</t>
  </si>
  <si>
    <t>Central Bank CDs</t>
  </si>
  <si>
    <t xml:space="preserve"> foracid in ('I12012200')  </t>
  </si>
  <si>
    <t>1.4.2</t>
  </si>
  <si>
    <t>Interbank</t>
  </si>
  <si>
    <t>foracid in ('I13022202','I13022309','I13022310','I13022500','I14022200','I14042000','I14052000')</t>
  </si>
  <si>
    <t>1.4.3</t>
  </si>
  <si>
    <t>Other non banking financial institutions</t>
  </si>
  <si>
    <t>Investment income</t>
  </si>
  <si>
    <t>GLSH_CODE in ('41201') and
bacid in ('41201003','41201005')  and  sol_id in ('9001','9002','9003','9004','9005','9008'),foracid in ('I12011017','I12011020','I12031002','I12012000')</t>
  </si>
  <si>
    <t>Any other interest or profit income</t>
  </si>
  <si>
    <t xml:space="preserve"> foracid in ('I13022327')</t>
  </si>
  <si>
    <t>INTEREST AND ISLAMIC FINANCE EXPENSES PAID TO:</t>
  </si>
  <si>
    <t>Private sector (corporate)</t>
  </si>
  <si>
    <t>GLSH_CODE in ('41201','41301','42801','51111','51121','51131','51201','51301') and
bacid in ('41201010','41301005','42801001','51111001','51111003','51111005','51121001','51121002','51121016','51121020','51131001','51131002','51131005','51131048','51131055','51131057','51131059','51201018','51301011','51301013')
 and  sol_id in ('9001','9002','9003','9004','9005','9008')</t>
  </si>
  <si>
    <t>Individuals</t>
  </si>
  <si>
    <t>2.4.1</t>
  </si>
  <si>
    <t>Central Bank (CDs repoed, marginal lending facility &amp; overdraft)</t>
  </si>
  <si>
    <t>2.4.2</t>
  </si>
  <si>
    <t>foracid in ('E11020003','E11020005','E11020010','E11020011','E12022700','E13012000','E13020000')</t>
  </si>
  <si>
    <t>2.4.4</t>
  </si>
  <si>
    <t>Capital market &amp; other borrowings</t>
  </si>
  <si>
    <t>NET INTEREST OR PROFIT INCOME (1 - 2)</t>
  </si>
  <si>
    <t>OTHER OPERATING INCOME</t>
  </si>
  <si>
    <t>Trading income (excluding derivatives)</t>
  </si>
  <si>
    <t xml:space="preserve"> foracid in ('I21021101','I21021104'), GLSH_CODE in ('42301','42901','42141') and
bacid in ('42141009','42301002','42301008','42301011','EXCHPL')
 and  sol_id in ('9001','9002','9003','9004','9005','9008'),FORACID LIKE '%42901003%';</t>
  </si>
  <si>
    <t>Derivatives Income</t>
  </si>
  <si>
    <t>4.2.1</t>
  </si>
  <si>
    <t>Foreign exchange contracts and options</t>
  </si>
  <si>
    <t>4.2.2</t>
  </si>
  <si>
    <t>Interest rates derivatives and financial futures</t>
  </si>
  <si>
    <t>4.2.3</t>
  </si>
  <si>
    <t>Credit &amp; commodity derivatives</t>
  </si>
  <si>
    <t>4.2.4</t>
  </si>
  <si>
    <t xml:space="preserve">Equity derivatives </t>
  </si>
  <si>
    <t>4.2.5</t>
  </si>
  <si>
    <t>Other derivatives</t>
  </si>
  <si>
    <t>L/C and Guarantees</t>
  </si>
  <si>
    <t>GLSH_CODE in ('42101','42111','42141') and
bacid in ('42101005','42101006','42101014','42101015','42101016','42101018','42101019','42101020','42101021','42101037','42111004','42111008','42111009','42111011','42111012','42111013','42111014','42111015','42111019','42111034','42111036','42111038','42111039','42141006','42111040','42141008','42141013','42111041','42141011','42141012')
 and  sol_id in ('9001','9002','9003','9004','9005','9008')</t>
  </si>
  <si>
    <t>Property income -  revaluation / disposal gains / rental</t>
  </si>
  <si>
    <t>Fees &amp; Commissions on Retail loans</t>
  </si>
  <si>
    <t xml:space="preserve"> GLSH_CODE in ('42101','52350','52201','54551') and
bacid in ('42101004','42101008','42101029','42101030','42101031','42101039','42101012','42101059','42101109','52350003','52201002','54551014','42701026')
 and  sol_id in ('9001','9002','9003','9004','9005','9008')  </t>
  </si>
  <si>
    <t>Fees &amp; Commissions on Corporate loans</t>
  </si>
  <si>
    <t>GLSH_CODE in ('42101','42111','42701') and
bacid in ('42101001','42101012','42101023','42101024','42101035','42101038','42101109','42101094','42111030','42111025','42111001','42111007','42111017','42111020','42111026','42111032','42111033','42701005','42701006','42101034','42111006','42111023','42111027','42111028','42111029','42111031','42701025')
 and  sol_id in ('9001','9002','9003','9004','9005','9008'),foracid in ('E13030000','E13030000','I26020000')</t>
  </si>
  <si>
    <t>Other fees/ income</t>
  </si>
  <si>
    <t>GLSH_CODE in ('42151','42181','42701') and
bacid in ('42151001','42151002','42151002','42151003','42151007','42151007','42151007','42181003','42701021','42701023','42701042','42701056','42701064','42701020','42701022')
 and  sol_id in ('9001','9002','9003','9004','9005','9008'),foracid in ('E13022000','I22016500')</t>
  </si>
  <si>
    <t>TOTAL OPERATING INCOME (3+4)</t>
  </si>
  <si>
    <t>OPERATING EXPENSES</t>
  </si>
  <si>
    <t>Staff expenses (excluding bonuses)</t>
  </si>
  <si>
    <t>GLSH_CODE in ('52401','52411','52421','52451','54532','52461','52471','54501','54531') and
bacid in ('52401001','52401002','52401003','52401005','52401010','52401016','52401017','52411001','52421001','52451010','52451002','52451001','54532014','52461001','52461009','52461011','52471001','52471003','54532019','54501014','54501016','54531016','54531020','54532001','54532002','54532003','54532004','54532005','54532007','54532008','54532009','54532015','54532017','54532020','54532042','54532049','54532010','54532018')
 and  sol_id in ('9001','9002','9003','9004','9005','9008')</t>
  </si>
  <si>
    <t>Bonus expenses (including shares bonus)</t>
  </si>
  <si>
    <t>GLSH_CODE in ('52421','52431') and
bacid in ('52421004','52431002','54532012')
 and  sol_id in ('9001','9002','9003','9004','9005','9008')</t>
  </si>
  <si>
    <t>Premises Expenses</t>
  </si>
  <si>
    <t>GLSH_CODE in ('52501','54532') and
bacid in ('52501001','52501002','52501005','52501006','52501008','52501009','54532021','54532022','54532024','54532025','54532026')
 and  sol_id in ('9001','9002','9003','9004','9005','9008')</t>
  </si>
  <si>
    <t>IT Expenses (excluding IT outsourcing)</t>
  </si>
  <si>
    <t xml:space="preserve"> GLSH_CODE in ('54511','54521','54532') and
bacid in ('54511007','54521001','54521007','54532048')
 and  sol_id in ('9001','9002','9003','9004','9005','9008')</t>
  </si>
  <si>
    <t>Depreciation and Amortisation</t>
  </si>
  <si>
    <t>GLSH_CODE in ('52801') and
bacid in ('52801001','52801002','52801005','52801007')
 and  sol_id in ('9001','9002','9003','9004','9005','9008')</t>
  </si>
  <si>
    <t>Outsourcing expenses</t>
  </si>
  <si>
    <t>6.6.1</t>
  </si>
  <si>
    <t>IT outsourcing expenses</t>
  </si>
  <si>
    <t>6.6.2</t>
  </si>
  <si>
    <t>Other outsourcing expenses</t>
  </si>
  <si>
    <t>Other</t>
  </si>
  <si>
    <t>GLSH_CODE in ('51301','52601','52701','54201','54301','54401','54501','54511','54521','54531','54532','54551') and
bacid in ('51301013','52601001','52601002','52701001','54201001','54201003','54201006','54201007','54201008','54301001','54301005','54301006','54401002','54401007','54501003','54501005','54501015','54501017','54501018','54511001','54511004','54511005','54511006','54521004','54531013','54532028','54532038','54532027','54532029','54532031','54532032','54532033','54532035','54532043','54532045','54532046','54532047','54551007','54201002','54511071','54532039','54532040')
 and  sol_id in ('9001','9002','9003','9004','9005','9008'),foracid in ('I22027500')</t>
  </si>
  <si>
    <t>OPERATING PROFIT BEFORE IMPAIRMENT (5-6)</t>
  </si>
  <si>
    <t>NET IMPAIRMENT CHARGE</t>
  </si>
  <si>
    <t>Specific provision for loans &amp; advances</t>
  </si>
  <si>
    <t>GLSH_CODE in ('54541') and
bacid in ('54541024','54541002')
 and  sol_id in ('9001','9002','9003','9004','9005','9008')</t>
  </si>
  <si>
    <t>Collective provision</t>
  </si>
  <si>
    <t>8.2.1</t>
  </si>
  <si>
    <t>Collective impairment expected</t>
  </si>
  <si>
    <t>8.2.2</t>
  </si>
  <si>
    <t>Other unallocated provision for impaired assets</t>
  </si>
  <si>
    <t>8.2.3</t>
  </si>
  <si>
    <t>General Provision as per Circular 28/2010</t>
  </si>
  <si>
    <t>GLSH_CODE in ('54541') and
bacid in ('54541001')
 and  sol_id in ('9001','9002','9003','9004','9005','9008')</t>
  </si>
  <si>
    <t>Bad Debts written off</t>
  </si>
  <si>
    <t>GLSH_CODE in ('54531') and
bacid in ('54531014','54531034','54531038')
 and  sol_id in ('9001','9002','9003','9004','9005','9008'),foracid in ('E51130000')</t>
  </si>
  <si>
    <t>Recoveries and write backs</t>
  </si>
  <si>
    <t xml:space="preserve"> GLSH_CODE in ('42701','54541') and
bacid in ('42701007','42701013','54541004')
 and  sol_id in ('9001','9002','9003','9004','9005','9008')</t>
  </si>
  <si>
    <t>Provision on investments (htm) and Impairment on non-financial assets</t>
  </si>
  <si>
    <t xml:space="preserve"> bacid in ('54541005')
 and  sol_id in ('9001','9002','9003','9004','9005','9008'),('E51150000','E51160000','E13024000','I22025000','I22013000','E51150010')</t>
  </si>
  <si>
    <t>Any other provision</t>
  </si>
  <si>
    <t xml:space="preserve"> GLSH_CODE in ('54541') and
bacid in ('54541003','54541020','54541025')
 and  sol_id in ('9001','9002','9003','9004','9005','9008')</t>
  </si>
  <si>
    <t>TAXATION</t>
  </si>
  <si>
    <t xml:space="preserve"> GLSH_CODE in ('54531','54541') and
bacid in ('54531015','54541008','54541010')
 and  sol_id in ('9001','9002','9003','9004','9005','9008')</t>
  </si>
  <si>
    <t xml:space="preserve">NET PROFIT (+)/ LOSS (-)  (Carried to Item 28.2.7 of  BRF-2  LIAB)   </t>
  </si>
  <si>
    <t>OTHER COMPREHENSIVE INCOME (unrealised)</t>
  </si>
  <si>
    <t>TOTAL COMPREHENSIVE INCOME (10+11)</t>
  </si>
  <si>
    <t>FORM NO: BSD/BRF 4- INCOME STAT/MAR14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</si>
</sst>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1">
    <font>
      <sz val="11"/>
      <color theme="1"/>
      <name val="Calibri"/>
      <charset val="134"/>
      <scheme val="minor"/>
    </font>
    <font>
      <sz val="8"/>
      <color indexed="8"/>
      <name val="Calibri"/>
      <charset val="0"/>
    </font>
    <font>
      <b/>
      <sz val="11"/>
      <color indexed="8"/>
      <name val="Arial"/>
      <charset val="0"/>
    </font>
    <font>
      <b/>
      <sz val="8"/>
      <color indexed="8"/>
      <name val="Arial"/>
      <charset val="0"/>
    </font>
    <font>
      <sz val="8"/>
      <name val="Arial"/>
      <charset val="0"/>
    </font>
    <font>
      <b/>
      <sz val="8"/>
      <name val="Arial"/>
      <charset val="0"/>
    </font>
    <font>
      <sz val="8"/>
      <color indexed="8"/>
      <name val="Arial"/>
      <charset val="0"/>
    </font>
    <font>
      <b/>
      <sz val="8"/>
      <color indexed="10"/>
      <name val="Arial"/>
      <charset val="0"/>
    </font>
    <font>
      <b/>
      <sz val="8"/>
      <color indexed="8"/>
      <name val="Calibri"/>
      <charset val="0"/>
    </font>
    <font>
      <sz val="8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1"/>
      <color indexed="8"/>
      <name val="Calibri"/>
      <charset val="0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</cellStyleXfs>
  <cellXfs count="56">
    <xf numFmtId="0" fontId="0" fillId="0" borderId="0" xfId="0">
      <alignment vertical="center"/>
    </xf>
    <xf numFmtId="0" fontId="1" fillId="0" borderId="0" xfId="49" applyFont="1" applyFill="1" applyBorder="1"/>
    <xf numFmtId="178" fontId="1" fillId="0" borderId="0" xfId="49" applyNumberFormat="1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2" fillId="2" borderId="1" xfId="49" applyFont="1" applyFill="1" applyBorder="1" applyAlignment="1">
      <alignment horizontal="center"/>
    </xf>
    <xf numFmtId="0" fontId="2" fillId="2" borderId="2" xfId="49" applyFont="1" applyFill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2" fillId="2" borderId="4" xfId="49" applyFont="1" applyFill="1" applyBorder="1" applyAlignment="1">
      <alignment horizontal="center"/>
    </xf>
    <xf numFmtId="0" fontId="3" fillId="2" borderId="3" xfId="49" applyFont="1" applyFill="1" applyBorder="1" applyAlignment="1" applyProtection="1"/>
    <xf numFmtId="15" fontId="4" fillId="0" borderId="3" xfId="53" applyNumberFormat="1" applyFont="1" applyFill="1" applyBorder="1" applyAlignment="1" applyProtection="1">
      <alignment horizontal="left"/>
    </xf>
    <xf numFmtId="15" fontId="4" fillId="0" borderId="1" xfId="53" applyNumberFormat="1" applyFont="1" applyFill="1" applyBorder="1" applyAlignment="1" applyProtection="1">
      <alignment horizontal="left"/>
    </xf>
    <xf numFmtId="0" fontId="4" fillId="0" borderId="4" xfId="49" applyFont="1" applyFill="1" applyBorder="1" applyAlignment="1"/>
    <xf numFmtId="15" fontId="5" fillId="2" borderId="3" xfId="53" applyNumberFormat="1" applyFont="1" applyFill="1" applyBorder="1" applyAlignment="1" applyProtection="1">
      <alignment horizontal="left"/>
    </xf>
    <xf numFmtId="0" fontId="5" fillId="2" borderId="3" xfId="53" applyFont="1" applyFill="1" applyBorder="1" applyProtection="1"/>
    <xf numFmtId="0" fontId="5" fillId="2" borderId="1" xfId="52" applyFont="1" applyFill="1" applyBorder="1" applyAlignment="1">
      <alignment horizontal="center"/>
    </xf>
    <xf numFmtId="0" fontId="4" fillId="2" borderId="2" xfId="49" applyFont="1" applyFill="1" applyBorder="1" applyAlignment="1"/>
    <xf numFmtId="0" fontId="4" fillId="2" borderId="4" xfId="49" applyFont="1" applyFill="1" applyBorder="1" applyAlignment="1"/>
    <xf numFmtId="0" fontId="5" fillId="2" borderId="3" xfId="53" applyFont="1" applyFill="1" applyBorder="1" applyAlignment="1" applyProtection="1">
      <alignment horizontal="left" wrapText="1"/>
    </xf>
    <xf numFmtId="0" fontId="5" fillId="2" borderId="1" xfId="53" applyFont="1" applyFill="1" applyBorder="1" applyAlignment="1" applyProtection="1">
      <alignment horizontal="left" wrapText="1"/>
    </xf>
    <xf numFmtId="0" fontId="5" fillId="2" borderId="4" xfId="53" applyFont="1" applyFill="1" applyBorder="1" applyAlignment="1" applyProtection="1">
      <alignment horizontal="left" wrapText="1"/>
    </xf>
    <xf numFmtId="0" fontId="3" fillId="2" borderId="3" xfId="49" applyFont="1" applyFill="1" applyBorder="1"/>
    <xf numFmtId="178" fontId="6" fillId="2" borderId="3" xfId="49" applyNumberFormat="1" applyFont="1" applyFill="1" applyBorder="1" applyAlignment="1">
      <alignment horizontal="right"/>
    </xf>
    <xf numFmtId="3" fontId="3" fillId="2" borderId="1" xfId="50" applyNumberFormat="1" applyFont="1" applyFill="1" applyBorder="1"/>
    <xf numFmtId="3" fontId="3" fillId="2" borderId="4" xfId="49" applyNumberFormat="1" applyFont="1" applyFill="1" applyBorder="1"/>
    <xf numFmtId="0" fontId="6" fillId="3" borderId="3" xfId="49" applyFont="1" applyFill="1" applyBorder="1"/>
    <xf numFmtId="178" fontId="6" fillId="0" borderId="3" xfId="49" applyNumberFormat="1" applyFont="1" applyFill="1" applyBorder="1" applyAlignment="1">
      <alignment horizontal="right"/>
    </xf>
    <xf numFmtId="3" fontId="6" fillId="0" borderId="1" xfId="50" applyNumberFormat="1" applyFont="1" applyFill="1" applyBorder="1"/>
    <xf numFmtId="3" fontId="3" fillId="0" borderId="4" xfId="49" applyNumberFormat="1" applyFont="1" applyFill="1" applyBorder="1" applyProtection="1">
      <protection locked="0"/>
    </xf>
    <xf numFmtId="0" fontId="0" fillId="0" borderId="3" xfId="0" applyBorder="1" applyAlignment="1">
      <alignment horizontal="left" vertical="top" wrapText="1"/>
    </xf>
    <xf numFmtId="0" fontId="6" fillId="2" borderId="3" xfId="49" applyFont="1" applyFill="1" applyBorder="1"/>
    <xf numFmtId="3" fontId="6" fillId="2" borderId="1" xfId="50" applyNumberFormat="1" applyFont="1" applyFill="1" applyBorder="1"/>
    <xf numFmtId="178" fontId="3" fillId="2" borderId="3" xfId="49" applyNumberFormat="1" applyFont="1" applyFill="1" applyBorder="1" applyAlignment="1">
      <alignment horizontal="right"/>
    </xf>
    <xf numFmtId="0" fontId="3" fillId="3" borderId="3" xfId="49" applyFont="1" applyFill="1" applyBorder="1"/>
    <xf numFmtId="0" fontId="6" fillId="0" borderId="3" xfId="49" applyFont="1" applyFill="1" applyBorder="1" applyAlignment="1">
      <alignment horizontal="right"/>
    </xf>
    <xf numFmtId="0" fontId="6" fillId="0" borderId="1" xfId="49" applyFont="1" applyFill="1" applyBorder="1"/>
    <xf numFmtId="3" fontId="5" fillId="2" borderId="4" xfId="49" applyNumberFormat="1" applyFont="1" applyFill="1" applyBorder="1"/>
    <xf numFmtId="0" fontId="6" fillId="0" borderId="1" xfId="51" applyFont="1" applyFill="1" applyBorder="1" applyAlignment="1">
      <alignment wrapText="1"/>
    </xf>
    <xf numFmtId="0" fontId="7" fillId="3" borderId="3" xfId="49" applyFont="1" applyFill="1" applyBorder="1"/>
    <xf numFmtId="3" fontId="5" fillId="0" borderId="4" xfId="49" applyNumberFormat="1" applyFont="1" applyFill="1" applyBorder="1" applyProtection="1">
      <protection locked="0"/>
    </xf>
    <xf numFmtId="3" fontId="5" fillId="3" borderId="4" xfId="49" applyNumberFormat="1" applyFont="1" applyFill="1" applyBorder="1" applyProtection="1">
      <protection locked="0"/>
    </xf>
    <xf numFmtId="3" fontId="5" fillId="2" borderId="4" xfId="49" applyNumberFormat="1" applyFont="1" applyFill="1" applyBorder="1" applyProtection="1">
      <protection locked="0"/>
    </xf>
    <xf numFmtId="0" fontId="3" fillId="2" borderId="1" xfId="49" applyFont="1" applyFill="1" applyBorder="1" applyAlignment="1">
      <alignment wrapText="1"/>
    </xf>
    <xf numFmtId="3" fontId="3" fillId="2" borderId="4" xfId="49" applyNumberFormat="1" applyFont="1" applyFill="1" applyBorder="1" applyProtection="1"/>
    <xf numFmtId="0" fontId="4" fillId="3" borderId="3" xfId="1" applyNumberFormat="1" applyFont="1" applyFill="1" applyBorder="1" applyAlignment="1"/>
    <xf numFmtId="178" fontId="4" fillId="3" borderId="3" xfId="49" applyNumberFormat="1" applyFont="1" applyFill="1" applyBorder="1" applyAlignment="1">
      <alignment horizontal="right"/>
    </xf>
    <xf numFmtId="0" fontId="3" fillId="3" borderId="1" xfId="49" applyFont="1" applyFill="1" applyBorder="1" applyAlignment="1">
      <alignment wrapText="1"/>
    </xf>
    <xf numFmtId="0" fontId="3" fillId="2" borderId="1" xfId="49" applyFont="1" applyFill="1" applyBorder="1"/>
    <xf numFmtId="3" fontId="6" fillId="3" borderId="1" xfId="50" applyNumberFormat="1" applyFont="1" applyFill="1" applyBorder="1" applyAlignment="1">
      <alignment horizontal="center"/>
    </xf>
    <xf numFmtId="3" fontId="6" fillId="3" borderId="4" xfId="50" applyNumberFormat="1" applyFont="1" applyFill="1" applyBorder="1" applyAlignment="1">
      <alignment horizontal="center"/>
    </xf>
    <xf numFmtId="0" fontId="8" fillId="3" borderId="1" xfId="49" applyFont="1" applyFill="1" applyBorder="1"/>
    <xf numFmtId="3" fontId="6" fillId="3" borderId="4" xfId="50" applyNumberFormat="1" applyFont="1" applyFill="1" applyBorder="1"/>
    <xf numFmtId="0" fontId="6" fillId="0" borderId="0" xfId="49" applyFont="1" applyFill="1" applyBorder="1"/>
    <xf numFmtId="0" fontId="1" fillId="0" borderId="0" xfId="51" applyFont="1" applyFill="1" applyBorder="1" applyAlignment="1">
      <alignment wrapText="1"/>
    </xf>
    <xf numFmtId="0" fontId="1" fillId="0" borderId="0" xfId="51" applyFont="1" applyFill="1" applyBorder="1" applyAlignment="1">
      <alignment horizontal="right" wrapText="1"/>
    </xf>
    <xf numFmtId="0" fontId="9" fillId="0" borderId="0" xfId="49" applyFont="1" applyFill="1" applyBorder="1" applyAlignment="1">
      <alignment horizontal="right"/>
    </xf>
    <xf numFmtId="0" fontId="9" fillId="0" borderId="0" xfId="49" applyFont="1" applyFill="1" applyBorder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_Sheet1" xfId="50"/>
    <cellStyle name="Normal 4" xfId="51"/>
    <cellStyle name="Normal 5" xfId="52"/>
    <cellStyle name="Normal 3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85"/>
  <sheetViews>
    <sheetView tabSelected="1" topLeftCell="C68" workbookViewId="0">
      <selection activeCell="D72" sqref="D72"/>
    </sheetView>
  </sheetViews>
  <sheetFormatPr defaultColWidth="9.14545454545454" defaultRowHeight="14.5" outlineLevelCol="4"/>
  <cols>
    <col min="1" max="1" width="12.8545454545455" style="1" customWidth="1"/>
    <col min="2" max="2" width="12.8545454545455" style="2" customWidth="1"/>
    <col min="3" max="3" width="69.1454545454545" style="1" customWidth="1"/>
    <col min="4" max="4" width="66.4272727272727" style="3" customWidth="1"/>
    <col min="5" max="5" width="22.4272727272727" style="1" customWidth="1"/>
  </cols>
  <sheetData>
    <row r="2" spans="1:5">
      <c r="A2" s="4" t="s">
        <v>0</v>
      </c>
      <c r="B2" s="5"/>
      <c r="C2" s="5"/>
      <c r="D2" s="6"/>
      <c r="E2" s="7"/>
    </row>
    <row r="3" spans="1:5">
      <c r="A3" s="8" t="s">
        <v>1</v>
      </c>
      <c r="B3" s="9" t="s">
        <v>2</v>
      </c>
      <c r="C3" s="10"/>
      <c r="D3" s="6"/>
      <c r="E3" s="11"/>
    </row>
    <row r="4" spans="1:5">
      <c r="A4" s="12" t="s">
        <v>3</v>
      </c>
      <c r="B4" s="9" t="s">
        <v>4</v>
      </c>
      <c r="C4" s="10"/>
      <c r="D4" s="6"/>
      <c r="E4" s="11"/>
    </row>
    <row r="5" spans="1:5">
      <c r="A5" s="13" t="s">
        <v>5</v>
      </c>
      <c r="B5" s="9" t="s">
        <v>6</v>
      </c>
      <c r="C5" s="10"/>
      <c r="D5" s="6"/>
      <c r="E5" s="11"/>
    </row>
    <row r="6" spans="1:5">
      <c r="A6" s="14"/>
      <c r="B6" s="15"/>
      <c r="C6" s="15"/>
      <c r="D6" s="6"/>
      <c r="E6" s="16"/>
    </row>
    <row r="7" spans="1:5">
      <c r="A7" s="17" t="s">
        <v>7</v>
      </c>
      <c r="B7" s="17"/>
      <c r="C7" s="18" t="s">
        <v>8</v>
      </c>
      <c r="D7" s="6"/>
      <c r="E7" s="19" t="s">
        <v>9</v>
      </c>
    </row>
    <row r="8" spans="1:5">
      <c r="A8" s="20">
        <v>1</v>
      </c>
      <c r="B8" s="21" t="s">
        <v>10</v>
      </c>
      <c r="C8" s="22" t="s">
        <v>11</v>
      </c>
      <c r="D8" s="6"/>
      <c r="E8" s="23">
        <f>SUM(E9:E11)+E21+E25+E26</f>
        <v>554852</v>
      </c>
    </row>
    <row r="9" spans="1:5">
      <c r="A9" s="24"/>
      <c r="B9" s="25">
        <v>1.1</v>
      </c>
      <c r="C9" s="26" t="s">
        <v>12</v>
      </c>
      <c r="D9" s="6"/>
      <c r="E9" s="27">
        <v>0</v>
      </c>
    </row>
    <row r="10" ht="130.5" spans="1:5">
      <c r="A10" s="24"/>
      <c r="B10" s="25">
        <v>1.2</v>
      </c>
      <c r="C10" s="26" t="s">
        <v>13</v>
      </c>
      <c r="D10" s="28" t="s">
        <v>14</v>
      </c>
      <c r="E10" s="27">
        <v>354895</v>
      </c>
    </row>
    <row r="11" spans="1:5">
      <c r="A11" s="29"/>
      <c r="B11" s="21">
        <v>1.3</v>
      </c>
      <c r="C11" s="30" t="s">
        <v>15</v>
      </c>
      <c r="D11" s="6"/>
      <c r="E11" s="23">
        <f>SUM(E12:E20)</f>
        <v>122799</v>
      </c>
    </row>
    <row r="12" ht="43.5" spans="1:5">
      <c r="A12" s="24"/>
      <c r="B12" s="25" t="s">
        <v>16</v>
      </c>
      <c r="C12" s="26" t="s">
        <v>17</v>
      </c>
      <c r="D12" s="6" t="s">
        <v>18</v>
      </c>
      <c r="E12" s="27">
        <v>10469</v>
      </c>
    </row>
    <row r="13" ht="43.5" spans="1:5">
      <c r="A13" s="24"/>
      <c r="B13" s="25" t="s">
        <v>19</v>
      </c>
      <c r="C13" s="26" t="s">
        <v>20</v>
      </c>
      <c r="D13" s="6" t="s">
        <v>21</v>
      </c>
      <c r="E13" s="27">
        <v>2365</v>
      </c>
    </row>
    <row r="14" ht="58" spans="1:5">
      <c r="A14" s="24"/>
      <c r="B14" s="25" t="s">
        <v>22</v>
      </c>
      <c r="C14" s="26" t="s">
        <v>23</v>
      </c>
      <c r="D14" s="6" t="s">
        <v>24</v>
      </c>
      <c r="E14" s="27">
        <v>73067</v>
      </c>
    </row>
    <row r="15" spans="1:5">
      <c r="A15" s="24"/>
      <c r="B15" s="25" t="s">
        <v>25</v>
      </c>
      <c r="C15" s="26" t="s">
        <v>26</v>
      </c>
      <c r="D15" s="6"/>
      <c r="E15" s="27">
        <v>0</v>
      </c>
    </row>
    <row r="16" spans="1:5">
      <c r="A16" s="24"/>
      <c r="B16" s="25" t="s">
        <v>27</v>
      </c>
      <c r="C16" s="26" t="s">
        <v>28</v>
      </c>
      <c r="D16" s="6"/>
      <c r="E16" s="27">
        <v>0</v>
      </c>
    </row>
    <row r="17" ht="43.5" spans="1:5">
      <c r="A17" s="24"/>
      <c r="B17" s="25" t="s">
        <v>29</v>
      </c>
      <c r="C17" s="26" t="s">
        <v>30</v>
      </c>
      <c r="D17" s="6" t="s">
        <v>31</v>
      </c>
      <c r="E17" s="27">
        <v>36198</v>
      </c>
    </row>
    <row r="18" spans="1:5">
      <c r="A18" s="24"/>
      <c r="B18" s="25" t="s">
        <v>32</v>
      </c>
      <c r="C18" s="26" t="s">
        <v>33</v>
      </c>
      <c r="D18" s="6"/>
      <c r="E18" s="27">
        <v>0</v>
      </c>
    </row>
    <row r="19" ht="43.5" spans="1:5">
      <c r="A19" s="24"/>
      <c r="B19" s="25" t="s">
        <v>34</v>
      </c>
      <c r="C19" s="26" t="s">
        <v>35</v>
      </c>
      <c r="D19" s="6" t="s">
        <v>36</v>
      </c>
      <c r="E19" s="27">
        <v>699</v>
      </c>
    </row>
    <row r="20" ht="43.5" spans="1:5">
      <c r="A20" s="24"/>
      <c r="B20" s="25" t="s">
        <v>37</v>
      </c>
      <c r="C20" s="26" t="s">
        <v>38</v>
      </c>
      <c r="D20" s="6" t="s">
        <v>39</v>
      </c>
      <c r="E20" s="27">
        <v>1</v>
      </c>
    </row>
    <row r="21" spans="1:5">
      <c r="A21" s="29"/>
      <c r="B21" s="21">
        <v>1.4</v>
      </c>
      <c r="C21" s="30" t="s">
        <v>40</v>
      </c>
      <c r="D21" s="6"/>
      <c r="E21" s="23">
        <f>SUM(E22:E24)</f>
        <v>27495</v>
      </c>
    </row>
    <row r="22" spans="1:5">
      <c r="A22" s="24"/>
      <c r="B22" s="25" t="s">
        <v>41</v>
      </c>
      <c r="C22" s="26" t="s">
        <v>42</v>
      </c>
      <c r="D22" s="6" t="s">
        <v>43</v>
      </c>
      <c r="E22" s="27">
        <v>0</v>
      </c>
    </row>
    <row r="23" ht="43.5" spans="1:5">
      <c r="A23" s="24"/>
      <c r="B23" s="25" t="s">
        <v>44</v>
      </c>
      <c r="C23" s="26" t="s">
        <v>45</v>
      </c>
      <c r="D23" s="6" t="s">
        <v>46</v>
      </c>
      <c r="E23" s="27">
        <v>27495</v>
      </c>
    </row>
    <row r="24" spans="1:5">
      <c r="A24" s="24"/>
      <c r="B24" s="25" t="s">
        <v>47</v>
      </c>
      <c r="C24" s="26" t="s">
        <v>48</v>
      </c>
      <c r="D24" s="6"/>
      <c r="E24" s="27">
        <v>0</v>
      </c>
    </row>
    <row r="25" ht="58" spans="1:5">
      <c r="A25" s="24"/>
      <c r="B25" s="25">
        <v>1.5</v>
      </c>
      <c r="C25" s="26" t="s">
        <v>49</v>
      </c>
      <c r="D25" s="6" t="s">
        <v>50</v>
      </c>
      <c r="E25" s="27">
        <v>30144</v>
      </c>
    </row>
    <row r="26" spans="1:5">
      <c r="A26" s="24"/>
      <c r="B26" s="25">
        <v>1.6</v>
      </c>
      <c r="C26" s="26" t="s">
        <v>51</v>
      </c>
      <c r="D26" s="6" t="s">
        <v>52</v>
      </c>
      <c r="E26" s="27">
        <v>19519</v>
      </c>
    </row>
    <row r="27" spans="1:5">
      <c r="A27" s="20">
        <v>2</v>
      </c>
      <c r="B27" s="21"/>
      <c r="C27" s="22" t="s">
        <v>53</v>
      </c>
      <c r="D27" s="6"/>
      <c r="E27" s="23">
        <f>SUM(E28:E31)+E35</f>
        <v>181984</v>
      </c>
    </row>
    <row r="28" spans="1:5">
      <c r="A28" s="24"/>
      <c r="B28" s="25">
        <v>2.1</v>
      </c>
      <c r="C28" s="26" t="s">
        <v>12</v>
      </c>
      <c r="D28" s="6"/>
      <c r="E28" s="27">
        <v>0</v>
      </c>
    </row>
    <row r="29" ht="101.5" spans="1:5">
      <c r="A29" s="24"/>
      <c r="B29" s="25">
        <v>2.2</v>
      </c>
      <c r="C29" s="26" t="s">
        <v>54</v>
      </c>
      <c r="D29" s="6" t="s">
        <v>55</v>
      </c>
      <c r="E29" s="27">
        <v>97487</v>
      </c>
    </row>
    <row r="30" ht="101.5" spans="1:5">
      <c r="A30" s="24"/>
      <c r="B30" s="25">
        <v>2.3</v>
      </c>
      <c r="C30" s="26" t="s">
        <v>56</v>
      </c>
      <c r="D30" s="6" t="s">
        <v>55</v>
      </c>
      <c r="E30" s="27">
        <v>64991</v>
      </c>
    </row>
    <row r="31" spans="1:5">
      <c r="A31" s="29"/>
      <c r="B31" s="21">
        <v>2.4</v>
      </c>
      <c r="C31" s="30" t="s">
        <v>40</v>
      </c>
      <c r="D31" s="6"/>
      <c r="E31" s="23">
        <f>SUM(E32:E34)</f>
        <v>19506</v>
      </c>
    </row>
    <row r="32" spans="1:5">
      <c r="A32" s="24"/>
      <c r="B32" s="25" t="s">
        <v>57</v>
      </c>
      <c r="C32" s="26" t="s">
        <v>58</v>
      </c>
      <c r="D32" s="6"/>
      <c r="E32" s="27">
        <v>0</v>
      </c>
    </row>
    <row r="33" ht="43.5" spans="1:5">
      <c r="A33" s="24"/>
      <c r="B33" s="25" t="s">
        <v>59</v>
      </c>
      <c r="C33" s="26" t="s">
        <v>45</v>
      </c>
      <c r="D33" s="6" t="s">
        <v>60</v>
      </c>
      <c r="E33" s="27">
        <v>19506</v>
      </c>
    </row>
    <row r="34" spans="1:5">
      <c r="A34" s="24"/>
      <c r="B34" s="25" t="s">
        <v>61</v>
      </c>
      <c r="C34" s="26" t="s">
        <v>48</v>
      </c>
      <c r="D34" s="6"/>
      <c r="E34" s="27">
        <v>0</v>
      </c>
    </row>
    <row r="35" spans="1:5">
      <c r="A35" s="24"/>
      <c r="B35" s="25">
        <v>2.5</v>
      </c>
      <c r="C35" s="26" t="s">
        <v>62</v>
      </c>
      <c r="D35" s="6"/>
      <c r="E35" s="27">
        <v>0</v>
      </c>
    </row>
    <row r="36" spans="1:5">
      <c r="A36" s="20">
        <v>3</v>
      </c>
      <c r="B36" s="31"/>
      <c r="C36" s="22" t="s">
        <v>63</v>
      </c>
      <c r="D36" s="6"/>
      <c r="E36" s="23">
        <f>+E8-E27</f>
        <v>372868</v>
      </c>
    </row>
    <row r="37" spans="1:5">
      <c r="A37" s="29">
        <v>4</v>
      </c>
      <c r="B37" s="31"/>
      <c r="C37" s="22" t="s">
        <v>64</v>
      </c>
      <c r="D37" s="6"/>
      <c r="E37" s="23">
        <f>SUM(E38:E39)+SUM(E45:E49)</f>
        <v>68480</v>
      </c>
    </row>
    <row r="38" ht="72.5" spans="1:5">
      <c r="A38" s="32"/>
      <c r="B38" s="25">
        <v>4.1</v>
      </c>
      <c r="C38" s="26" t="s">
        <v>65</v>
      </c>
      <c r="D38" s="6" t="s">
        <v>66</v>
      </c>
      <c r="E38" s="27">
        <v>13031</v>
      </c>
    </row>
    <row r="39" spans="1:5">
      <c r="A39" s="20"/>
      <c r="B39" s="21">
        <v>4.2</v>
      </c>
      <c r="C39" s="30" t="s">
        <v>67</v>
      </c>
      <c r="D39" s="6"/>
      <c r="E39" s="23">
        <f>SUM(E40:E44)</f>
        <v>0</v>
      </c>
    </row>
    <row r="40" spans="1:5">
      <c r="A40" s="32"/>
      <c r="B40" s="25" t="s">
        <v>68</v>
      </c>
      <c r="C40" s="26" t="s">
        <v>69</v>
      </c>
      <c r="D40" s="6"/>
      <c r="E40" s="27">
        <v>0</v>
      </c>
    </row>
    <row r="41" spans="1:5">
      <c r="A41" s="32"/>
      <c r="B41" s="25" t="s">
        <v>70</v>
      </c>
      <c r="C41" s="26" t="s">
        <v>71</v>
      </c>
      <c r="D41" s="6"/>
      <c r="E41" s="27">
        <v>0</v>
      </c>
    </row>
    <row r="42" spans="1:5">
      <c r="A42" s="32"/>
      <c r="B42" s="25" t="s">
        <v>72</v>
      </c>
      <c r="C42" s="26" t="s">
        <v>73</v>
      </c>
      <c r="D42" s="6"/>
      <c r="E42" s="27">
        <v>0</v>
      </c>
    </row>
    <row r="43" spans="1:5">
      <c r="A43" s="32"/>
      <c r="B43" s="25" t="s">
        <v>74</v>
      </c>
      <c r="C43" s="26" t="s">
        <v>75</v>
      </c>
      <c r="D43" s="6"/>
      <c r="E43" s="27">
        <v>0</v>
      </c>
    </row>
    <row r="44" spans="1:5">
      <c r="A44" s="32"/>
      <c r="B44" s="25" t="s">
        <v>76</v>
      </c>
      <c r="C44" s="26" t="s">
        <v>77</v>
      </c>
      <c r="D44" s="6"/>
      <c r="E44" s="27">
        <v>0</v>
      </c>
    </row>
    <row r="45" ht="116" spans="1:5">
      <c r="A45" s="32"/>
      <c r="B45" s="25">
        <v>4.3</v>
      </c>
      <c r="C45" s="26" t="s">
        <v>78</v>
      </c>
      <c r="D45" s="6" t="s">
        <v>79</v>
      </c>
      <c r="E45" s="27">
        <v>8636</v>
      </c>
    </row>
    <row r="46" spans="1:5">
      <c r="A46" s="32"/>
      <c r="B46" s="25">
        <v>4.4</v>
      </c>
      <c r="C46" s="26" t="s">
        <v>80</v>
      </c>
      <c r="D46" s="6"/>
      <c r="E46" s="27">
        <v>0</v>
      </c>
    </row>
    <row r="47" ht="72.5" spans="1:5">
      <c r="A47" s="32"/>
      <c r="B47" s="25">
        <v>4.5</v>
      </c>
      <c r="C47" s="26" t="s">
        <v>81</v>
      </c>
      <c r="D47" s="6" t="s">
        <v>82</v>
      </c>
      <c r="E47" s="27">
        <v>7312</v>
      </c>
    </row>
    <row r="48" ht="116" spans="1:5">
      <c r="A48" s="32"/>
      <c r="B48" s="25">
        <v>4.6</v>
      </c>
      <c r="C48" s="26" t="s">
        <v>83</v>
      </c>
      <c r="D48" s="6" t="s">
        <v>84</v>
      </c>
      <c r="E48" s="27">
        <v>36542</v>
      </c>
    </row>
    <row r="49" ht="101.5" spans="1:5">
      <c r="A49" s="32"/>
      <c r="B49" s="25">
        <v>4.7</v>
      </c>
      <c r="C49" s="26" t="s">
        <v>85</v>
      </c>
      <c r="D49" s="6" t="s">
        <v>86</v>
      </c>
      <c r="E49" s="27">
        <v>2959</v>
      </c>
    </row>
    <row r="50" spans="1:5">
      <c r="A50" s="20">
        <v>5</v>
      </c>
      <c r="B50" s="31"/>
      <c r="C50" s="22" t="s">
        <v>87</v>
      </c>
      <c r="D50" s="6"/>
      <c r="E50" s="23">
        <f>+E37+E36</f>
        <v>441348</v>
      </c>
    </row>
    <row r="51" spans="1:5">
      <c r="A51" s="29">
        <v>6</v>
      </c>
      <c r="B51" s="31"/>
      <c r="C51" s="22" t="s">
        <v>88</v>
      </c>
      <c r="D51" s="6"/>
      <c r="E51" s="23">
        <f>SUM(E52:E60)-E57</f>
        <v>66350</v>
      </c>
    </row>
    <row r="52" ht="145" spans="1:5">
      <c r="A52" s="24"/>
      <c r="B52" s="33">
        <v>6.1</v>
      </c>
      <c r="C52" s="26" t="s">
        <v>89</v>
      </c>
      <c r="D52" s="6" t="s">
        <v>90</v>
      </c>
      <c r="E52" s="27">
        <v>33854</v>
      </c>
    </row>
    <row r="53" ht="43.5" spans="1:5">
      <c r="A53" s="24"/>
      <c r="B53" s="25">
        <v>6.2</v>
      </c>
      <c r="C53" s="26" t="s">
        <v>91</v>
      </c>
      <c r="D53" s="6" t="s">
        <v>92</v>
      </c>
      <c r="E53" s="27">
        <v>2090</v>
      </c>
    </row>
    <row r="54" ht="72.5" spans="1:5">
      <c r="A54" s="32"/>
      <c r="B54" s="33">
        <v>6.3</v>
      </c>
      <c r="C54" s="26" t="s">
        <v>93</v>
      </c>
      <c r="D54" s="6" t="s">
        <v>94</v>
      </c>
      <c r="E54" s="27">
        <v>7184</v>
      </c>
    </row>
    <row r="55" ht="43.5" spans="1:5">
      <c r="A55" s="32"/>
      <c r="B55" s="25">
        <v>6.4</v>
      </c>
      <c r="C55" s="26" t="s">
        <v>95</v>
      </c>
      <c r="D55" s="6" t="s">
        <v>96</v>
      </c>
      <c r="E55" s="27">
        <v>2630</v>
      </c>
    </row>
    <row r="56" ht="43.5" spans="1:5">
      <c r="A56" s="32"/>
      <c r="B56" s="33">
        <v>6.5</v>
      </c>
      <c r="C56" s="34" t="s">
        <v>97</v>
      </c>
      <c r="D56" s="6" t="s">
        <v>98</v>
      </c>
      <c r="E56" s="27">
        <v>1625</v>
      </c>
    </row>
    <row r="57" spans="1:5">
      <c r="A57" s="20"/>
      <c r="B57" s="31">
        <v>6.6</v>
      </c>
      <c r="C57" s="22" t="s">
        <v>99</v>
      </c>
      <c r="D57" s="6"/>
      <c r="E57" s="23">
        <f>SUM(E58:E59)</f>
        <v>0</v>
      </c>
    </row>
    <row r="58" spans="1:5">
      <c r="A58" s="32"/>
      <c r="B58" s="33" t="s">
        <v>100</v>
      </c>
      <c r="C58" s="34" t="s">
        <v>101</v>
      </c>
      <c r="D58" s="6"/>
      <c r="E58" s="27">
        <v>0</v>
      </c>
    </row>
    <row r="59" spans="1:5">
      <c r="A59" s="32"/>
      <c r="B59" s="33" t="s">
        <v>102</v>
      </c>
      <c r="C59" s="26" t="s">
        <v>103</v>
      </c>
      <c r="D59" s="6"/>
      <c r="E59" s="27">
        <v>0</v>
      </c>
    </row>
    <row r="60" ht="174" spans="1:5">
      <c r="A60" s="32"/>
      <c r="B60" s="33">
        <v>6.7</v>
      </c>
      <c r="C60" s="26" t="s">
        <v>104</v>
      </c>
      <c r="D60" s="6" t="s">
        <v>105</v>
      </c>
      <c r="E60" s="27">
        <v>18967</v>
      </c>
    </row>
    <row r="61" spans="1:5">
      <c r="A61" s="20">
        <v>7</v>
      </c>
      <c r="B61" s="31"/>
      <c r="C61" s="22" t="s">
        <v>106</v>
      </c>
      <c r="D61" s="6"/>
      <c r="E61" s="23">
        <f>+E50-E51</f>
        <v>374998</v>
      </c>
    </row>
    <row r="62" spans="1:5">
      <c r="A62" s="20">
        <v>8</v>
      </c>
      <c r="B62" s="31"/>
      <c r="C62" s="22" t="s">
        <v>107</v>
      </c>
      <c r="D62" s="6"/>
      <c r="E62" s="35">
        <f>SUM(E63:E64)+E68-E69+E70+E71</f>
        <v>21003</v>
      </c>
    </row>
    <row r="63" ht="43.5" spans="1:5">
      <c r="A63" s="32"/>
      <c r="B63" s="25">
        <v>8.1</v>
      </c>
      <c r="C63" s="36" t="s">
        <v>108</v>
      </c>
      <c r="D63" s="6" t="s">
        <v>109</v>
      </c>
      <c r="E63" s="27">
        <v>12119</v>
      </c>
    </row>
    <row r="64" spans="1:5">
      <c r="A64" s="20"/>
      <c r="B64" s="31">
        <v>8.2</v>
      </c>
      <c r="C64" s="22" t="s">
        <v>110</v>
      </c>
      <c r="D64" s="6"/>
      <c r="E64" s="23">
        <f>SUM(E65:E67)</f>
        <v>-4487</v>
      </c>
    </row>
    <row r="65" spans="1:5">
      <c r="A65" s="37"/>
      <c r="B65" s="25" t="s">
        <v>111</v>
      </c>
      <c r="C65" s="26" t="s">
        <v>112</v>
      </c>
      <c r="D65" s="6"/>
      <c r="E65" s="38">
        <v>0</v>
      </c>
    </row>
    <row r="66" spans="1:5">
      <c r="A66" s="37"/>
      <c r="B66" s="33" t="s">
        <v>113</v>
      </c>
      <c r="C66" s="26" t="s">
        <v>114</v>
      </c>
      <c r="D66" s="6"/>
      <c r="E66" s="38">
        <v>0</v>
      </c>
    </row>
    <row r="67" ht="43.5" spans="1:5">
      <c r="A67" s="37"/>
      <c r="B67" s="25" t="s">
        <v>115</v>
      </c>
      <c r="C67" s="26" t="s">
        <v>116</v>
      </c>
      <c r="D67" s="6" t="s">
        <v>117</v>
      </c>
      <c r="E67" s="38">
        <v>-4487</v>
      </c>
    </row>
    <row r="68" ht="43.5" spans="1:5">
      <c r="A68" s="32"/>
      <c r="B68" s="33">
        <v>8.3</v>
      </c>
      <c r="C68" s="26" t="s">
        <v>118</v>
      </c>
      <c r="D68" s="6" t="s">
        <v>119</v>
      </c>
      <c r="E68" s="39">
        <v>94597</v>
      </c>
    </row>
    <row r="69" ht="43.5" spans="1:5">
      <c r="A69" s="32"/>
      <c r="B69" s="25">
        <v>8.4</v>
      </c>
      <c r="C69" s="26" t="s">
        <v>120</v>
      </c>
      <c r="D69" s="6" t="s">
        <v>121</v>
      </c>
      <c r="E69" s="39">
        <v>108632</v>
      </c>
    </row>
    <row r="70" ht="58" spans="1:5">
      <c r="A70" s="24"/>
      <c r="B70" s="25">
        <v>8.5</v>
      </c>
      <c r="C70" s="26" t="s">
        <v>122</v>
      </c>
      <c r="D70" s="6" t="s">
        <v>123</v>
      </c>
      <c r="E70" s="39">
        <v>0</v>
      </c>
    </row>
    <row r="71" ht="43.5" spans="1:5">
      <c r="A71" s="24"/>
      <c r="B71" s="25">
        <v>8.6</v>
      </c>
      <c r="C71" s="26" t="s">
        <v>124</v>
      </c>
      <c r="D71" s="6" t="s">
        <v>125</v>
      </c>
      <c r="E71" s="39">
        <v>27406</v>
      </c>
    </row>
    <row r="72" ht="43.5" spans="1:5">
      <c r="A72" s="29">
        <v>9</v>
      </c>
      <c r="B72" s="21"/>
      <c r="C72" s="22" t="s">
        <v>126</v>
      </c>
      <c r="D72" s="6" t="s">
        <v>127</v>
      </c>
      <c r="E72" s="40">
        <v>80444</v>
      </c>
    </row>
    <row r="73" spans="1:5">
      <c r="A73" s="29">
        <v>10</v>
      </c>
      <c r="B73" s="21"/>
      <c r="C73" s="41" t="s">
        <v>128</v>
      </c>
      <c r="D73" s="6"/>
      <c r="E73" s="42">
        <f>+E61-E62-E72</f>
        <v>273551</v>
      </c>
    </row>
    <row r="74" spans="1:5">
      <c r="A74" s="43">
        <v>11</v>
      </c>
      <c r="B74" s="44"/>
      <c r="C74" s="45" t="s">
        <v>129</v>
      </c>
      <c r="D74" s="6"/>
      <c r="E74" s="27">
        <v>0</v>
      </c>
    </row>
    <row r="75" spans="1:5">
      <c r="A75" s="29">
        <v>12</v>
      </c>
      <c r="B75" s="21"/>
      <c r="C75" s="46" t="s">
        <v>130</v>
      </c>
      <c r="D75" s="6"/>
      <c r="E75" s="23">
        <f>+E74+E73</f>
        <v>273551</v>
      </c>
    </row>
    <row r="76" spans="1:5">
      <c r="A76" s="47"/>
      <c r="B76" s="48"/>
      <c r="C76" s="49" t="s">
        <v>131</v>
      </c>
      <c r="D76" s="6"/>
      <c r="E76" s="50"/>
    </row>
    <row r="77" spans="3:3">
      <c r="C77" s="51"/>
    </row>
    <row r="78" spans="2:3">
      <c r="B78" s="52"/>
      <c r="C78" s="52"/>
    </row>
    <row r="79" spans="2:3">
      <c r="B79" s="52"/>
      <c r="C79" s="52"/>
    </row>
    <row r="80" spans="2:3">
      <c r="B80" s="53"/>
      <c r="C80" s="52"/>
    </row>
    <row r="81" spans="2:3">
      <c r="B81" s="54"/>
      <c r="C81" s="52"/>
    </row>
    <row r="82" spans="2:3">
      <c r="B82" s="52"/>
      <c r="C82" s="52"/>
    </row>
    <row r="83" spans="2:3">
      <c r="B83" s="52"/>
      <c r="C83" s="52"/>
    </row>
    <row r="84" spans="2:3">
      <c r="B84" s="52"/>
      <c r="C84" s="55"/>
    </row>
    <row r="85" spans="2:3">
      <c r="B85" s="52"/>
      <c r="C85" s="52"/>
    </row>
  </sheetData>
  <dataValidations count="1">
    <dataValidation type="whole" operator="between" allowBlank="1" showInputMessage="1" showErrorMessage="1" error="Please input a valid data!" sqref="E8:E75">
      <formula1>-1000000000000</formula1>
      <formula2>1000000000000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2024-02-07T11:29:00Z</dcterms:created>
  <dcterms:modified xsi:type="dcterms:W3CDTF">2024-02-07T12:19:19Z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E3472B9B346542418058DDA1EE91C2D0_13</vt:lpwstr>
  </property>
  <property fmtid="{D5CDD505-2E9C-101B-9397-08002B2CF9AE}" pid="3" name="KSOProductBuildVer">
    <vt:lpwstr>1033-12.2.0.13431</vt:lpwstr>
  </property>
</Properties>
</file>