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205" sheetId="1" r:id="rId1"/>
  </sheets>
  <definedNames>
    <definedName name="_xlnm.Print_Area" localSheetId="0">BRF205!$B$2:$R$95</definedName>
  </definedNames>
  <calcPr calcId="144525"/>
</workbook>
</file>

<file path=xl/sharedStrings.xml><?xml version="1.0" encoding="utf-8"?>
<sst xmlns="http://schemas.openxmlformats.org/spreadsheetml/2006/main" count="135" uniqueCount="109">
  <si>
    <r>
      <t xml:space="preserve">                                       BANKING AND MONETARY STATISTICS-  LIABILITIES &amp; CAPITAL- BRF205</t>
    </r>
    <r>
      <rPr>
        <b/>
        <sz val="9"/>
        <color indexed="8"/>
        <rFont val="Arial"/>
        <family val="2"/>
        <charset val="0"/>
      </rPr>
      <t xml:space="preserve"> (AED IN 000)</t>
    </r>
  </si>
  <si>
    <t>ID:</t>
  </si>
  <si>
    <t>12-205-1-0</t>
  </si>
  <si>
    <t>BANK</t>
  </si>
  <si>
    <t>Bank of Baroda</t>
  </si>
  <si>
    <t>As On</t>
  </si>
  <si>
    <t xml:space="preserve">NON RESIDENT LIABILITIES &amp; CAPITAL OF UAE OPERATIONS </t>
  </si>
  <si>
    <t>GCC COUNTRIES</t>
  </si>
  <si>
    <t>REST OF THE WORLD</t>
  </si>
  <si>
    <t>TOTAL (Amount)</t>
  </si>
  <si>
    <t>KSA</t>
  </si>
  <si>
    <t>OMAN</t>
  </si>
  <si>
    <t>KUWAIT</t>
  </si>
  <si>
    <t>QATAR</t>
  </si>
  <si>
    <t>BAHRAIN</t>
  </si>
  <si>
    <t>No</t>
  </si>
  <si>
    <t>NON RESIDENT LIABILITIES</t>
  </si>
  <si>
    <t>AED</t>
  </si>
  <si>
    <t>FCY</t>
  </si>
  <si>
    <t>GOVERNMENT SECTOR</t>
  </si>
  <si>
    <t>Demand</t>
  </si>
  <si>
    <t>Savings</t>
  </si>
  <si>
    <t>Time including CDs/ structured products</t>
  </si>
  <si>
    <t>Commercial prepayments (Margin deposits)</t>
  </si>
  <si>
    <t>GREs (Govt ownership of more than 50%)</t>
  </si>
  <si>
    <t xml:space="preserve">PRIVATE SECTOR </t>
  </si>
  <si>
    <t>Corporate</t>
  </si>
  <si>
    <t>15.1.1</t>
  </si>
  <si>
    <t>15.1.2</t>
  </si>
  <si>
    <t>15.1.3</t>
  </si>
  <si>
    <t>15.1.4</t>
  </si>
  <si>
    <t>Individuals</t>
  </si>
  <si>
    <t>15.2.1</t>
  </si>
  <si>
    <t>15.2.2</t>
  </si>
  <si>
    <t>15.2.3</t>
  </si>
  <si>
    <t>15.2.4</t>
  </si>
  <si>
    <t>NON BANKING FINANCIAL INSTITUTIONS</t>
  </si>
  <si>
    <t>Money at call and short notice</t>
  </si>
  <si>
    <t>Time</t>
  </si>
  <si>
    <t>Borrowings under repurchase agreement</t>
  </si>
  <si>
    <t>DUE TO CENTRAL BANK</t>
  </si>
  <si>
    <t>Against CD</t>
  </si>
  <si>
    <t>Against other securities</t>
  </si>
  <si>
    <t>Current Account Balance</t>
  </si>
  <si>
    <t>Other Balances</t>
  </si>
  <si>
    <t>DUE TO HEAD OFFICE/ OWN BRANCHES/BANKING SUBSIDIARIES(GROSS)</t>
  </si>
  <si>
    <t>Due to Head Office/Branches of foreign banks</t>
  </si>
  <si>
    <t>Due to overseas branches of national banks</t>
  </si>
  <si>
    <t>BALANCES DUE TO OTHER  BANKS (Gross)</t>
  </si>
  <si>
    <t>Money at call and short notice, borrowing on demand and remaining balances</t>
  </si>
  <si>
    <t>Interbank borrowings</t>
  </si>
  <si>
    <t xml:space="preserve">Other term borrowings </t>
  </si>
  <si>
    <t>TERM BORROWINGS</t>
  </si>
  <si>
    <t>Capital Market Funding (BRF 36 section A)</t>
  </si>
  <si>
    <t>Other term borrowings (BRF 36 section B)</t>
  </si>
  <si>
    <t>PROVISIONS &amp; INTEREST IN SUSPENSE*</t>
  </si>
  <si>
    <t>Specific provision for loans &amp; advances (IFRS 9 Stage 3)</t>
  </si>
  <si>
    <t xml:space="preserve">Collective Provisions </t>
  </si>
  <si>
    <t>21.2.1</t>
  </si>
  <si>
    <t>Collective impairment expected</t>
  </si>
  <si>
    <t>21.2.2</t>
  </si>
  <si>
    <t xml:space="preserve">Other unallocated  provisions for impaired assets (Stage 2 unallocated cases) </t>
  </si>
  <si>
    <t>21.2.3</t>
  </si>
  <si>
    <t>General Provision as per Circular 28/2010 (Stage 1 +Stage2 excl. 25.2.2.)</t>
  </si>
  <si>
    <t>Interest in suspense</t>
  </si>
  <si>
    <t>Provision for investments &amp; impairment of non-financial assets</t>
  </si>
  <si>
    <t>Staff benefits (pension, ESB etc)</t>
  </si>
  <si>
    <t>Other Provisions</t>
  </si>
  <si>
    <t>OTHER LIABILITIES</t>
  </si>
  <si>
    <t>Interest payable on deposits/ other liabilities</t>
  </si>
  <si>
    <t>Income tax liability</t>
  </si>
  <si>
    <t xml:space="preserve">Accounts payable and sundry creditors </t>
  </si>
  <si>
    <t>Income (interest &amp; fees) received in advance</t>
  </si>
  <si>
    <t>Interest free deposits from H.O. for provision</t>
  </si>
  <si>
    <t>Loans from H.O towards excess in Large Exposures</t>
  </si>
  <si>
    <t>Subordinated borrowings/ deposits</t>
  </si>
  <si>
    <t>Acceptances</t>
  </si>
  <si>
    <t>All other borrowings</t>
  </si>
  <si>
    <t>NEGATIVE FAIR VALUE OF DERIVATIVES</t>
  </si>
  <si>
    <t>Market value Forward contracts (including FX swaps)</t>
  </si>
  <si>
    <t>Market value FX options</t>
  </si>
  <si>
    <t>Market value interest rate derivatives (swaps, options, FRAs, etc..)</t>
  </si>
  <si>
    <t>Market value Financial Futures</t>
  </si>
  <si>
    <t>Market value Credit derivatives</t>
  </si>
  <si>
    <t>Market value Equity derivatives</t>
  </si>
  <si>
    <t>Market value Commodity derivatives</t>
  </si>
  <si>
    <t>CAPITAL &amp; RESERVES</t>
  </si>
  <si>
    <t>Paid-up Capital</t>
  </si>
  <si>
    <t>24.1.1</t>
  </si>
  <si>
    <t>Share capital</t>
  </si>
  <si>
    <t>24.1.2</t>
  </si>
  <si>
    <t xml:space="preserve">Treasury shares held </t>
  </si>
  <si>
    <t>Reserve Funds</t>
  </si>
  <si>
    <t>24.2.1</t>
  </si>
  <si>
    <t>Statutory/ legal reserves</t>
  </si>
  <si>
    <t>24.2.2</t>
  </si>
  <si>
    <t>Asset Revaluation Reserve</t>
  </si>
  <si>
    <t>24.2.3</t>
  </si>
  <si>
    <t xml:space="preserve">Accumulated other comprehensive income </t>
  </si>
  <si>
    <t>24.2.4</t>
  </si>
  <si>
    <t>Other reserves (incl. IFRS 9 reserves)</t>
  </si>
  <si>
    <t>24.2.5</t>
  </si>
  <si>
    <t xml:space="preserve">Retained earnings </t>
  </si>
  <si>
    <t>24.2.6</t>
  </si>
  <si>
    <t>Current year's profit/ (loss) (BRF-4)</t>
  </si>
  <si>
    <t>Instruments such as Perpetual Notes</t>
  </si>
  <si>
    <t>TOTAL NON RESIDENT LIABILITIES &amp; CAPITAL</t>
  </si>
  <si>
    <t>Total Non Resident Liabilities and Capital should match with the total of Non Resident Liabilities &amp; Capital ( AED + FCY ) reported in BRF 2</t>
  </si>
  <si>
    <t>Form No: BSD/BRF205- LIAB/ DEC 20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</si>
</sst>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3">
    <font>
      <sz val="11"/>
      <color theme="1"/>
      <name val="Calibri"/>
      <family val="2"/>
      <charset val="0"/>
      <scheme val="minor"/>
    </font>
    <font>
      <b/>
      <sz val="9"/>
      <color indexed="8"/>
      <name val="Arial"/>
      <family val="2"/>
      <charset val="0"/>
    </font>
    <font>
      <sz val="8"/>
      <color indexed="8"/>
      <name val="Arial"/>
      <family val="2"/>
      <charset val="0"/>
    </font>
    <font>
      <sz val="8"/>
      <color indexed="9"/>
      <name val="Arial"/>
      <family val="2"/>
      <charset val="0"/>
    </font>
    <font>
      <b/>
      <sz val="8"/>
      <color indexed="8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10" applyNumberFormat="0" applyFill="0" applyAlignment="0" applyProtection="0"/>
    <xf numFmtId="0" fontId="11" fillId="0" borderId="11" applyNumberFormat="0" applyFill="0" applyAlignment="0" applyProtection="0"/>
    <xf numFmtId="0" fontId="12" fillId="0" borderId="12" applyNumberFormat="0" applyFill="0" applyAlignment="0" applyProtection="0"/>
    <xf numFmtId="0" fontId="12" fillId="0" borderId="0" applyNumberFormat="0" applyFill="0" applyBorder="0" applyAlignment="0" applyProtection="0"/>
    <xf numFmtId="0" fontId="13" fillId="6" borderId="13" applyNumberFormat="0" applyAlignment="0" applyProtection="0"/>
    <xf numFmtId="0" fontId="14" fillId="7" borderId="14" applyNumberFormat="0" applyAlignment="0" applyProtection="0"/>
    <xf numFmtId="0" fontId="15" fillId="7" borderId="13" applyNumberFormat="0" applyAlignment="0" applyProtection="0"/>
    <xf numFmtId="0" fontId="16" fillId="8" borderId="15" applyNumberFormat="0" applyAlignment="0" applyProtection="0"/>
    <xf numFmtId="0" fontId="17" fillId="0" borderId="16" applyNumberFormat="0" applyFill="0" applyAlignment="0" applyProtection="0"/>
    <xf numFmtId="0" fontId="18" fillId="0" borderId="17" applyNumberFormat="0" applyFill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21" fillId="11" borderId="0" applyNumberFormat="0" applyBorder="0" applyAlignment="0" applyProtection="0"/>
    <xf numFmtId="0" fontId="22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22" fillId="31" borderId="0" applyNumberFormat="0" applyBorder="0" applyAlignment="0" applyProtection="0"/>
    <xf numFmtId="0" fontId="22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22" fillId="35" borderId="0" applyNumberFormat="0" applyBorder="0" applyAlignment="0" applyProtection="0"/>
  </cellStyleXfs>
  <cellXfs count="37">
    <xf numFmtId="0" fontId="0" fillId="0" borderId="0" xfId="0"/>
    <xf numFmtId="0" fontId="0" fillId="0" borderId="0" xfId="0" applyProtection="1"/>
    <xf numFmtId="0" fontId="1" fillId="0" borderId="1" xfId="0" applyFont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 wrapText="1"/>
    </xf>
    <xf numFmtId="0" fontId="2" fillId="2" borderId="1" xfId="0" applyFont="1" applyFill="1" applyBorder="1" applyAlignment="1" applyProtection="1">
      <alignment horizontal="left" wrapText="1"/>
    </xf>
    <xf numFmtId="0" fontId="2" fillId="3" borderId="1" xfId="0" applyFont="1" applyFill="1" applyBorder="1" applyAlignment="1" applyProtection="1">
      <alignment horizontal="left" wrapText="1"/>
    </xf>
    <xf numFmtId="0" fontId="3" fillId="3" borderId="0" xfId="0" applyFont="1" applyFill="1" applyBorder="1" applyProtection="1"/>
    <xf numFmtId="0" fontId="4" fillId="2" borderId="1" xfId="0" applyFont="1" applyFill="1" applyBorder="1" applyAlignment="1" applyProtection="1">
      <alignment horizontal="center" wrapText="1"/>
    </xf>
    <xf numFmtId="0" fontId="4" fillId="2" borderId="2" xfId="0" applyFont="1" applyFill="1" applyBorder="1" applyAlignment="1" applyProtection="1">
      <alignment horizontal="center" wrapText="1"/>
    </xf>
    <xf numFmtId="0" fontId="4" fillId="2" borderId="3" xfId="0" applyFont="1" applyFill="1" applyBorder="1" applyAlignment="1" applyProtection="1">
      <alignment horizontal="center" wrapText="1"/>
    </xf>
    <xf numFmtId="0" fontId="2" fillId="2" borderId="1" xfId="0" applyNumberFormat="1" applyFont="1" applyFill="1" applyBorder="1" applyAlignment="1" applyProtection="1">
      <alignment horizontal="right" wrapText="1"/>
    </xf>
    <xf numFmtId="3" fontId="2" fillId="2" borderId="1" xfId="0" applyNumberFormat="1" applyFont="1" applyFill="1" applyBorder="1" applyAlignment="1" applyProtection="1">
      <alignment horizontal="right" wrapText="1"/>
    </xf>
    <xf numFmtId="0" fontId="2" fillId="3" borderId="1" xfId="0" applyNumberFormat="1" applyFont="1" applyFill="1" applyBorder="1" applyAlignment="1" applyProtection="1">
      <alignment horizontal="right" wrapText="1"/>
    </xf>
    <xf numFmtId="3" fontId="2" fillId="3" borderId="1" xfId="0" applyNumberFormat="1" applyFont="1" applyFill="1" applyBorder="1" applyAlignment="1" applyProtection="1">
      <alignment horizontal="right" wrapText="1"/>
      <protection locked="0"/>
    </xf>
    <xf numFmtId="0" fontId="2" fillId="4" borderId="1" xfId="0" applyNumberFormat="1" applyFont="1" applyFill="1" applyBorder="1" applyAlignment="1" applyProtection="1">
      <alignment horizontal="right" wrapText="1"/>
    </xf>
    <xf numFmtId="0" fontId="2" fillId="4" borderId="1" xfId="0" applyFont="1" applyFill="1" applyBorder="1" applyAlignment="1" applyProtection="1">
      <alignment horizontal="left" wrapText="1"/>
    </xf>
    <xf numFmtId="3" fontId="2" fillId="4" borderId="1" xfId="0" applyNumberFormat="1" applyFont="1" applyFill="1" applyBorder="1" applyAlignment="1" applyProtection="1">
      <alignment horizontal="right" wrapText="1"/>
    </xf>
    <xf numFmtId="0" fontId="2" fillId="0" borderId="1" xfId="0" applyNumberFormat="1" applyFont="1" applyFill="1" applyBorder="1" applyAlignment="1" applyProtection="1">
      <alignment horizontal="right" wrapText="1"/>
    </xf>
    <xf numFmtId="0" fontId="2" fillId="0" borderId="1" xfId="0" applyFont="1" applyFill="1" applyBorder="1" applyAlignment="1" applyProtection="1">
      <alignment horizontal="left" wrapText="1"/>
    </xf>
    <xf numFmtId="0" fontId="4" fillId="2" borderId="4" xfId="0" applyFont="1" applyFill="1" applyBorder="1" applyAlignment="1" applyProtection="1">
      <alignment horizontal="center" wrapText="1"/>
    </xf>
    <xf numFmtId="0" fontId="4" fillId="2" borderId="5" xfId="0" applyFont="1" applyFill="1" applyBorder="1" applyAlignment="1" applyProtection="1">
      <alignment horizontal="center" wrapText="1"/>
    </xf>
    <xf numFmtId="0" fontId="4" fillId="2" borderId="6" xfId="0" applyFont="1" applyFill="1" applyBorder="1" applyAlignment="1" applyProtection="1">
      <alignment horizontal="center" wrapText="1"/>
    </xf>
    <xf numFmtId="0" fontId="4" fillId="2" borderId="7" xfId="0" applyFont="1" applyFill="1" applyBorder="1" applyAlignment="1" applyProtection="1">
      <alignment horizontal="center" wrapText="1"/>
    </xf>
    <xf numFmtId="0" fontId="4" fillId="2" borderId="8" xfId="0" applyFont="1" applyFill="1" applyBorder="1" applyAlignment="1" applyProtection="1">
      <alignment horizontal="center" wrapText="1"/>
    </xf>
    <xf numFmtId="3" fontId="4" fillId="4" borderId="1" xfId="0" applyNumberFormat="1" applyFont="1" applyFill="1" applyBorder="1" applyAlignment="1" applyProtection="1">
      <alignment horizontal="right" wrapText="1"/>
    </xf>
    <xf numFmtId="0" fontId="4" fillId="4" borderId="1" xfId="0" applyFont="1" applyFill="1" applyBorder="1" applyAlignment="1" applyProtection="1">
      <alignment horizontal="right" wrapText="1"/>
    </xf>
    <xf numFmtId="0" fontId="4" fillId="4" borderId="1" xfId="0" applyNumberFormat="1" applyFont="1" applyFill="1" applyBorder="1" applyAlignment="1" applyProtection="1">
      <alignment horizontal="right" wrapText="1"/>
    </xf>
    <xf numFmtId="0" fontId="4" fillId="4" borderId="1" xfId="0" applyFont="1" applyFill="1" applyBorder="1" applyAlignment="1" applyProtection="1">
      <alignment horizontal="left" wrapText="1"/>
    </xf>
    <xf numFmtId="0" fontId="2" fillId="4" borderId="2" xfId="0" applyFont="1" applyFill="1" applyBorder="1" applyAlignment="1" applyProtection="1">
      <alignment horizontal="left" wrapText="1"/>
    </xf>
    <xf numFmtId="0" fontId="2" fillId="4" borderId="3" xfId="0" applyFont="1" applyFill="1" applyBorder="1" applyAlignment="1" applyProtection="1">
      <alignment horizontal="left" wrapText="1"/>
    </xf>
    <xf numFmtId="0" fontId="2" fillId="3" borderId="2" xfId="0" applyFont="1" applyFill="1" applyBorder="1" applyAlignment="1" applyProtection="1">
      <alignment horizontal="left" wrapText="1"/>
    </xf>
    <xf numFmtId="0" fontId="2" fillId="3" borderId="3" xfId="0" applyFont="1" applyFill="1" applyBorder="1" applyAlignment="1" applyProtection="1">
      <alignment horizontal="left" wrapText="1"/>
    </xf>
    <xf numFmtId="0" fontId="2" fillId="3" borderId="4" xfId="0" applyFont="1" applyFill="1" applyBorder="1" applyAlignment="1" applyProtection="1">
      <alignment horizontal="left" wrapText="1"/>
    </xf>
    <xf numFmtId="0" fontId="2" fillId="3" borderId="2" xfId="0" applyFont="1" applyFill="1" applyBorder="1" applyAlignment="1" applyProtection="1">
      <alignment horizontal="center" wrapText="1"/>
    </xf>
    <xf numFmtId="0" fontId="2" fillId="3" borderId="3" xfId="0" applyFont="1" applyFill="1" applyBorder="1" applyAlignment="1" applyProtection="1">
      <alignment horizontal="center" wrapText="1"/>
    </xf>
    <xf numFmtId="0" fontId="2" fillId="4" borderId="4" xfId="0" applyFont="1" applyFill="1" applyBorder="1" applyAlignment="1" applyProtection="1">
      <alignment horizontal="left" wrapText="1"/>
    </xf>
    <xf numFmtId="0" fontId="2" fillId="3" borderId="4" xfId="0" applyFont="1" applyFill="1" applyBorder="1" applyAlignment="1" applyProtection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C0C0C0"/>
      <color rgb="00BFBFB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 autoPageBreaks="0"/>
  </sheetPr>
  <dimension ref="B1:R97"/>
  <sheetViews>
    <sheetView showGridLines="0" tabSelected="1" zoomScaleSheetLayoutView="60" workbookViewId="0">
      <selection activeCell="E12" sqref="E12"/>
    </sheetView>
  </sheetViews>
  <sheetFormatPr defaultColWidth="0" defaultRowHeight="15" zeroHeight="1"/>
  <cols>
    <col min="1" max="1" width="3" style="1" customWidth="1"/>
    <col min="2" max="2" width="6.28181818181818" style="1" customWidth="1"/>
    <col min="3" max="3" width="7.13636363636364" style="1" customWidth="1"/>
    <col min="4" max="4" width="44.4272727272727" style="1" customWidth="1"/>
    <col min="5" max="18" width="8.70909090909091" style="1" customWidth="1"/>
    <col min="19" max="19" width="9.13636363636364" style="1" customWidth="1"/>
    <col min="20" max="16384" width="0" style="1" hidden="1"/>
  </cols>
  <sheetData>
    <row r="1" ht="14.5"/>
    <row r="2" ht="14.5" spans="2:18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14.5" spans="2:18">
      <c r="B3" s="4" t="s">
        <v>1</v>
      </c>
      <c r="C3" s="5" t="s">
        <v>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ht="14.5" spans="2:18">
      <c r="B4" s="4" t="s">
        <v>3</v>
      </c>
      <c r="C4" s="5" t="s">
        <v>4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ht="14.5" spans="2:18">
      <c r="B5" s="4" t="s">
        <v>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ht="14.5" spans="2:18">
      <c r="B6" s="5"/>
      <c r="C6" s="5"/>
      <c r="D6" s="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ht="14.5" spans="2:18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ht="14.5" spans="2:18">
      <c r="B8" s="3"/>
      <c r="C8" s="3"/>
      <c r="D8" s="3"/>
      <c r="E8" s="8" t="s">
        <v>7</v>
      </c>
      <c r="F8" s="9"/>
      <c r="G8" s="9"/>
      <c r="H8" s="9"/>
      <c r="I8" s="9"/>
      <c r="J8" s="9"/>
      <c r="K8" s="9"/>
      <c r="L8" s="9"/>
      <c r="M8" s="9"/>
      <c r="N8" s="19"/>
      <c r="O8" s="20" t="s">
        <v>8</v>
      </c>
      <c r="P8" s="21"/>
      <c r="Q8" s="20" t="s">
        <v>9</v>
      </c>
      <c r="R8" s="21"/>
    </row>
    <row r="9" ht="14.5" spans="2:18">
      <c r="B9" s="3"/>
      <c r="C9" s="3"/>
      <c r="D9" s="3"/>
      <c r="E9" s="3" t="s">
        <v>10</v>
      </c>
      <c r="F9" s="3"/>
      <c r="G9" s="3" t="s">
        <v>11</v>
      </c>
      <c r="H9" s="3"/>
      <c r="I9" s="3" t="s">
        <v>12</v>
      </c>
      <c r="J9" s="3"/>
      <c r="K9" s="3" t="s">
        <v>13</v>
      </c>
      <c r="L9" s="3"/>
      <c r="M9" s="3" t="s">
        <v>14</v>
      </c>
      <c r="N9" s="3"/>
      <c r="O9" s="22"/>
      <c r="P9" s="23"/>
      <c r="Q9" s="22"/>
      <c r="R9" s="23"/>
    </row>
    <row r="10" ht="14.5" spans="2:18">
      <c r="B10" s="4" t="s">
        <v>15</v>
      </c>
      <c r="C10" s="3"/>
      <c r="D10" s="4" t="s">
        <v>16</v>
      </c>
      <c r="E10" s="3" t="s">
        <v>17</v>
      </c>
      <c r="F10" s="3" t="s">
        <v>18</v>
      </c>
      <c r="G10" s="3" t="s">
        <v>17</v>
      </c>
      <c r="H10" s="3" t="s">
        <v>18</v>
      </c>
      <c r="I10" s="3" t="s">
        <v>17</v>
      </c>
      <c r="J10" s="3" t="s">
        <v>18</v>
      </c>
      <c r="K10" s="3" t="s">
        <v>17</v>
      </c>
      <c r="L10" s="3" t="s">
        <v>18</v>
      </c>
      <c r="M10" s="3" t="s">
        <v>17</v>
      </c>
      <c r="N10" s="3" t="s">
        <v>18</v>
      </c>
      <c r="O10" s="3" t="s">
        <v>17</v>
      </c>
      <c r="P10" s="3" t="s">
        <v>18</v>
      </c>
      <c r="Q10" s="7" t="s">
        <v>17</v>
      </c>
      <c r="R10" s="7" t="s">
        <v>18</v>
      </c>
    </row>
    <row r="11" ht="14.5" spans="2:18">
      <c r="B11" s="10">
        <v>13</v>
      </c>
      <c r="C11" s="10"/>
      <c r="D11" s="4" t="s">
        <v>19</v>
      </c>
      <c r="E11" s="11">
        <f>SUM(E12:E15)</f>
        <v>0</v>
      </c>
      <c r="F11" s="11">
        <f t="shared" ref="F11:P11" si="0">SUM(F12:F15)</f>
        <v>0</v>
      </c>
      <c r="G11" s="11">
        <f t="shared" si="0"/>
        <v>0</v>
      </c>
      <c r="H11" s="11">
        <f t="shared" si="0"/>
        <v>0</v>
      </c>
      <c r="I11" s="11">
        <f t="shared" si="0"/>
        <v>0</v>
      </c>
      <c r="J11" s="11">
        <f t="shared" si="0"/>
        <v>0</v>
      </c>
      <c r="K11" s="11">
        <f t="shared" si="0"/>
        <v>0</v>
      </c>
      <c r="L11" s="11">
        <f t="shared" si="0"/>
        <v>0</v>
      </c>
      <c r="M11" s="11">
        <f t="shared" si="0"/>
        <v>0</v>
      </c>
      <c r="N11" s="11">
        <f t="shared" si="0"/>
        <v>0</v>
      </c>
      <c r="O11" s="11">
        <f t="shared" si="0"/>
        <v>0</v>
      </c>
      <c r="P11" s="11">
        <f t="shared" si="0"/>
        <v>0</v>
      </c>
      <c r="Q11" s="24">
        <f t="shared" ref="Q11:R26" si="1">+E11+G11+I11+K11+M11+O11</f>
        <v>0</v>
      </c>
      <c r="R11" s="24">
        <f t="shared" si="1"/>
        <v>0</v>
      </c>
    </row>
    <row r="12" ht="14.5" spans="2:18">
      <c r="B12" s="12"/>
      <c r="C12" s="12">
        <v>13.1</v>
      </c>
      <c r="D12" s="5" t="s">
        <v>20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25">
        <f t="shared" si="1"/>
        <v>0</v>
      </c>
      <c r="R12" s="24">
        <f t="shared" si="1"/>
        <v>0</v>
      </c>
    </row>
    <row r="13" ht="14.5" spans="2:18">
      <c r="B13" s="12"/>
      <c r="C13" s="12">
        <v>13.2</v>
      </c>
      <c r="D13" s="5" t="s">
        <v>21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25">
        <f t="shared" si="1"/>
        <v>0</v>
      </c>
      <c r="R13" s="24">
        <f t="shared" si="1"/>
        <v>0</v>
      </c>
    </row>
    <row r="14" ht="14.5" spans="2:18">
      <c r="B14" s="12"/>
      <c r="C14" s="12">
        <v>13.3</v>
      </c>
      <c r="D14" s="5" t="s">
        <v>22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25">
        <f t="shared" si="1"/>
        <v>0</v>
      </c>
      <c r="R14" s="24">
        <f t="shared" si="1"/>
        <v>0</v>
      </c>
    </row>
    <row r="15" ht="14.5" spans="2:18">
      <c r="B15" s="12"/>
      <c r="C15" s="12">
        <v>13.4</v>
      </c>
      <c r="D15" s="5" t="s">
        <v>23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25">
        <f t="shared" si="1"/>
        <v>0</v>
      </c>
      <c r="R15" s="24">
        <f t="shared" si="1"/>
        <v>0</v>
      </c>
    </row>
    <row r="16" ht="14.5" spans="2:18">
      <c r="B16" s="10">
        <v>14</v>
      </c>
      <c r="C16" s="10"/>
      <c r="D16" s="4" t="s">
        <v>24</v>
      </c>
      <c r="E16" s="11">
        <f t="shared" ref="E16:P16" si="2">SUM(E17:E20)</f>
        <v>0</v>
      </c>
      <c r="F16" s="11">
        <f t="shared" si="2"/>
        <v>0</v>
      </c>
      <c r="G16" s="11">
        <f t="shared" si="2"/>
        <v>0</v>
      </c>
      <c r="H16" s="11">
        <f t="shared" si="2"/>
        <v>0</v>
      </c>
      <c r="I16" s="11">
        <f t="shared" si="2"/>
        <v>0</v>
      </c>
      <c r="J16" s="11">
        <f t="shared" si="2"/>
        <v>0</v>
      </c>
      <c r="K16" s="11">
        <f t="shared" si="2"/>
        <v>0</v>
      </c>
      <c r="L16" s="11">
        <f t="shared" si="2"/>
        <v>0</v>
      </c>
      <c r="M16" s="11">
        <f t="shared" si="2"/>
        <v>0</v>
      </c>
      <c r="N16" s="11">
        <f t="shared" si="2"/>
        <v>0</v>
      </c>
      <c r="O16" s="11">
        <f t="shared" si="2"/>
        <v>0</v>
      </c>
      <c r="P16" s="11">
        <f t="shared" si="2"/>
        <v>0</v>
      </c>
      <c r="Q16" s="24">
        <f t="shared" si="1"/>
        <v>0</v>
      </c>
      <c r="R16" s="24">
        <f t="shared" si="1"/>
        <v>0</v>
      </c>
    </row>
    <row r="17" ht="14.5" spans="2:18">
      <c r="B17" s="12"/>
      <c r="C17" s="12">
        <v>14.1</v>
      </c>
      <c r="D17" s="5" t="s">
        <v>20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24">
        <f t="shared" si="1"/>
        <v>0</v>
      </c>
      <c r="R17" s="24">
        <f t="shared" si="1"/>
        <v>0</v>
      </c>
    </row>
    <row r="18" ht="14.5" spans="2:18">
      <c r="B18" s="12"/>
      <c r="C18" s="12">
        <v>14.2</v>
      </c>
      <c r="D18" s="5" t="s">
        <v>21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24">
        <f t="shared" si="1"/>
        <v>0</v>
      </c>
      <c r="R18" s="24">
        <f t="shared" si="1"/>
        <v>0</v>
      </c>
    </row>
    <row r="19" ht="14.5" spans="2:18">
      <c r="B19" s="12"/>
      <c r="C19" s="12">
        <v>14.3</v>
      </c>
      <c r="D19" s="5" t="s">
        <v>22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24">
        <f t="shared" si="1"/>
        <v>0</v>
      </c>
      <c r="R19" s="24">
        <f t="shared" si="1"/>
        <v>0</v>
      </c>
    </row>
    <row r="20" ht="14.5" spans="2:18">
      <c r="B20" s="12"/>
      <c r="C20" s="12">
        <v>14.4</v>
      </c>
      <c r="D20" s="5" t="s">
        <v>23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24">
        <f>+E20+G20+I20+K20+M20+O20</f>
        <v>0</v>
      </c>
      <c r="R20" s="24">
        <f t="shared" si="1"/>
        <v>0</v>
      </c>
    </row>
    <row r="21" ht="14.5" spans="2:18">
      <c r="B21" s="10">
        <v>15</v>
      </c>
      <c r="C21" s="10"/>
      <c r="D21" s="4" t="s">
        <v>25</v>
      </c>
      <c r="E21" s="11">
        <f t="shared" ref="E21:P21" si="3">E22+E27</f>
        <v>0</v>
      </c>
      <c r="F21" s="11">
        <f t="shared" si="3"/>
        <v>0</v>
      </c>
      <c r="G21" s="11">
        <f t="shared" si="3"/>
        <v>0</v>
      </c>
      <c r="H21" s="11">
        <f t="shared" si="3"/>
        <v>0</v>
      </c>
      <c r="I21" s="11">
        <f t="shared" si="3"/>
        <v>0</v>
      </c>
      <c r="J21" s="11">
        <f t="shared" si="3"/>
        <v>0</v>
      </c>
      <c r="K21" s="11">
        <f t="shared" si="3"/>
        <v>0</v>
      </c>
      <c r="L21" s="11">
        <f t="shared" si="3"/>
        <v>0</v>
      </c>
      <c r="M21" s="11">
        <f t="shared" si="3"/>
        <v>0</v>
      </c>
      <c r="N21" s="11">
        <f t="shared" si="3"/>
        <v>0</v>
      </c>
      <c r="O21" s="11">
        <f t="shared" si="3"/>
        <v>0</v>
      </c>
      <c r="P21" s="11">
        <f t="shared" si="3"/>
        <v>0</v>
      </c>
      <c r="Q21" s="24">
        <f t="shared" si="1"/>
        <v>0</v>
      </c>
      <c r="R21" s="24">
        <f t="shared" si="1"/>
        <v>0</v>
      </c>
    </row>
    <row r="22" ht="14.5" spans="2:18">
      <c r="B22" s="14"/>
      <c r="C22" s="14">
        <v>15.1</v>
      </c>
      <c r="D22" s="15" t="s">
        <v>26</v>
      </c>
      <c r="E22" s="16">
        <f>SUM(E23:E26)</f>
        <v>0</v>
      </c>
      <c r="F22" s="16">
        <f t="shared" ref="F22:P22" si="4">SUM(F23:F26)</f>
        <v>0</v>
      </c>
      <c r="G22" s="16">
        <f t="shared" si="4"/>
        <v>0</v>
      </c>
      <c r="H22" s="16">
        <f t="shared" si="4"/>
        <v>0</v>
      </c>
      <c r="I22" s="16">
        <f t="shared" si="4"/>
        <v>0</v>
      </c>
      <c r="J22" s="16">
        <f t="shared" si="4"/>
        <v>0</v>
      </c>
      <c r="K22" s="16">
        <f t="shared" si="4"/>
        <v>0</v>
      </c>
      <c r="L22" s="16">
        <f t="shared" si="4"/>
        <v>0</v>
      </c>
      <c r="M22" s="16">
        <f t="shared" si="4"/>
        <v>0</v>
      </c>
      <c r="N22" s="16">
        <f t="shared" si="4"/>
        <v>0</v>
      </c>
      <c r="O22" s="16">
        <f t="shared" si="4"/>
        <v>0</v>
      </c>
      <c r="P22" s="16">
        <f t="shared" si="4"/>
        <v>0</v>
      </c>
      <c r="Q22" s="24">
        <f t="shared" si="1"/>
        <v>0</v>
      </c>
      <c r="R22" s="24">
        <f t="shared" si="1"/>
        <v>0</v>
      </c>
    </row>
    <row r="23" ht="14.5" spans="2:18">
      <c r="B23" s="12"/>
      <c r="C23" s="12" t="s">
        <v>27</v>
      </c>
      <c r="D23" s="5" t="s">
        <v>20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24">
        <f t="shared" si="1"/>
        <v>0</v>
      </c>
      <c r="R23" s="24">
        <f t="shared" si="1"/>
        <v>0</v>
      </c>
    </row>
    <row r="24" ht="14.5" spans="2:18">
      <c r="B24" s="12"/>
      <c r="C24" s="12" t="s">
        <v>28</v>
      </c>
      <c r="D24" s="5" t="s">
        <v>21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24">
        <f t="shared" si="1"/>
        <v>0</v>
      </c>
      <c r="R24" s="24">
        <f t="shared" si="1"/>
        <v>0</v>
      </c>
    </row>
    <row r="25" ht="14.5" spans="2:18">
      <c r="B25" s="12"/>
      <c r="C25" s="12" t="s">
        <v>29</v>
      </c>
      <c r="D25" s="5" t="s">
        <v>22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24">
        <f t="shared" si="1"/>
        <v>0</v>
      </c>
      <c r="R25" s="24">
        <f t="shared" si="1"/>
        <v>0</v>
      </c>
    </row>
    <row r="26" ht="14.5" spans="2:18">
      <c r="B26" s="12"/>
      <c r="C26" s="12" t="s">
        <v>30</v>
      </c>
      <c r="D26" s="5" t="s">
        <v>23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24">
        <f t="shared" si="1"/>
        <v>0</v>
      </c>
      <c r="R26" s="24">
        <f t="shared" si="1"/>
        <v>0</v>
      </c>
    </row>
    <row r="27" ht="14.5" spans="2:18">
      <c r="B27" s="14"/>
      <c r="C27" s="14">
        <v>15.2</v>
      </c>
      <c r="D27" s="15" t="s">
        <v>31</v>
      </c>
      <c r="E27" s="16">
        <f t="shared" ref="E27:P27" si="5">SUM(E28:E31)</f>
        <v>0</v>
      </c>
      <c r="F27" s="16">
        <f t="shared" si="5"/>
        <v>0</v>
      </c>
      <c r="G27" s="16">
        <f t="shared" si="5"/>
        <v>0</v>
      </c>
      <c r="H27" s="16">
        <f t="shared" si="5"/>
        <v>0</v>
      </c>
      <c r="I27" s="16">
        <f t="shared" si="5"/>
        <v>0</v>
      </c>
      <c r="J27" s="16">
        <f t="shared" si="5"/>
        <v>0</v>
      </c>
      <c r="K27" s="16">
        <f t="shared" si="5"/>
        <v>0</v>
      </c>
      <c r="L27" s="16">
        <f t="shared" si="5"/>
        <v>0</v>
      </c>
      <c r="M27" s="16">
        <f t="shared" si="5"/>
        <v>0</v>
      </c>
      <c r="N27" s="16">
        <f t="shared" si="5"/>
        <v>0</v>
      </c>
      <c r="O27" s="16">
        <f t="shared" si="5"/>
        <v>0</v>
      </c>
      <c r="P27" s="16">
        <f t="shared" si="5"/>
        <v>0</v>
      </c>
      <c r="Q27" s="24">
        <f t="shared" ref="Q27:R60" si="6">+E27+G27+I27+K27+M27+O27</f>
        <v>0</v>
      </c>
      <c r="R27" s="24">
        <f t="shared" si="6"/>
        <v>0</v>
      </c>
    </row>
    <row r="28" ht="14.5" spans="2:18">
      <c r="B28" s="12"/>
      <c r="C28" s="12" t="s">
        <v>32</v>
      </c>
      <c r="D28" s="5" t="s">
        <v>20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24">
        <f t="shared" si="6"/>
        <v>0</v>
      </c>
      <c r="R28" s="24">
        <f t="shared" si="6"/>
        <v>0</v>
      </c>
    </row>
    <row r="29" ht="14.5" spans="2:18">
      <c r="B29" s="12"/>
      <c r="C29" s="12" t="s">
        <v>33</v>
      </c>
      <c r="D29" s="5" t="s">
        <v>21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24">
        <f t="shared" si="6"/>
        <v>0</v>
      </c>
      <c r="R29" s="24">
        <f t="shared" si="6"/>
        <v>0</v>
      </c>
    </row>
    <row r="30" ht="14.5" spans="2:18">
      <c r="B30" s="12"/>
      <c r="C30" s="12" t="s">
        <v>34</v>
      </c>
      <c r="D30" s="5" t="s">
        <v>22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24">
        <f t="shared" si="6"/>
        <v>0</v>
      </c>
      <c r="R30" s="24">
        <f t="shared" si="6"/>
        <v>0</v>
      </c>
    </row>
    <row r="31" ht="14.5" spans="2:18">
      <c r="B31" s="12"/>
      <c r="C31" s="12" t="s">
        <v>35</v>
      </c>
      <c r="D31" s="5" t="s">
        <v>23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24">
        <f t="shared" si="6"/>
        <v>0</v>
      </c>
      <c r="R31" s="24">
        <f t="shared" si="6"/>
        <v>0</v>
      </c>
    </row>
    <row r="32" ht="14.5" spans="2:18">
      <c r="B32" s="10">
        <v>16</v>
      </c>
      <c r="C32" s="10"/>
      <c r="D32" s="4" t="s">
        <v>36</v>
      </c>
      <c r="E32" s="11">
        <f t="shared" ref="E32:P32" si="7">SUM(E33:E36)</f>
        <v>0</v>
      </c>
      <c r="F32" s="11">
        <f t="shared" si="7"/>
        <v>0</v>
      </c>
      <c r="G32" s="11">
        <f t="shared" si="7"/>
        <v>0</v>
      </c>
      <c r="H32" s="11">
        <f t="shared" si="7"/>
        <v>0</v>
      </c>
      <c r="I32" s="11">
        <f t="shared" si="7"/>
        <v>0</v>
      </c>
      <c r="J32" s="11">
        <f t="shared" si="7"/>
        <v>0</v>
      </c>
      <c r="K32" s="11">
        <f t="shared" si="7"/>
        <v>0</v>
      </c>
      <c r="L32" s="11">
        <f t="shared" si="7"/>
        <v>0</v>
      </c>
      <c r="M32" s="11">
        <f t="shared" si="7"/>
        <v>0</v>
      </c>
      <c r="N32" s="11">
        <f t="shared" si="7"/>
        <v>0</v>
      </c>
      <c r="O32" s="11">
        <f t="shared" si="7"/>
        <v>0</v>
      </c>
      <c r="P32" s="11">
        <f t="shared" si="7"/>
        <v>0</v>
      </c>
      <c r="Q32" s="24">
        <f t="shared" si="6"/>
        <v>0</v>
      </c>
      <c r="R32" s="24">
        <f t="shared" si="6"/>
        <v>0</v>
      </c>
    </row>
    <row r="33" ht="14.5" spans="2:18">
      <c r="B33" s="12"/>
      <c r="C33" s="12">
        <v>16.1</v>
      </c>
      <c r="D33" s="5" t="s">
        <v>37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24">
        <f t="shared" si="6"/>
        <v>0</v>
      </c>
      <c r="R33" s="24">
        <f t="shared" si="6"/>
        <v>0</v>
      </c>
    </row>
    <row r="34" ht="14.5" spans="2:18">
      <c r="B34" s="12"/>
      <c r="C34" s="12">
        <v>16.2</v>
      </c>
      <c r="D34" s="5" t="s">
        <v>20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24">
        <f t="shared" si="6"/>
        <v>0</v>
      </c>
      <c r="R34" s="24">
        <f t="shared" si="6"/>
        <v>0</v>
      </c>
    </row>
    <row r="35" ht="14.5" spans="2:18">
      <c r="B35" s="12"/>
      <c r="C35" s="12">
        <v>16.3</v>
      </c>
      <c r="D35" s="5" t="s">
        <v>38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24">
        <f t="shared" si="6"/>
        <v>0</v>
      </c>
      <c r="R35" s="24">
        <f t="shared" si="6"/>
        <v>0</v>
      </c>
    </row>
    <row r="36" ht="14.5" spans="2:18">
      <c r="B36" s="12"/>
      <c r="C36" s="12">
        <v>16.4</v>
      </c>
      <c r="D36" s="5" t="s">
        <v>39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24">
        <f t="shared" si="6"/>
        <v>0</v>
      </c>
      <c r="R36" s="24">
        <f t="shared" si="6"/>
        <v>0</v>
      </c>
    </row>
    <row r="37" ht="14.5" spans="2:18">
      <c r="B37" s="10">
        <v>17</v>
      </c>
      <c r="C37" s="10"/>
      <c r="D37" s="4" t="s">
        <v>40</v>
      </c>
      <c r="E37" s="11">
        <f>SUM(E38:E41)</f>
        <v>0</v>
      </c>
      <c r="F37" s="11">
        <f t="shared" ref="F37:P37" si="8">SUM(F38:F41)</f>
        <v>0</v>
      </c>
      <c r="G37" s="11">
        <f t="shared" si="8"/>
        <v>0</v>
      </c>
      <c r="H37" s="11">
        <f t="shared" si="8"/>
        <v>0</v>
      </c>
      <c r="I37" s="11">
        <f t="shared" si="8"/>
        <v>0</v>
      </c>
      <c r="J37" s="11">
        <f t="shared" si="8"/>
        <v>0</v>
      </c>
      <c r="K37" s="11">
        <f t="shared" si="8"/>
        <v>0</v>
      </c>
      <c r="L37" s="11">
        <f t="shared" si="8"/>
        <v>0</v>
      </c>
      <c r="M37" s="11">
        <f t="shared" si="8"/>
        <v>0</v>
      </c>
      <c r="N37" s="11">
        <f t="shared" si="8"/>
        <v>0</v>
      </c>
      <c r="O37" s="11">
        <f t="shared" si="8"/>
        <v>0</v>
      </c>
      <c r="P37" s="11">
        <f t="shared" si="8"/>
        <v>0</v>
      </c>
      <c r="Q37" s="24">
        <f t="shared" si="6"/>
        <v>0</v>
      </c>
      <c r="R37" s="24">
        <f t="shared" si="6"/>
        <v>0</v>
      </c>
    </row>
    <row r="38" ht="14.5" spans="2:18">
      <c r="B38" s="12"/>
      <c r="C38" s="12">
        <v>17.1</v>
      </c>
      <c r="D38" s="5" t="s">
        <v>41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24">
        <f t="shared" si="6"/>
        <v>0</v>
      </c>
      <c r="R38" s="24">
        <f t="shared" si="6"/>
        <v>0</v>
      </c>
    </row>
    <row r="39" ht="14.5" spans="2:18">
      <c r="B39" s="12"/>
      <c r="C39" s="12">
        <v>17.2</v>
      </c>
      <c r="D39" s="5" t="s">
        <v>42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24">
        <f t="shared" si="6"/>
        <v>0</v>
      </c>
      <c r="R39" s="24">
        <f t="shared" si="6"/>
        <v>0</v>
      </c>
    </row>
    <row r="40" ht="14.5" spans="2:18">
      <c r="B40" s="12"/>
      <c r="C40" s="12">
        <v>17.3</v>
      </c>
      <c r="D40" s="5" t="s">
        <v>43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24">
        <f t="shared" si="6"/>
        <v>0</v>
      </c>
      <c r="R40" s="24">
        <f t="shared" si="6"/>
        <v>0</v>
      </c>
    </row>
    <row r="41" ht="14.5" spans="2:18">
      <c r="B41" s="12"/>
      <c r="C41" s="12">
        <v>17.4</v>
      </c>
      <c r="D41" s="5" t="s">
        <v>44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24">
        <f t="shared" si="6"/>
        <v>0</v>
      </c>
      <c r="R41" s="24">
        <f t="shared" si="6"/>
        <v>0</v>
      </c>
    </row>
    <row r="42" ht="20" spans="2:18">
      <c r="B42" s="10">
        <v>18</v>
      </c>
      <c r="C42" s="10"/>
      <c r="D42" s="4" t="s">
        <v>45</v>
      </c>
      <c r="E42" s="11">
        <f>SUM(E43:E44)</f>
        <v>0</v>
      </c>
      <c r="F42" s="11">
        <f t="shared" ref="F42:P42" si="9">SUM(F43:F44)</f>
        <v>0</v>
      </c>
      <c r="G42" s="11">
        <f t="shared" si="9"/>
        <v>0</v>
      </c>
      <c r="H42" s="11">
        <f t="shared" si="9"/>
        <v>0</v>
      </c>
      <c r="I42" s="11">
        <f t="shared" si="9"/>
        <v>0</v>
      </c>
      <c r="J42" s="11">
        <f t="shared" si="9"/>
        <v>0</v>
      </c>
      <c r="K42" s="11">
        <f t="shared" si="9"/>
        <v>0</v>
      </c>
      <c r="L42" s="11">
        <f t="shared" si="9"/>
        <v>0</v>
      </c>
      <c r="M42" s="11">
        <f t="shared" si="9"/>
        <v>0</v>
      </c>
      <c r="N42" s="11">
        <f t="shared" si="9"/>
        <v>0</v>
      </c>
      <c r="O42" s="11">
        <f t="shared" si="9"/>
        <v>0</v>
      </c>
      <c r="P42" s="11">
        <f t="shared" si="9"/>
        <v>0</v>
      </c>
      <c r="Q42" s="24">
        <f t="shared" si="6"/>
        <v>0</v>
      </c>
      <c r="R42" s="24">
        <f t="shared" si="6"/>
        <v>0</v>
      </c>
    </row>
    <row r="43" ht="14.5" spans="2:18">
      <c r="B43" s="12"/>
      <c r="C43" s="12">
        <v>18.1</v>
      </c>
      <c r="D43" s="5" t="s">
        <v>46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24">
        <f t="shared" si="6"/>
        <v>0</v>
      </c>
      <c r="R43" s="24">
        <f t="shared" si="6"/>
        <v>0</v>
      </c>
    </row>
    <row r="44" ht="14.5" spans="2:18">
      <c r="B44" s="12"/>
      <c r="C44" s="12">
        <v>18.2</v>
      </c>
      <c r="D44" s="5" t="s">
        <v>47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24">
        <f>+E44+G44+I44+K44+M44+O44</f>
        <v>0</v>
      </c>
      <c r="R44" s="24">
        <f>+F44+H44+J44+L44+N44+P44</f>
        <v>0</v>
      </c>
    </row>
    <row r="45" ht="14.5" spans="2:18">
      <c r="B45" s="10">
        <v>19</v>
      </c>
      <c r="C45" s="10"/>
      <c r="D45" s="4" t="s">
        <v>48</v>
      </c>
      <c r="E45" s="11">
        <f>SUM(E46:E49)</f>
        <v>0</v>
      </c>
      <c r="F45" s="11">
        <f t="shared" ref="F45:P45" si="10">SUM(F46:F49)</f>
        <v>0</v>
      </c>
      <c r="G45" s="11">
        <f t="shared" si="10"/>
        <v>0</v>
      </c>
      <c r="H45" s="11">
        <f t="shared" si="10"/>
        <v>0</v>
      </c>
      <c r="I45" s="11">
        <f t="shared" si="10"/>
        <v>0</v>
      </c>
      <c r="J45" s="11">
        <f t="shared" si="10"/>
        <v>0</v>
      </c>
      <c r="K45" s="11">
        <f t="shared" si="10"/>
        <v>0</v>
      </c>
      <c r="L45" s="11">
        <f t="shared" si="10"/>
        <v>0</v>
      </c>
      <c r="M45" s="11">
        <f t="shared" si="10"/>
        <v>0</v>
      </c>
      <c r="N45" s="11">
        <f t="shared" si="10"/>
        <v>0</v>
      </c>
      <c r="O45" s="11">
        <f t="shared" si="10"/>
        <v>0</v>
      </c>
      <c r="P45" s="11">
        <f t="shared" si="10"/>
        <v>0</v>
      </c>
      <c r="Q45" s="24">
        <f>+E45+G45+I45+K45+M45+O45</f>
        <v>0</v>
      </c>
      <c r="R45" s="24">
        <f>+F45+H45+J45+L45+N45+P45</f>
        <v>0</v>
      </c>
    </row>
    <row r="46" ht="20" spans="2:18">
      <c r="B46" s="12"/>
      <c r="C46" s="12">
        <v>19.1</v>
      </c>
      <c r="D46" s="5" t="s">
        <v>49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24">
        <f t="shared" si="6"/>
        <v>0</v>
      </c>
      <c r="R46" s="24">
        <f t="shared" si="6"/>
        <v>0</v>
      </c>
    </row>
    <row r="47" ht="14.5" spans="2:18">
      <c r="B47" s="12"/>
      <c r="C47" s="12">
        <v>19.2</v>
      </c>
      <c r="D47" s="5" t="s">
        <v>50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24">
        <f t="shared" si="6"/>
        <v>0</v>
      </c>
      <c r="R47" s="24">
        <f t="shared" si="6"/>
        <v>0</v>
      </c>
    </row>
    <row r="48" ht="14.5" spans="2:18">
      <c r="B48" s="12"/>
      <c r="C48" s="12">
        <v>19.3</v>
      </c>
      <c r="D48" s="5" t="s">
        <v>51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24">
        <f t="shared" si="6"/>
        <v>0</v>
      </c>
      <c r="R48" s="24">
        <f t="shared" si="6"/>
        <v>0</v>
      </c>
    </row>
    <row r="49" ht="14.5" spans="2:18">
      <c r="B49" s="12"/>
      <c r="C49" s="12">
        <v>19.4</v>
      </c>
      <c r="D49" s="5" t="s">
        <v>39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24">
        <f t="shared" si="6"/>
        <v>0</v>
      </c>
      <c r="R49" s="24">
        <f t="shared" si="6"/>
        <v>0</v>
      </c>
    </row>
    <row r="50" ht="14.5" spans="2:18">
      <c r="B50" s="10">
        <v>20</v>
      </c>
      <c r="C50" s="10"/>
      <c r="D50" s="4" t="s">
        <v>52</v>
      </c>
      <c r="E50" s="11">
        <f>SUM(E51:E52)</f>
        <v>0</v>
      </c>
      <c r="F50" s="11">
        <f t="shared" ref="F50:P50" si="11">SUM(F51:F52)</f>
        <v>0</v>
      </c>
      <c r="G50" s="11">
        <f t="shared" si="11"/>
        <v>0</v>
      </c>
      <c r="H50" s="11">
        <f t="shared" si="11"/>
        <v>0</v>
      </c>
      <c r="I50" s="11">
        <f t="shared" si="11"/>
        <v>0</v>
      </c>
      <c r="J50" s="11">
        <f t="shared" si="11"/>
        <v>0</v>
      </c>
      <c r="K50" s="11">
        <f t="shared" si="11"/>
        <v>0</v>
      </c>
      <c r="L50" s="11">
        <f t="shared" si="11"/>
        <v>0</v>
      </c>
      <c r="M50" s="11">
        <f t="shared" si="11"/>
        <v>0</v>
      </c>
      <c r="N50" s="11">
        <f t="shared" si="11"/>
        <v>0</v>
      </c>
      <c r="O50" s="11">
        <f t="shared" si="11"/>
        <v>0</v>
      </c>
      <c r="P50" s="11">
        <f t="shared" si="11"/>
        <v>0</v>
      </c>
      <c r="Q50" s="24">
        <f t="shared" si="6"/>
        <v>0</v>
      </c>
      <c r="R50" s="24">
        <f t="shared" si="6"/>
        <v>0</v>
      </c>
    </row>
    <row r="51" ht="14.5" spans="2:18">
      <c r="B51" s="12"/>
      <c r="C51" s="12">
        <v>20.1</v>
      </c>
      <c r="D51" s="5" t="s">
        <v>53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24">
        <f>+E51+G51+I51+K51+M51+O51</f>
        <v>0</v>
      </c>
      <c r="R51" s="24">
        <f t="shared" si="6"/>
        <v>0</v>
      </c>
    </row>
    <row r="52" ht="14.5" spans="2:18">
      <c r="B52" s="12"/>
      <c r="C52" s="12">
        <v>20.2</v>
      </c>
      <c r="D52" s="5" t="s">
        <v>54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24">
        <f t="shared" si="6"/>
        <v>0</v>
      </c>
      <c r="R52" s="24">
        <f t="shared" si="6"/>
        <v>0</v>
      </c>
    </row>
    <row r="53" ht="14.5" spans="2:18">
      <c r="B53" s="10">
        <v>21</v>
      </c>
      <c r="C53" s="10"/>
      <c r="D53" s="4" t="s">
        <v>55</v>
      </c>
      <c r="E53" s="11">
        <f>SUM(E54:E62)-E55</f>
        <v>0</v>
      </c>
      <c r="F53" s="11">
        <f t="shared" ref="F53:P53" si="12">SUM(F54:F62)-F55</f>
        <v>0</v>
      </c>
      <c r="G53" s="11">
        <f t="shared" si="12"/>
        <v>0</v>
      </c>
      <c r="H53" s="11">
        <f t="shared" si="12"/>
        <v>0</v>
      </c>
      <c r="I53" s="11">
        <f t="shared" si="12"/>
        <v>0</v>
      </c>
      <c r="J53" s="11">
        <f t="shared" si="12"/>
        <v>0</v>
      </c>
      <c r="K53" s="11">
        <f t="shared" si="12"/>
        <v>0</v>
      </c>
      <c r="L53" s="11">
        <f t="shared" si="12"/>
        <v>0</v>
      </c>
      <c r="M53" s="11">
        <f t="shared" si="12"/>
        <v>0</v>
      </c>
      <c r="N53" s="11">
        <f t="shared" si="12"/>
        <v>0</v>
      </c>
      <c r="O53" s="11">
        <f t="shared" si="12"/>
        <v>0</v>
      </c>
      <c r="P53" s="11">
        <f t="shared" si="12"/>
        <v>0</v>
      </c>
      <c r="Q53" s="24">
        <f>+E53+G53+I53+K53+M53+O53</f>
        <v>0</v>
      </c>
      <c r="R53" s="24">
        <f t="shared" si="6"/>
        <v>0</v>
      </c>
    </row>
    <row r="54" ht="14.5" spans="2:18">
      <c r="B54" s="17"/>
      <c r="C54" s="17">
        <v>21.1</v>
      </c>
      <c r="D54" s="18" t="s">
        <v>56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24">
        <f t="shared" si="6"/>
        <v>0</v>
      </c>
      <c r="R54" s="24">
        <f t="shared" si="6"/>
        <v>0</v>
      </c>
    </row>
    <row r="55" ht="14.5" spans="2:18">
      <c r="B55" s="14"/>
      <c r="C55" s="14">
        <v>21.2</v>
      </c>
      <c r="D55" s="15" t="s">
        <v>57</v>
      </c>
      <c r="E55" s="16">
        <f>SUM(E56:E58)</f>
        <v>0</v>
      </c>
      <c r="F55" s="16">
        <f t="shared" ref="F55:P55" si="13">SUM(F56:F58)</f>
        <v>0</v>
      </c>
      <c r="G55" s="16">
        <f t="shared" si="13"/>
        <v>0</v>
      </c>
      <c r="H55" s="16">
        <f t="shared" si="13"/>
        <v>0</v>
      </c>
      <c r="I55" s="16">
        <f t="shared" si="13"/>
        <v>0</v>
      </c>
      <c r="J55" s="16">
        <f t="shared" si="13"/>
        <v>0</v>
      </c>
      <c r="K55" s="16">
        <f t="shared" si="13"/>
        <v>0</v>
      </c>
      <c r="L55" s="16">
        <f t="shared" si="13"/>
        <v>0</v>
      </c>
      <c r="M55" s="16">
        <f t="shared" si="13"/>
        <v>0</v>
      </c>
      <c r="N55" s="16">
        <f t="shared" si="13"/>
        <v>0</v>
      </c>
      <c r="O55" s="16">
        <f t="shared" si="13"/>
        <v>0</v>
      </c>
      <c r="P55" s="16">
        <f t="shared" si="13"/>
        <v>0</v>
      </c>
      <c r="Q55" s="24">
        <f t="shared" si="6"/>
        <v>0</v>
      </c>
      <c r="R55" s="24">
        <f t="shared" si="6"/>
        <v>0</v>
      </c>
    </row>
    <row r="56" ht="14.5" spans="2:18">
      <c r="B56" s="17"/>
      <c r="C56" s="17" t="s">
        <v>58</v>
      </c>
      <c r="D56" s="18" t="s">
        <v>59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24">
        <f t="shared" si="6"/>
        <v>0</v>
      </c>
      <c r="R56" s="24">
        <f t="shared" si="6"/>
        <v>0</v>
      </c>
    </row>
    <row r="57" ht="20" spans="2:18">
      <c r="B57" s="17"/>
      <c r="C57" s="17" t="s">
        <v>60</v>
      </c>
      <c r="D57" s="18" t="s">
        <v>61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24">
        <f t="shared" si="6"/>
        <v>0</v>
      </c>
      <c r="R57" s="24">
        <f t="shared" si="6"/>
        <v>0</v>
      </c>
    </row>
    <row r="58" ht="20" spans="2:18">
      <c r="B58" s="17"/>
      <c r="C58" s="17" t="s">
        <v>62</v>
      </c>
      <c r="D58" s="18" t="s">
        <v>63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24">
        <f t="shared" si="6"/>
        <v>0</v>
      </c>
      <c r="R58" s="24">
        <f t="shared" si="6"/>
        <v>0</v>
      </c>
    </row>
    <row r="59" ht="14.5" spans="2:18">
      <c r="B59" s="17"/>
      <c r="C59" s="17">
        <v>21.3</v>
      </c>
      <c r="D59" s="18" t="s">
        <v>64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24">
        <f t="shared" si="6"/>
        <v>0</v>
      </c>
      <c r="R59" s="24">
        <f t="shared" si="6"/>
        <v>0</v>
      </c>
    </row>
    <row r="60" ht="14.5" spans="2:18">
      <c r="B60" s="17"/>
      <c r="C60" s="17">
        <v>21.4</v>
      </c>
      <c r="D60" s="18" t="s">
        <v>65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24">
        <f t="shared" si="6"/>
        <v>0</v>
      </c>
      <c r="R60" s="24">
        <f t="shared" si="6"/>
        <v>0</v>
      </c>
    </row>
    <row r="61" ht="14.5" spans="2:18">
      <c r="B61" s="17"/>
      <c r="C61" s="17">
        <v>21.5</v>
      </c>
      <c r="D61" s="18" t="s">
        <v>66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24">
        <f t="shared" ref="Q61:R92" si="14">+E61+G61+I61+K61+M61+O61</f>
        <v>0</v>
      </c>
      <c r="R61" s="24">
        <f t="shared" si="14"/>
        <v>0</v>
      </c>
    </row>
    <row r="62" ht="14.5" spans="2:18">
      <c r="B62" s="17"/>
      <c r="C62" s="17">
        <v>21.6</v>
      </c>
      <c r="D62" s="18" t="s">
        <v>67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24">
        <f t="shared" si="14"/>
        <v>0</v>
      </c>
      <c r="R62" s="24">
        <f t="shared" si="14"/>
        <v>0</v>
      </c>
    </row>
    <row r="63" ht="14.5" spans="2:18">
      <c r="B63" s="10">
        <v>22</v>
      </c>
      <c r="C63" s="10"/>
      <c r="D63" s="4" t="s">
        <v>68</v>
      </c>
      <c r="E63" s="11">
        <f>SUM(E64:E72)</f>
        <v>0</v>
      </c>
      <c r="F63" s="11">
        <f t="shared" ref="F63:P63" si="15">SUM(F64:F72)</f>
        <v>0</v>
      </c>
      <c r="G63" s="11">
        <f t="shared" si="15"/>
        <v>0</v>
      </c>
      <c r="H63" s="11">
        <f t="shared" si="15"/>
        <v>0</v>
      </c>
      <c r="I63" s="11">
        <f t="shared" si="15"/>
        <v>0</v>
      </c>
      <c r="J63" s="11">
        <f t="shared" si="15"/>
        <v>0</v>
      </c>
      <c r="K63" s="11">
        <f t="shared" si="15"/>
        <v>0</v>
      </c>
      <c r="L63" s="11">
        <f t="shared" si="15"/>
        <v>0</v>
      </c>
      <c r="M63" s="11">
        <f t="shared" si="15"/>
        <v>0</v>
      </c>
      <c r="N63" s="11">
        <f t="shared" si="15"/>
        <v>0</v>
      </c>
      <c r="O63" s="11">
        <f t="shared" si="15"/>
        <v>0</v>
      </c>
      <c r="P63" s="11">
        <f t="shared" si="15"/>
        <v>0</v>
      </c>
      <c r="Q63" s="24">
        <f t="shared" si="14"/>
        <v>0</v>
      </c>
      <c r="R63" s="24">
        <f t="shared" si="14"/>
        <v>0</v>
      </c>
    </row>
    <row r="64" ht="14.5" spans="2:18">
      <c r="B64" s="12"/>
      <c r="C64" s="12">
        <v>22.1</v>
      </c>
      <c r="D64" s="5" t="s">
        <v>69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24">
        <f t="shared" si="14"/>
        <v>0</v>
      </c>
      <c r="R64" s="24">
        <f t="shared" si="14"/>
        <v>0</v>
      </c>
    </row>
    <row r="65" ht="14.5" spans="2:18">
      <c r="B65" s="12"/>
      <c r="C65" s="12">
        <v>22.2</v>
      </c>
      <c r="D65" s="5" t="s">
        <v>70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24">
        <f t="shared" si="14"/>
        <v>0</v>
      </c>
      <c r="R65" s="24">
        <f t="shared" si="14"/>
        <v>0</v>
      </c>
    </row>
    <row r="66" ht="14.5" spans="2:18">
      <c r="B66" s="12"/>
      <c r="C66" s="12">
        <v>22.3</v>
      </c>
      <c r="D66" s="5" t="s">
        <v>71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24">
        <f t="shared" si="14"/>
        <v>0</v>
      </c>
      <c r="R66" s="24">
        <f t="shared" si="14"/>
        <v>0</v>
      </c>
    </row>
    <row r="67" ht="14.5" spans="2:18">
      <c r="B67" s="12"/>
      <c r="C67" s="12">
        <v>22.4</v>
      </c>
      <c r="D67" s="5" t="s">
        <v>72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24">
        <f t="shared" si="14"/>
        <v>0</v>
      </c>
      <c r="R67" s="24">
        <f t="shared" si="14"/>
        <v>0</v>
      </c>
    </row>
    <row r="68" ht="14.5" spans="2:18">
      <c r="B68" s="12"/>
      <c r="C68" s="12">
        <v>22.5</v>
      </c>
      <c r="D68" s="5" t="s">
        <v>73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24">
        <f t="shared" si="14"/>
        <v>0</v>
      </c>
      <c r="R68" s="24">
        <f t="shared" si="14"/>
        <v>0</v>
      </c>
    </row>
    <row r="69" ht="14.5" spans="2:18">
      <c r="B69" s="12"/>
      <c r="C69" s="12">
        <v>22.6</v>
      </c>
      <c r="D69" s="5" t="s">
        <v>74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24">
        <f t="shared" si="14"/>
        <v>0</v>
      </c>
      <c r="R69" s="24">
        <f t="shared" si="14"/>
        <v>0</v>
      </c>
    </row>
    <row r="70" ht="14.5" spans="2:18">
      <c r="B70" s="12"/>
      <c r="C70" s="12">
        <v>22.7</v>
      </c>
      <c r="D70" s="5" t="s">
        <v>75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24">
        <f t="shared" si="14"/>
        <v>0</v>
      </c>
      <c r="R70" s="24">
        <f t="shared" si="14"/>
        <v>0</v>
      </c>
    </row>
    <row r="71" ht="14.5" spans="2:18">
      <c r="B71" s="12"/>
      <c r="C71" s="12">
        <v>22.8</v>
      </c>
      <c r="D71" s="5" t="s">
        <v>76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24">
        <f t="shared" si="14"/>
        <v>0</v>
      </c>
      <c r="R71" s="24">
        <f t="shared" si="14"/>
        <v>0</v>
      </c>
    </row>
    <row r="72" ht="14.5" spans="2:18">
      <c r="B72" s="12"/>
      <c r="C72" s="12">
        <v>22.9</v>
      </c>
      <c r="D72" s="5" t="s">
        <v>77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24">
        <f t="shared" si="14"/>
        <v>0</v>
      </c>
      <c r="R72" s="24">
        <f t="shared" si="14"/>
        <v>0</v>
      </c>
    </row>
    <row r="73" ht="14.5" spans="2:18">
      <c r="B73" s="10">
        <v>23</v>
      </c>
      <c r="C73" s="10"/>
      <c r="D73" s="4" t="s">
        <v>78</v>
      </c>
      <c r="E73" s="11">
        <f>SUM(E74:E80)</f>
        <v>0</v>
      </c>
      <c r="F73" s="11">
        <f t="shared" ref="F73:P73" si="16">SUM(F74:F80)</f>
        <v>0</v>
      </c>
      <c r="G73" s="11">
        <f t="shared" si="16"/>
        <v>0</v>
      </c>
      <c r="H73" s="11">
        <f t="shared" si="16"/>
        <v>0</v>
      </c>
      <c r="I73" s="11">
        <f t="shared" si="16"/>
        <v>0</v>
      </c>
      <c r="J73" s="11">
        <f t="shared" si="16"/>
        <v>0</v>
      </c>
      <c r="K73" s="11">
        <f t="shared" si="16"/>
        <v>0</v>
      </c>
      <c r="L73" s="11">
        <f t="shared" si="16"/>
        <v>0</v>
      </c>
      <c r="M73" s="11">
        <f t="shared" si="16"/>
        <v>0</v>
      </c>
      <c r="N73" s="11">
        <f t="shared" si="16"/>
        <v>0</v>
      </c>
      <c r="O73" s="11">
        <f t="shared" si="16"/>
        <v>0</v>
      </c>
      <c r="P73" s="11">
        <f t="shared" si="16"/>
        <v>0</v>
      </c>
      <c r="Q73" s="24">
        <f t="shared" si="14"/>
        <v>0</v>
      </c>
      <c r="R73" s="24">
        <f t="shared" si="14"/>
        <v>0</v>
      </c>
    </row>
    <row r="74" ht="14.5" spans="2:18">
      <c r="B74" s="12"/>
      <c r="C74" s="12">
        <v>23.1</v>
      </c>
      <c r="D74" s="5" t="s">
        <v>79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24">
        <f t="shared" si="14"/>
        <v>0</v>
      </c>
      <c r="R74" s="24">
        <f t="shared" si="14"/>
        <v>0</v>
      </c>
    </row>
    <row r="75" ht="14.5" spans="2:18">
      <c r="B75" s="12"/>
      <c r="C75" s="12">
        <v>23.2</v>
      </c>
      <c r="D75" s="5" t="s">
        <v>80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24">
        <f t="shared" si="14"/>
        <v>0</v>
      </c>
      <c r="R75" s="24">
        <f t="shared" si="14"/>
        <v>0</v>
      </c>
    </row>
    <row r="76" ht="14.5" spans="2:18">
      <c r="B76" s="12"/>
      <c r="C76" s="12">
        <v>23.3</v>
      </c>
      <c r="D76" s="5" t="s">
        <v>81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24">
        <f t="shared" si="14"/>
        <v>0</v>
      </c>
      <c r="R76" s="24">
        <f t="shared" si="14"/>
        <v>0</v>
      </c>
    </row>
    <row r="77" ht="14.5" spans="2:18">
      <c r="B77" s="12"/>
      <c r="C77" s="12">
        <v>23.4</v>
      </c>
      <c r="D77" s="5" t="s">
        <v>82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24">
        <f t="shared" si="14"/>
        <v>0</v>
      </c>
      <c r="R77" s="24">
        <f t="shared" si="14"/>
        <v>0</v>
      </c>
    </row>
    <row r="78" ht="14.5" spans="2:18">
      <c r="B78" s="12"/>
      <c r="C78" s="12">
        <v>23.5</v>
      </c>
      <c r="D78" s="5" t="s">
        <v>83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24">
        <f t="shared" si="14"/>
        <v>0</v>
      </c>
      <c r="R78" s="24">
        <f t="shared" si="14"/>
        <v>0</v>
      </c>
    </row>
    <row r="79" ht="14.5" spans="2:18">
      <c r="B79" s="12"/>
      <c r="C79" s="12">
        <v>23.6</v>
      </c>
      <c r="D79" s="5" t="s">
        <v>84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24">
        <f t="shared" si="14"/>
        <v>0</v>
      </c>
      <c r="R79" s="24">
        <f t="shared" si="14"/>
        <v>0</v>
      </c>
    </row>
    <row r="80" ht="14.5" spans="2:18">
      <c r="B80" s="12"/>
      <c r="C80" s="12">
        <v>23.7</v>
      </c>
      <c r="D80" s="5" t="s">
        <v>85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24">
        <f t="shared" si="14"/>
        <v>0</v>
      </c>
      <c r="R80" s="24">
        <f t="shared" si="14"/>
        <v>0</v>
      </c>
    </row>
    <row r="81" ht="14.5" spans="2:18">
      <c r="B81" s="14">
        <v>24</v>
      </c>
      <c r="C81" s="14"/>
      <c r="D81" s="15" t="s">
        <v>86</v>
      </c>
      <c r="E81" s="16">
        <f>+E82+E85+E92</f>
        <v>0</v>
      </c>
      <c r="F81" s="16">
        <f t="shared" ref="F81:P81" si="17">+F82+F85+F92</f>
        <v>0</v>
      </c>
      <c r="G81" s="16">
        <f t="shared" si="17"/>
        <v>0</v>
      </c>
      <c r="H81" s="16">
        <f t="shared" si="17"/>
        <v>0</v>
      </c>
      <c r="I81" s="16">
        <f t="shared" si="17"/>
        <v>0</v>
      </c>
      <c r="J81" s="16">
        <f t="shared" si="17"/>
        <v>0</v>
      </c>
      <c r="K81" s="16">
        <f t="shared" si="17"/>
        <v>0</v>
      </c>
      <c r="L81" s="16">
        <f t="shared" si="17"/>
        <v>0</v>
      </c>
      <c r="M81" s="16">
        <f t="shared" si="17"/>
        <v>0</v>
      </c>
      <c r="N81" s="16">
        <f t="shared" si="17"/>
        <v>0</v>
      </c>
      <c r="O81" s="16">
        <f t="shared" si="17"/>
        <v>0</v>
      </c>
      <c r="P81" s="16">
        <f t="shared" si="17"/>
        <v>0</v>
      </c>
      <c r="Q81" s="24">
        <f t="shared" si="14"/>
        <v>0</v>
      </c>
      <c r="R81" s="24">
        <f t="shared" si="14"/>
        <v>0</v>
      </c>
    </row>
    <row r="82" ht="14.5" spans="2:18">
      <c r="B82" s="14"/>
      <c r="C82" s="14">
        <v>24.1</v>
      </c>
      <c r="D82" s="15" t="s">
        <v>87</v>
      </c>
      <c r="E82" s="16">
        <f>SUM(E83:E84)</f>
        <v>0</v>
      </c>
      <c r="F82" s="16">
        <f t="shared" ref="F82:P82" si="18">SUM(F83:F84)</f>
        <v>0</v>
      </c>
      <c r="G82" s="16">
        <f t="shared" si="18"/>
        <v>0</v>
      </c>
      <c r="H82" s="16">
        <f t="shared" si="18"/>
        <v>0</v>
      </c>
      <c r="I82" s="16">
        <f t="shared" si="18"/>
        <v>0</v>
      </c>
      <c r="J82" s="16">
        <f t="shared" si="18"/>
        <v>0</v>
      </c>
      <c r="K82" s="16">
        <f t="shared" si="18"/>
        <v>0</v>
      </c>
      <c r="L82" s="16">
        <f t="shared" si="18"/>
        <v>0</v>
      </c>
      <c r="M82" s="16">
        <f t="shared" si="18"/>
        <v>0</v>
      </c>
      <c r="N82" s="16">
        <f t="shared" si="18"/>
        <v>0</v>
      </c>
      <c r="O82" s="16">
        <f t="shared" si="18"/>
        <v>0</v>
      </c>
      <c r="P82" s="16">
        <f t="shared" si="18"/>
        <v>0</v>
      </c>
      <c r="Q82" s="24">
        <f t="shared" si="14"/>
        <v>0</v>
      </c>
      <c r="R82" s="24">
        <f t="shared" si="14"/>
        <v>0</v>
      </c>
    </row>
    <row r="83" ht="14.5" spans="2:18">
      <c r="B83" s="12"/>
      <c r="C83" s="12" t="s">
        <v>88</v>
      </c>
      <c r="D83" s="5" t="s">
        <v>89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24">
        <f>+E83+G83+I83+K83+M83+O83</f>
        <v>0</v>
      </c>
      <c r="R83" s="24">
        <f t="shared" si="14"/>
        <v>0</v>
      </c>
    </row>
    <row r="84" ht="14.5" spans="2:18">
      <c r="B84" s="12"/>
      <c r="C84" s="12" t="s">
        <v>90</v>
      </c>
      <c r="D84" s="5" t="s">
        <v>91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24">
        <f t="shared" si="14"/>
        <v>0</v>
      </c>
      <c r="R84" s="24">
        <f t="shared" si="14"/>
        <v>0</v>
      </c>
    </row>
    <row r="85" ht="14.5" spans="2:18">
      <c r="B85" s="14"/>
      <c r="C85" s="14">
        <v>24.2</v>
      </c>
      <c r="D85" s="15" t="s">
        <v>92</v>
      </c>
      <c r="E85" s="16">
        <f>SUM(E86:E91)</f>
        <v>0</v>
      </c>
      <c r="F85" s="16">
        <f t="shared" ref="F85:P85" si="19">SUM(F86:F91)</f>
        <v>0</v>
      </c>
      <c r="G85" s="16">
        <f t="shared" si="19"/>
        <v>0</v>
      </c>
      <c r="H85" s="16">
        <f t="shared" si="19"/>
        <v>0</v>
      </c>
      <c r="I85" s="16">
        <f t="shared" si="19"/>
        <v>0</v>
      </c>
      <c r="J85" s="16">
        <f t="shared" si="19"/>
        <v>0</v>
      </c>
      <c r="K85" s="16">
        <f t="shared" si="19"/>
        <v>0</v>
      </c>
      <c r="L85" s="16">
        <f t="shared" si="19"/>
        <v>0</v>
      </c>
      <c r="M85" s="16">
        <f t="shared" si="19"/>
        <v>0</v>
      </c>
      <c r="N85" s="16">
        <f t="shared" si="19"/>
        <v>0</v>
      </c>
      <c r="O85" s="16">
        <f t="shared" si="19"/>
        <v>0</v>
      </c>
      <c r="P85" s="16">
        <f t="shared" si="19"/>
        <v>0</v>
      </c>
      <c r="Q85" s="24">
        <f t="shared" si="14"/>
        <v>0</v>
      </c>
      <c r="R85" s="24">
        <f t="shared" si="14"/>
        <v>0</v>
      </c>
    </row>
    <row r="86" ht="14.5" spans="2:18">
      <c r="B86" s="12"/>
      <c r="C86" s="12" t="s">
        <v>93</v>
      </c>
      <c r="D86" s="5" t="s">
        <v>94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24">
        <f t="shared" si="14"/>
        <v>0</v>
      </c>
      <c r="R86" s="24">
        <f t="shared" si="14"/>
        <v>0</v>
      </c>
    </row>
    <row r="87" ht="14.5" spans="2:18">
      <c r="B87" s="12"/>
      <c r="C87" s="12" t="s">
        <v>95</v>
      </c>
      <c r="D87" s="5" t="s">
        <v>96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24">
        <f t="shared" si="14"/>
        <v>0</v>
      </c>
      <c r="R87" s="24">
        <f t="shared" si="14"/>
        <v>0</v>
      </c>
    </row>
    <row r="88" ht="14.5" spans="2:18">
      <c r="B88" s="12"/>
      <c r="C88" s="12" t="s">
        <v>97</v>
      </c>
      <c r="D88" s="5" t="s">
        <v>98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24">
        <f t="shared" si="14"/>
        <v>0</v>
      </c>
      <c r="R88" s="24">
        <f t="shared" si="14"/>
        <v>0</v>
      </c>
    </row>
    <row r="89" ht="14.5" spans="2:18">
      <c r="B89" s="12"/>
      <c r="C89" s="12" t="s">
        <v>99</v>
      </c>
      <c r="D89" s="18" t="s">
        <v>100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24">
        <f t="shared" si="14"/>
        <v>0</v>
      </c>
      <c r="R89" s="24">
        <f t="shared" si="14"/>
        <v>0</v>
      </c>
    </row>
    <row r="90" ht="14.5" spans="2:18">
      <c r="B90" s="12"/>
      <c r="C90" s="12" t="s">
        <v>101</v>
      </c>
      <c r="D90" s="5" t="s">
        <v>102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24">
        <f t="shared" si="14"/>
        <v>0</v>
      </c>
      <c r="R90" s="24">
        <f t="shared" si="14"/>
        <v>0</v>
      </c>
    </row>
    <row r="91" ht="14.5" spans="2:18">
      <c r="B91" s="12"/>
      <c r="C91" s="12" t="s">
        <v>103</v>
      </c>
      <c r="D91" s="5" t="s">
        <v>104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24">
        <f t="shared" si="14"/>
        <v>0</v>
      </c>
      <c r="R91" s="24">
        <f t="shared" si="14"/>
        <v>0</v>
      </c>
    </row>
    <row r="92" ht="14.5" spans="2:18">
      <c r="B92" s="12"/>
      <c r="C92" s="12">
        <v>24.3</v>
      </c>
      <c r="D92" s="5" t="s">
        <v>105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24">
        <f t="shared" si="14"/>
        <v>0</v>
      </c>
      <c r="R92" s="24">
        <f t="shared" si="14"/>
        <v>0</v>
      </c>
    </row>
    <row r="93" ht="14.5" spans="2:18">
      <c r="B93" s="26">
        <v>25</v>
      </c>
      <c r="C93" s="26"/>
      <c r="D93" s="27" t="s">
        <v>106</v>
      </c>
      <c r="E93" s="24">
        <f>+E11+E16+E21+E32+E37+E42+E45+E50+E53+E63+E73+E81</f>
        <v>0</v>
      </c>
      <c r="F93" s="24">
        <f t="shared" ref="F93:P93" si="20">+F11+F16+F21+F32+F37+F42+F45+F50+F53+F63+F73+F81</f>
        <v>0</v>
      </c>
      <c r="G93" s="24">
        <f t="shared" si="20"/>
        <v>0</v>
      </c>
      <c r="H93" s="24">
        <f t="shared" si="20"/>
        <v>0</v>
      </c>
      <c r="I93" s="24">
        <f t="shared" si="20"/>
        <v>0</v>
      </c>
      <c r="J93" s="24">
        <f t="shared" si="20"/>
        <v>0</v>
      </c>
      <c r="K93" s="24">
        <f t="shared" si="20"/>
        <v>0</v>
      </c>
      <c r="L93" s="24">
        <f t="shared" si="20"/>
        <v>0</v>
      </c>
      <c r="M93" s="24">
        <f t="shared" si="20"/>
        <v>0</v>
      </c>
      <c r="N93" s="24">
        <f t="shared" si="20"/>
        <v>0</v>
      </c>
      <c r="O93" s="24">
        <f t="shared" si="20"/>
        <v>0</v>
      </c>
      <c r="P93" s="24">
        <f t="shared" si="20"/>
        <v>0</v>
      </c>
      <c r="Q93" s="25">
        <f>+E93+G93+I93+K93+M93+O93</f>
        <v>0</v>
      </c>
      <c r="R93" s="24">
        <f>+F93+H93+J93+L93+N93+P93</f>
        <v>0</v>
      </c>
    </row>
    <row r="94" ht="14.5" spans="2:18">
      <c r="B94" s="28" t="s">
        <v>107</v>
      </c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35"/>
    </row>
    <row r="95" ht="14.5" spans="2:18">
      <c r="B95" s="30" t="s">
        <v>108</v>
      </c>
      <c r="C95" s="31"/>
      <c r="D95" s="32"/>
      <c r="E95" s="33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6"/>
    </row>
    <row r="96" ht="14.5"/>
    <row r="97" ht="14.5" hidden="1"/>
  </sheetData>
  <mergeCells count="19">
    <mergeCell ref="B2:R2"/>
    <mergeCell ref="C3:D3"/>
    <mergeCell ref="C4:D4"/>
    <mergeCell ref="C5:D5"/>
    <mergeCell ref="B6:R6"/>
    <mergeCell ref="B7:R7"/>
    <mergeCell ref="E8:N8"/>
    <mergeCell ref="E9:F9"/>
    <mergeCell ref="G9:H9"/>
    <mergeCell ref="I9:J9"/>
    <mergeCell ref="K9:L9"/>
    <mergeCell ref="M9:N9"/>
    <mergeCell ref="B94:R94"/>
    <mergeCell ref="B95:D95"/>
    <mergeCell ref="E95:R95"/>
    <mergeCell ref="E3:R5"/>
    <mergeCell ref="B8:D9"/>
    <mergeCell ref="O8:P9"/>
    <mergeCell ref="Q8:R9"/>
  </mergeCells>
  <dataValidations count="1">
    <dataValidation type="whole" operator="between" allowBlank="1" showInputMessage="1" showErrorMessage="1" sqref="E12:R92">
      <formula1>-1000000000</formula1>
      <formula2>1000000000</formula2>
    </dataValidation>
  </dataValidations>
  <pageMargins left="0.7" right="0.7" top="0.75" bottom="0.75" header="0.3" footer="0.3"/>
  <pageSetup paperSize="9" fitToHeight="0" orientation="landscape" horizontalDpi="600"/>
  <headerFooter>
    <oddHeader>&amp;L&amp;"Calibri"&amp;10&amp;K0078D7CBUAE Classification: Restricted&amp;1#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UAE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BRF205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 Imthias</dc:creator>
  <cp:lastModifiedBy>user</cp:lastModifiedBy>
  <dcterms:created xsi:type="dcterms:W3CDTF">2019-12-25T02:32:05Z</dcterms:created>
  <dcterms:modified xsi:type="dcterms:W3CDTF">2024-02-22T05:43:58Z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d9e9404-3739-4dbf-9fa8-b6ae9df09a7a_Enabled">
    <vt:lpwstr>true</vt:lpwstr>
  </property>
  <property fmtid="{D5CDD505-2E9C-101B-9397-08002B2CF9AE}" pid="3" name="MSIP_Label_1d9e9404-3739-4dbf-9fa8-b6ae9df09a7a_SetDate">
    <vt:lpwstr>2021-04-22T08:30:18Z</vt:lpwstr>
  </property>
  <property fmtid="{D5CDD505-2E9C-101B-9397-08002B2CF9AE}" pid="4" name="MSIP_Label_1d9e9404-3739-4dbf-9fa8-b6ae9df09a7a_Method">
    <vt:lpwstr>Standard</vt:lpwstr>
  </property>
  <property fmtid="{D5CDD505-2E9C-101B-9397-08002B2CF9AE}" pid="5" name="MSIP_Label_1d9e9404-3739-4dbf-9fa8-b6ae9df09a7a_Name">
    <vt:lpwstr>Personal</vt:lpwstr>
  </property>
  <property fmtid="{D5CDD505-2E9C-101B-9397-08002B2CF9AE}" pid="6" name="MSIP_Label_1d9e9404-3739-4dbf-9fa8-b6ae9df09a7a_SiteId">
    <vt:lpwstr>fba6ee03-9647-4c58-86a3-db85ac6de45e</vt:lpwstr>
  </property>
  <property fmtid="{D5CDD505-2E9C-101B-9397-08002B2CF9AE}" pid="7" name="MSIP_Label_1d9e9404-3739-4dbf-9fa8-b6ae9df09a7a_ActionId">
    <vt:lpwstr>df098006-7b8d-4584-8cd1-4c57c8809629</vt:lpwstr>
  </property>
  <property fmtid="{D5CDD505-2E9C-101B-9397-08002B2CF9AE}" pid="8" name="MSIP_Label_1d9e9404-3739-4dbf-9fa8-b6ae9df09a7a_ContentBits">
    <vt:lpwstr>1</vt:lpwstr>
  </property>
  <property fmtid="{D5CDD505-2E9C-101B-9397-08002B2CF9AE}" pid="9" name="ICV">
    <vt:lpwstr>FC6F0D93A95B40518F33AE8BB2068452_13</vt:lpwstr>
  </property>
  <property fmtid="{D5CDD505-2E9C-101B-9397-08002B2CF9AE}" pid="10" name="KSOProductBuildVer">
    <vt:lpwstr>1033-12.2.0.13431</vt:lpwstr>
  </property>
</Properties>
</file>