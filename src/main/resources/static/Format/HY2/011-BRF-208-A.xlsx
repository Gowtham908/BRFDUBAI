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208" sheetId="1" r:id="rId1"/>
  </sheets>
  <definedNames>
    <definedName name="_xlnm.Print_Area" localSheetId="0">BRF208!$B$2:$N$104</definedName>
  </definedNames>
  <calcPr calcId="144525"/>
</workbook>
</file>

<file path=xl/sharedStrings.xml><?xml version="1.0" encoding="utf-8"?>
<sst xmlns="http://schemas.openxmlformats.org/spreadsheetml/2006/main" count="136" uniqueCount="122">
  <si>
    <t>BANKING AND MONETARY STATISTICS -  CONSOLIDATED BALANCE SHEET - LIABILITIES, CAPITAL AND CONTINGENT LIABILITIES - BRF208   (AED IN 000s)</t>
  </si>
  <si>
    <t>ID:</t>
  </si>
  <si>
    <t>12-208-1-0</t>
  </si>
  <si>
    <t>BANK</t>
  </si>
  <si>
    <t>Bank of Baroda</t>
  </si>
  <si>
    <t>As On</t>
  </si>
  <si>
    <t>No</t>
  </si>
  <si>
    <t>Liabilities</t>
  </si>
  <si>
    <t xml:space="preserve">Bank Operations (including international branches and banking subsidiaries)
</t>
  </si>
  <si>
    <t>Banking Subsidiaries in UAE</t>
  </si>
  <si>
    <t>Financial Subsidiaries excluding Banking Subsidiaries (whether inside UAE or outside) (Examples of Financial Subsidiaries: Finance Companies, Investment Companies, Leasing, Insurance, Financial Intermediaries (e.g. Brokers)) 
(UAE)</t>
  </si>
  <si>
    <t>Financial Subsidiaries excluding banking subsidiaries (whether inside UAE or outside) (Examples of Financial Subsidiaries: Finance Companies, Investment Companies, Leasing, Insurance, financial intermediaries (e.g. brokers)) 
(Outside UAE)</t>
  </si>
  <si>
    <t>All other Subsidiaries other than Banking and Financial Subsidiaries (UAE)</t>
  </si>
  <si>
    <t>All other Subsidiaries other than Banking and Financial Subsidiary (Outside UAE)</t>
  </si>
  <si>
    <t>Gross Liabilities, Capital and Contingent Liabilities</t>
  </si>
  <si>
    <t>Elimination</t>
  </si>
  <si>
    <t>Reclassification</t>
  </si>
  <si>
    <t>Consolidated Liabilities</t>
  </si>
  <si>
    <t>GOVERNMENT SECTOR</t>
  </si>
  <si>
    <t>Demand</t>
  </si>
  <si>
    <t>Savings</t>
  </si>
  <si>
    <t>Time including CDs/ structured products</t>
  </si>
  <si>
    <t>Commercial prepayments (Margin deposits)</t>
  </si>
  <si>
    <t>GREs (Govt ownership of more than 50%)</t>
  </si>
  <si>
    <t xml:space="preserve">PRIVATE SECTOR </t>
  </si>
  <si>
    <t>Corporate</t>
  </si>
  <si>
    <t>18.1.1</t>
  </si>
  <si>
    <t>18.1.2</t>
  </si>
  <si>
    <t>18.1.3</t>
  </si>
  <si>
    <t>18.1.4</t>
  </si>
  <si>
    <t>Individuals</t>
  </si>
  <si>
    <t>18.2.1</t>
  </si>
  <si>
    <t>18.2.2</t>
  </si>
  <si>
    <t>18.2.3</t>
  </si>
  <si>
    <t>18.2.4</t>
  </si>
  <si>
    <t>NON BANKING FINANCIAL INSTITUTIONS</t>
  </si>
  <si>
    <t>Money at call and short notice</t>
  </si>
  <si>
    <t>Time</t>
  </si>
  <si>
    <t>Borrowings under repurchase agreement</t>
  </si>
  <si>
    <t>REFINANCING</t>
  </si>
  <si>
    <t>Under various housing loan schemes of Federal and Emirate Governments</t>
  </si>
  <si>
    <t>BANKERS DRAFT/ CASHIER ORDER</t>
  </si>
  <si>
    <t>DUE TO CENTRAL BANK</t>
  </si>
  <si>
    <t>Against CD</t>
  </si>
  <si>
    <t>Against other securities</t>
  </si>
  <si>
    <t>Other Balances</t>
  </si>
  <si>
    <t>DUE TO HEAD OFFICE/ OWN BRANCHES/BANKING SUBSIDIARIES(GROSS)</t>
  </si>
  <si>
    <t>Due to Head Office/Branches of foreign banks</t>
  </si>
  <si>
    <t>Due to overseas branches of national banks</t>
  </si>
  <si>
    <t>BALANCES DUE TO OTHER  BANKS (Gross)</t>
  </si>
  <si>
    <t>Money at call and short notice, borrowing on demand and remaining balances</t>
  </si>
  <si>
    <t>Interbank borrowings</t>
  </si>
  <si>
    <t xml:space="preserve">Other term borrowings </t>
  </si>
  <si>
    <t>TERM BORROWINGS</t>
  </si>
  <si>
    <t xml:space="preserve">Capital Market Funding </t>
  </si>
  <si>
    <t>Other term borrowings</t>
  </si>
  <si>
    <t>NET INTER-BRANCH TRANSACTIONS (EXCL 23.1 AND 23.2)</t>
  </si>
  <si>
    <t>PROVISIONS &amp; INTEREST IN SUSPENSE</t>
  </si>
  <si>
    <t>Specific provision for loans &amp; advances (IFRS 9 Stage 3)</t>
  </si>
  <si>
    <t>Collective Provisions</t>
  </si>
  <si>
    <t>27.2.1</t>
  </si>
  <si>
    <t>Collective impairment expected</t>
  </si>
  <si>
    <t>27.2.2</t>
  </si>
  <si>
    <t xml:space="preserve">Other unallocated  provisions for impaired assets (Stage 2 unallocated cases) </t>
  </si>
  <si>
    <t>27.2.3</t>
  </si>
  <si>
    <t>General Provision as per Circular 28/2010 (Stage 1 +Stage2 excl. 27.2.2.)</t>
  </si>
  <si>
    <t>Interest in suspense</t>
  </si>
  <si>
    <t>Provision for investments &amp; impairment of non-financial assets</t>
  </si>
  <si>
    <t>Staff benefits (pension, ESB etc.)</t>
  </si>
  <si>
    <t>Other Provisions</t>
  </si>
  <si>
    <t>OTHER LIABILITIES</t>
  </si>
  <si>
    <t>Interest payable on deposits/ other liabilities</t>
  </si>
  <si>
    <t>Income tax liability</t>
  </si>
  <si>
    <t xml:space="preserve">Accounts payable and sundry creditors </t>
  </si>
  <si>
    <t>Income (interest &amp; fees) received in advance</t>
  </si>
  <si>
    <t>Interest free deposits from H.O. for provision</t>
  </si>
  <si>
    <t>Loans from H.O towards excess in Large Exposures</t>
  </si>
  <si>
    <t>Subordinated borrowings/ deposits</t>
  </si>
  <si>
    <t>Acceptances</t>
  </si>
  <si>
    <t>All other borrowings</t>
  </si>
  <si>
    <t>NEGATIVE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</si>
  <si>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</si>
  <si>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</si>
  <si>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</si>
  <si>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</si>
  <si>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</si>
  <si>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</si>
  <si>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</si>
  <si>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CAPITAL &amp; RESERVES</t>
  </si>
  <si>
    <t>Paid-up Capital</t>
  </si>
  <si>
    <t>30.1.1</t>
  </si>
  <si>
    <t>Share capital</t>
  </si>
  <si>
    <t>30.1.2</t>
  </si>
  <si>
    <t xml:space="preserve">Treasury shares held </t>
  </si>
  <si>
    <t>30.1.3</t>
  </si>
  <si>
    <t>Share premium</t>
  </si>
  <si>
    <t>Reserve Funds</t>
  </si>
  <si>
    <t>30.2.1</t>
  </si>
  <si>
    <t>Statutory/ legal reserves</t>
  </si>
  <si>
    <t>30.2.2</t>
  </si>
  <si>
    <t>Asset Revaluation Reserve</t>
  </si>
  <si>
    <t>30.2.3</t>
  </si>
  <si>
    <t xml:space="preserve">Accumulated other comprehensive income </t>
  </si>
  <si>
    <t>30.2.4</t>
  </si>
  <si>
    <t>Currency reserves</t>
  </si>
  <si>
    <t>30.2.5</t>
  </si>
  <si>
    <t>Other reserves</t>
  </si>
  <si>
    <t>30.2.6</t>
  </si>
  <si>
    <t xml:space="preserve">Retained earnings </t>
  </si>
  <si>
    <t>30.2.7</t>
  </si>
  <si>
    <t xml:space="preserve">Current year's profit/ (loss) </t>
  </si>
  <si>
    <t>Non controlling interest</t>
  </si>
  <si>
    <t>Instruments such as Perpetual Notes</t>
  </si>
  <si>
    <t>TOTAL LIABILITIES, CAPITAL &amp; RESERVES</t>
  </si>
  <si>
    <t>Memorandum Accounts</t>
  </si>
  <si>
    <t>Letter of Credit</t>
  </si>
  <si>
    <t>Letter of Guarantee</t>
  </si>
  <si>
    <t>Commitments</t>
  </si>
  <si>
    <t>Others</t>
  </si>
  <si>
    <t>Derivatives (Notional Value)</t>
  </si>
  <si>
    <t>Total</t>
  </si>
  <si>
    <t>Form No: BRF 208 - CONS. BALANCESHEET/DEC 2020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</si>
</sst>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(* #,##0_);_(* \(#,##0\);_(* &quot;-&quot;??_);_(@_)"/>
  </numFmts>
  <fonts count="32">
    <font>
      <sz val="11"/>
      <color theme="1"/>
      <name val="Calibri"/>
      <family val="2"/>
      <charset val="0"/>
      <scheme val="minor"/>
    </font>
    <font>
      <b/>
      <sz val="8"/>
      <color indexed="8"/>
      <name val="Ariel"/>
      <charset val="0"/>
    </font>
    <font>
      <sz val="8"/>
      <color indexed="8"/>
      <name val="Arial"/>
      <family val="2"/>
      <charset val="0"/>
    </font>
    <font>
      <sz val="8"/>
      <color indexed="8"/>
      <name val="Ariel"/>
      <charset val="0"/>
    </font>
    <font>
      <sz val="8"/>
      <color theme="1"/>
      <name val="Ariel"/>
      <charset val="0"/>
    </font>
    <font>
      <b/>
      <sz val="8"/>
      <color theme="0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sz val="8"/>
      <color theme="0"/>
      <name val="Arial"/>
      <family val="2"/>
      <charset val="0"/>
    </font>
    <font>
      <b/>
      <sz val="8"/>
      <name val="Ariel"/>
      <charset val="0"/>
    </font>
    <font>
      <sz val="8"/>
      <name val="Ariel"/>
      <charset val="0"/>
    </font>
    <font>
      <b/>
      <sz val="8"/>
      <color theme="1"/>
      <name val="Ariel"/>
      <charset val="0"/>
    </font>
    <font>
      <b/>
      <sz val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sz val="11"/>
      <color indexed="8"/>
      <name val="Calibri"/>
      <family val="2"/>
      <charset val="0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0" fillId="5" borderId="21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2" applyNumberFormat="0" applyFill="0" applyAlignment="0" applyProtection="0"/>
    <xf numFmtId="0" fontId="18" fillId="0" borderId="23" applyNumberFormat="0" applyFill="0" applyAlignment="0" applyProtection="0"/>
    <xf numFmtId="0" fontId="19" fillId="0" borderId="24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25" applyNumberFormat="0" applyAlignment="0" applyProtection="0"/>
    <xf numFmtId="0" fontId="21" fillId="7" borderId="26" applyNumberFormat="0" applyAlignment="0" applyProtection="0"/>
    <xf numFmtId="0" fontId="22" fillId="7" borderId="25" applyNumberFormat="0" applyAlignment="0" applyProtection="0"/>
    <xf numFmtId="0" fontId="23" fillId="8" borderId="27" applyNumberFormat="0" applyAlignment="0" applyProtection="0"/>
    <xf numFmtId="0" fontId="24" fillId="0" borderId="28" applyNumberFormat="0" applyFill="0" applyAlignment="0" applyProtection="0"/>
    <xf numFmtId="0" fontId="25" fillId="0" borderId="29" applyNumberFormat="0" applyFill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6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6" fillId="35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1" fillId="0" borderId="0"/>
    <xf numFmtId="0" fontId="31" fillId="0" borderId="0"/>
  </cellStyleXfs>
  <cellXfs count="70">
    <xf numFmtId="0" fontId="0" fillId="0" borderId="0" xfId="0"/>
    <xf numFmtId="0" fontId="0" fillId="0" borderId="0" xfId="0" applyProtection="1"/>
    <xf numFmtId="0" fontId="1" fillId="0" borderId="1" xfId="0" applyFont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wrapText="1"/>
    </xf>
    <xf numFmtId="0" fontId="3" fillId="3" borderId="4" xfId="0" applyFont="1" applyFill="1" applyBorder="1" applyAlignment="1" applyProtection="1">
      <alignment horizontal="center" wrapText="1"/>
    </xf>
    <xf numFmtId="0" fontId="3" fillId="3" borderId="5" xfId="0" applyFont="1" applyFill="1" applyBorder="1" applyAlignment="1" applyProtection="1">
      <alignment horizontal="center" wrapText="1"/>
    </xf>
    <xf numFmtId="0" fontId="3" fillId="4" borderId="6" xfId="0" applyFont="1" applyFill="1" applyBorder="1" applyAlignment="1" applyProtection="1">
      <alignment horizontal="center" wrapText="1"/>
    </xf>
    <xf numFmtId="0" fontId="4" fillId="0" borderId="3" xfId="0" applyFont="1" applyBorder="1" applyAlignment="1" applyProtection="1">
      <alignment horizontal="center"/>
    </xf>
    <xf numFmtId="0" fontId="4" fillId="0" borderId="4" xfId="0" applyFont="1" applyBorder="1" applyAlignment="1" applyProtection="1">
      <alignment horizontal="center"/>
    </xf>
    <xf numFmtId="0" fontId="3" fillId="3" borderId="7" xfId="0" applyFont="1" applyFill="1" applyBorder="1" applyAlignment="1" applyProtection="1">
      <alignment horizontal="center" wrapText="1"/>
    </xf>
    <xf numFmtId="0" fontId="3" fillId="3" borderId="0" xfId="0" applyFont="1" applyFill="1" applyBorder="1" applyAlignment="1" applyProtection="1">
      <alignment horizontal="center" wrapText="1"/>
    </xf>
    <xf numFmtId="0" fontId="4" fillId="0" borderId="5" xfId="0" applyFont="1" applyBorder="1" applyAlignment="1" applyProtection="1">
      <alignment horizontal="center"/>
    </xf>
    <xf numFmtId="0" fontId="4" fillId="0" borderId="8" xfId="0" applyFont="1" applyBorder="1" applyAlignment="1" applyProtection="1">
      <alignment horizontal="center"/>
    </xf>
    <xf numFmtId="0" fontId="5" fillId="4" borderId="3" xfId="50" applyFont="1" applyFill="1" applyBorder="1" applyAlignment="1" applyProtection="1">
      <alignment horizontal="center" vertical="center"/>
    </xf>
    <xf numFmtId="0" fontId="6" fillId="4" borderId="9" xfId="0" applyFont="1" applyFill="1" applyBorder="1" applyAlignment="1" applyProtection="1">
      <alignment horizontal="center" vertical="center"/>
    </xf>
    <xf numFmtId="0" fontId="7" fillId="0" borderId="9" xfId="52" applyFont="1" applyBorder="1" applyAlignment="1" applyProtection="1">
      <alignment vertical="center" wrapText="1"/>
    </xf>
    <xf numFmtId="0" fontId="3" fillId="3" borderId="9" xfId="0" applyFont="1" applyFill="1" applyBorder="1" applyAlignment="1" applyProtection="1">
      <alignment horizontal="center" wrapText="1"/>
    </xf>
    <xf numFmtId="0" fontId="1" fillId="2" borderId="10" xfId="0" applyFont="1" applyFill="1" applyBorder="1" applyAlignment="1" applyProtection="1">
      <alignment horizontal="center" vertical="center" wrapText="1"/>
    </xf>
    <xf numFmtId="0" fontId="1" fillId="2" borderId="11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" fillId="2" borderId="12" xfId="0" applyFont="1" applyFill="1" applyBorder="1" applyAlignment="1" applyProtection="1">
      <alignment horizontal="center" vertical="center" wrapText="1"/>
    </xf>
    <xf numFmtId="0" fontId="8" fillId="2" borderId="1" xfId="50" applyNumberFormat="1" applyFont="1" applyFill="1" applyBorder="1" applyAlignment="1" applyProtection="1">
      <alignment horizontal="center" vertical="center" wrapText="1"/>
    </xf>
    <xf numFmtId="0" fontId="8" fillId="2" borderId="1" xfId="50" applyFont="1" applyFill="1" applyBorder="1" applyAlignment="1" applyProtection="1">
      <alignment wrapText="1"/>
    </xf>
    <xf numFmtId="3" fontId="3" fillId="2" borderId="1" xfId="1" applyNumberFormat="1" applyFont="1" applyFill="1" applyBorder="1" applyAlignment="1" applyProtection="1">
      <alignment horizontal="right" wrapText="1"/>
    </xf>
    <xf numFmtId="0" fontId="1" fillId="0" borderId="1" xfId="51" applyNumberFormat="1" applyFont="1" applyFill="1" applyBorder="1" applyAlignment="1" applyProtection="1">
      <alignment horizontal="center" vertical="center" wrapText="1"/>
    </xf>
    <xf numFmtId="0" fontId="3" fillId="0" borderId="1" xfId="51" applyNumberFormat="1" applyFont="1" applyFill="1" applyBorder="1" applyAlignment="1" applyProtection="1">
      <alignment horizontal="center" vertical="center" wrapText="1"/>
    </xf>
    <xf numFmtId="0" fontId="3" fillId="0" borderId="1" xfId="51" applyFont="1" applyFill="1" applyBorder="1" applyAlignment="1" applyProtection="1">
      <alignment wrapText="1"/>
    </xf>
    <xf numFmtId="3" fontId="3" fillId="0" borderId="1" xfId="1" applyNumberFormat="1" applyFont="1" applyFill="1" applyBorder="1" applyAlignment="1" applyProtection="1">
      <alignment horizontal="right" wrapText="1"/>
      <protection locked="0"/>
    </xf>
    <xf numFmtId="0" fontId="9" fillId="0" borderId="1" xfId="49" applyFont="1" applyFill="1" applyBorder="1" applyProtection="1"/>
    <xf numFmtId="0" fontId="9" fillId="0" borderId="1" xfId="50" applyFont="1" applyFill="1" applyBorder="1" applyAlignment="1" applyProtection="1">
      <alignment horizontal="left" wrapText="1"/>
    </xf>
    <xf numFmtId="0" fontId="8" fillId="0" borderId="1" xfId="50" applyNumberFormat="1" applyFont="1" applyFill="1" applyBorder="1" applyAlignment="1" applyProtection="1">
      <alignment horizontal="center" vertical="center" wrapText="1"/>
    </xf>
    <xf numFmtId="0" fontId="8" fillId="0" borderId="1" xfId="50" applyFont="1" applyFill="1" applyBorder="1" applyAlignment="1" applyProtection="1">
      <alignment wrapText="1"/>
    </xf>
    <xf numFmtId="3" fontId="3" fillId="4" borderId="1" xfId="1" applyNumberFormat="1" applyFont="1" applyFill="1" applyBorder="1" applyAlignment="1" applyProtection="1">
      <alignment horizontal="right" wrapText="1"/>
      <protection locked="0"/>
    </xf>
    <xf numFmtId="0" fontId="3" fillId="4" borderId="1" xfId="51" applyFont="1" applyFill="1" applyBorder="1" applyAlignment="1" applyProtection="1">
      <alignment wrapText="1"/>
    </xf>
    <xf numFmtId="0" fontId="10" fillId="2" borderId="1" xfId="50" applyFont="1" applyFill="1" applyBorder="1" applyAlignment="1" applyProtection="1">
      <alignment wrapText="1"/>
    </xf>
    <xf numFmtId="0" fontId="3" fillId="3" borderId="8" xfId="0" applyFont="1" applyFill="1" applyBorder="1" applyAlignment="1" applyProtection="1">
      <alignment horizontal="center" wrapText="1"/>
    </xf>
    <xf numFmtId="0" fontId="3" fillId="3" borderId="13" xfId="0" applyFont="1" applyFill="1" applyBorder="1" applyAlignment="1" applyProtection="1">
      <alignment horizontal="center" wrapText="1"/>
    </xf>
    <xf numFmtId="0" fontId="3" fillId="4" borderId="9" xfId="0" applyFont="1" applyFill="1" applyBorder="1" applyAlignment="1" applyProtection="1">
      <alignment horizontal="center" wrapText="1"/>
    </xf>
    <xf numFmtId="0" fontId="3" fillId="0" borderId="1" xfId="51" applyFont="1" applyFill="1" applyBorder="1" applyAlignment="1" applyProtection="1"/>
    <xf numFmtId="0" fontId="3" fillId="0" borderId="1" xfId="51" applyNumberFormat="1" applyFont="1" applyFill="1" applyBorder="1" applyAlignment="1" applyProtection="1">
      <alignment horizontal="center" vertical="center"/>
    </xf>
    <xf numFmtId="0" fontId="9" fillId="0" borderId="1" xfId="53" applyNumberFormat="1" applyFont="1" applyFill="1" applyBorder="1" applyAlignment="1" applyProtection="1">
      <alignment horizontal="center" vertical="center"/>
    </xf>
    <xf numFmtId="0" fontId="3" fillId="0" borderId="1" xfId="54" applyNumberFormat="1" applyFont="1" applyFill="1" applyBorder="1" applyAlignment="1" applyProtection="1">
      <alignment horizontal="center" vertical="center"/>
    </xf>
    <xf numFmtId="0" fontId="9" fillId="0" borderId="1" xfId="50" applyFont="1" applyFill="1" applyBorder="1" applyAlignment="1" applyProtection="1">
      <alignment wrapText="1"/>
    </xf>
    <xf numFmtId="0" fontId="9" fillId="0" borderId="1" xfId="50" applyNumberFormat="1" applyFont="1" applyFill="1" applyBorder="1" applyAlignment="1" applyProtection="1">
      <alignment horizontal="center" vertical="center"/>
    </xf>
    <xf numFmtId="0" fontId="3" fillId="0" borderId="1" xfId="50" applyFont="1" applyFill="1" applyBorder="1" applyAlignment="1" applyProtection="1">
      <alignment wrapText="1"/>
    </xf>
    <xf numFmtId="0" fontId="1" fillId="2" borderId="1" xfId="51" applyNumberFormat="1" applyFont="1" applyFill="1" applyBorder="1" applyAlignment="1" applyProtection="1">
      <alignment horizontal="center" vertical="center" wrapText="1"/>
    </xf>
    <xf numFmtId="0" fontId="9" fillId="0" borderId="1" xfId="51" applyFont="1" applyFill="1" applyBorder="1" applyAlignment="1" applyProtection="1">
      <alignment horizontal="left" wrapText="1"/>
    </xf>
    <xf numFmtId="0" fontId="1" fillId="0" borderId="1" xfId="51" applyFont="1" applyFill="1" applyBorder="1" applyAlignment="1" applyProtection="1">
      <alignment wrapText="1"/>
    </xf>
    <xf numFmtId="0" fontId="11" fillId="2" borderId="1" xfId="50" applyNumberFormat="1" applyFont="1" applyFill="1" applyBorder="1" applyAlignment="1" applyProtection="1">
      <alignment horizontal="center" vertical="center" wrapText="1"/>
    </xf>
    <xf numFmtId="0" fontId="11" fillId="2" borderId="1" xfId="50" applyFont="1" applyFill="1" applyBorder="1" applyAlignment="1" applyProtection="1">
      <alignment wrapText="1"/>
    </xf>
    <xf numFmtId="3" fontId="3" fillId="2" borderId="14" xfId="1" applyNumberFormat="1" applyFont="1" applyFill="1" applyBorder="1" applyAlignment="1" applyProtection="1">
      <alignment horizontal="right" wrapText="1"/>
    </xf>
    <xf numFmtId="0" fontId="3" fillId="2" borderId="15" xfId="0" applyNumberFormat="1" applyFont="1" applyFill="1" applyBorder="1" applyAlignment="1" applyProtection="1">
      <alignment horizontal="center" vertical="center" wrapText="1"/>
    </xf>
    <xf numFmtId="0" fontId="3" fillId="2" borderId="16" xfId="0" applyNumberFormat="1" applyFont="1" applyFill="1" applyBorder="1" applyAlignment="1" applyProtection="1">
      <alignment horizontal="center" vertical="center" wrapText="1"/>
    </xf>
    <xf numFmtId="0" fontId="1" fillId="2" borderId="17" xfId="0" applyFont="1" applyFill="1" applyBorder="1" applyAlignment="1" applyProtection="1">
      <alignment horizontal="left" wrapText="1"/>
    </xf>
    <xf numFmtId="3" fontId="1" fillId="2" borderId="1" xfId="1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8" xfId="0" applyFont="1" applyFill="1" applyBorder="1" applyAlignment="1" applyProtection="1">
      <alignment horizontal="left" wrapText="1"/>
    </xf>
    <xf numFmtId="3" fontId="3" fillId="0" borderId="17" xfId="1" applyNumberFormat="1" applyFont="1" applyFill="1" applyBorder="1" applyAlignment="1" applyProtection="1">
      <alignment horizontal="right" wrapText="1"/>
      <protection locked="0"/>
    </xf>
    <xf numFmtId="0" fontId="3" fillId="0" borderId="19" xfId="0" applyFont="1" applyFill="1" applyBorder="1" applyAlignment="1" applyProtection="1">
      <alignment horizontal="left" wrapText="1"/>
    </xf>
    <xf numFmtId="3" fontId="3" fillId="0" borderId="16" xfId="1" applyNumberFormat="1" applyFont="1" applyFill="1" applyBorder="1" applyAlignment="1" applyProtection="1">
      <alignment horizontal="right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1" fillId="2" borderId="18" xfId="0" applyFont="1" applyFill="1" applyBorder="1" applyAlignment="1" applyProtection="1">
      <alignment horizontal="left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3" borderId="20" xfId="0" applyFont="1" applyFill="1" applyBorder="1" applyAlignment="1" applyProtection="1">
      <alignment horizontal="left"/>
    </xf>
    <xf numFmtId="176" fontId="3" fillId="0" borderId="1" xfId="1" applyNumberFormat="1" applyFont="1" applyFill="1" applyBorder="1" applyAlignment="1" applyProtection="1">
      <alignment horizontal="right" wrapText="1"/>
    </xf>
    <xf numFmtId="3" fontId="3" fillId="2" borderId="17" xfId="1" applyNumberFormat="1" applyFont="1" applyFill="1" applyBorder="1" applyAlignment="1" applyProtection="1">
      <alignment horizontal="right" wrapText="1"/>
    </xf>
    <xf numFmtId="3" fontId="3" fillId="2" borderId="16" xfId="1" applyNumberFormat="1" applyFont="1" applyFill="1" applyBorder="1" applyAlignment="1" applyProtection="1">
      <alignment horizontal="right" wrapText="1"/>
    </xf>
    <xf numFmtId="1" fontId="3" fillId="0" borderId="1" xfId="1" applyNumberFormat="1" applyFont="1" applyFill="1" applyBorder="1" applyAlignment="1" applyProtection="1">
      <alignment horizontal="right" wrapText="1"/>
    </xf>
    <xf numFmtId="1" fontId="4" fillId="0" borderId="1" xfId="1" applyNumberFormat="1" applyFont="1" applyBorder="1" applyProtection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 6" xfId="52"/>
    <cellStyle name="Normal_Sheet1" xfId="53"/>
    <cellStyle name="Normal_Sheet2" xfId="54"/>
  </cellStyles>
  <tableStyles count="0" defaultTableStyle="TableStyleMedium2" defaultPivotStyle="PivotStyleLight16"/>
  <colors>
    <mruColors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N106"/>
  <sheetViews>
    <sheetView showGridLines="0" tabSelected="1" zoomScaleSheetLayoutView="60" workbookViewId="0">
      <selection activeCell="E9" sqref="E9"/>
    </sheetView>
  </sheetViews>
  <sheetFormatPr defaultColWidth="0" defaultRowHeight="15" zeroHeight="1"/>
  <cols>
    <col min="1" max="1" width="1.70909090909091" style="1" customWidth="1"/>
    <col min="2" max="2" width="5.42727272727273" style="1"/>
    <col min="3" max="3" width="5.28181818181818" style="1"/>
    <col min="4" max="4" width="49" style="1" customWidth="1"/>
    <col min="5" max="14" width="14.7090909090909" style="1" customWidth="1"/>
    <col min="15" max="15" width="9.13636363636364" style="1" customWidth="1"/>
    <col min="16" max="16384" width="9.13636363636364" style="1" hidden="1"/>
  </cols>
  <sheetData>
    <row r="1" ht="14.5"/>
    <row r="2" ht="14.5" spans="2:1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5" spans="2:14">
      <c r="B3" s="3" t="s">
        <v>1</v>
      </c>
      <c r="C3" s="4" t="s">
        <v>2</v>
      </c>
      <c r="D3" s="5"/>
      <c r="E3" s="6"/>
      <c r="F3" s="7"/>
      <c r="G3" s="7"/>
      <c r="H3" s="7"/>
      <c r="I3" s="7"/>
      <c r="J3" s="7"/>
      <c r="K3" s="7"/>
      <c r="L3" s="7"/>
      <c r="M3" s="7"/>
      <c r="N3" s="36"/>
    </row>
    <row r="4" ht="14.5" spans="2:14">
      <c r="B4" s="3" t="s">
        <v>3</v>
      </c>
      <c r="C4" s="8" t="s">
        <v>4</v>
      </c>
      <c r="D4" s="9"/>
      <c r="E4" s="10"/>
      <c r="F4" s="11"/>
      <c r="G4" s="11"/>
      <c r="H4" s="11"/>
      <c r="I4" s="11"/>
      <c r="J4" s="11"/>
      <c r="K4" s="11"/>
      <c r="L4" s="11"/>
      <c r="M4" s="11"/>
      <c r="N4" s="37"/>
    </row>
    <row r="5" ht="14.5" spans="2:14">
      <c r="B5" s="3" t="s">
        <v>5</v>
      </c>
      <c r="C5" s="12"/>
      <c r="D5" s="13"/>
      <c r="E5" s="10"/>
      <c r="F5" s="11"/>
      <c r="G5" s="11"/>
      <c r="H5" s="11"/>
      <c r="I5" s="11"/>
      <c r="J5" s="11"/>
      <c r="K5" s="11"/>
      <c r="L5" s="11"/>
      <c r="M5" s="11"/>
      <c r="N5" s="37"/>
    </row>
    <row r="6" ht="14.5" spans="2:14">
      <c r="B6" s="14"/>
      <c r="C6" s="15"/>
      <c r="D6" s="16"/>
      <c r="E6" s="17"/>
      <c r="F6" s="17"/>
      <c r="G6" s="17"/>
      <c r="H6" s="17"/>
      <c r="I6" s="17"/>
      <c r="J6" s="17"/>
      <c r="K6" s="17"/>
      <c r="L6" s="38"/>
      <c r="M6" s="38"/>
      <c r="N6" s="5"/>
    </row>
    <row r="7" ht="189" spans="2:14">
      <c r="B7" s="18" t="s">
        <v>6</v>
      </c>
      <c r="C7" s="19"/>
      <c r="D7" s="19" t="s">
        <v>7</v>
      </c>
      <c r="E7" s="19" t="s">
        <v>8</v>
      </c>
      <c r="F7" s="20" t="s">
        <v>9</v>
      </c>
      <c r="G7" s="21" t="s">
        <v>10</v>
      </c>
      <c r="H7" s="21" t="s">
        <v>11</v>
      </c>
      <c r="I7" s="21" t="s">
        <v>12</v>
      </c>
      <c r="J7" s="21" t="s">
        <v>13</v>
      </c>
      <c r="K7" s="21" t="s">
        <v>14</v>
      </c>
      <c r="L7" s="21" t="s">
        <v>15</v>
      </c>
      <c r="M7" s="21" t="s">
        <v>16</v>
      </c>
      <c r="N7" s="21" t="s">
        <v>17</v>
      </c>
    </row>
    <row r="8" ht="14.5" spans="2:14">
      <c r="B8" s="22">
        <v>16</v>
      </c>
      <c r="C8" s="22"/>
      <c r="D8" s="23" t="s">
        <v>18</v>
      </c>
      <c r="E8" s="24">
        <f t="shared" ref="E8:J8" si="0">SUM(E9:E12)</f>
        <v>0</v>
      </c>
      <c r="F8" s="24">
        <f t="shared" si="0"/>
        <v>0</v>
      </c>
      <c r="G8" s="24">
        <f t="shared" si="0"/>
        <v>0</v>
      </c>
      <c r="H8" s="24">
        <f t="shared" si="0"/>
        <v>0</v>
      </c>
      <c r="I8" s="24">
        <f t="shared" si="0"/>
        <v>0</v>
      </c>
      <c r="J8" s="24">
        <f t="shared" si="0"/>
        <v>0</v>
      </c>
      <c r="K8" s="24">
        <f>SUM(E8:J8)</f>
        <v>0</v>
      </c>
      <c r="L8" s="24">
        <f>SUM(L9:L12)</f>
        <v>0</v>
      </c>
      <c r="M8" s="24">
        <f>SUM(M9:M12)</f>
        <v>0</v>
      </c>
      <c r="N8" s="24">
        <f>SUM(K8:M8)</f>
        <v>0</v>
      </c>
    </row>
    <row r="9" ht="14.5" spans="2:14">
      <c r="B9" s="25"/>
      <c r="C9" s="26">
        <v>16.1</v>
      </c>
      <c r="D9" s="27" t="s">
        <v>19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4">
        <f t="shared" ref="K9:K72" si="1">SUM(E9:J9)</f>
        <v>0</v>
      </c>
      <c r="L9" s="28">
        <v>0</v>
      </c>
      <c r="M9" s="28">
        <v>0</v>
      </c>
      <c r="N9" s="24">
        <f t="shared" ref="N9:N53" si="2">SUM(K9:M9)</f>
        <v>0</v>
      </c>
    </row>
    <row r="10" ht="14.5" spans="2:14">
      <c r="B10" s="25"/>
      <c r="C10" s="26">
        <v>16.2</v>
      </c>
      <c r="D10" s="27" t="s">
        <v>20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4">
        <f t="shared" si="1"/>
        <v>0</v>
      </c>
      <c r="L10" s="28">
        <v>0</v>
      </c>
      <c r="M10" s="28">
        <v>0</v>
      </c>
      <c r="N10" s="24">
        <f t="shared" si="2"/>
        <v>0</v>
      </c>
    </row>
    <row r="11" ht="14.5" spans="2:14">
      <c r="B11" s="25"/>
      <c r="C11" s="26">
        <v>16.3</v>
      </c>
      <c r="D11" s="27" t="s">
        <v>21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4">
        <f t="shared" si="1"/>
        <v>0</v>
      </c>
      <c r="L11" s="28">
        <v>0</v>
      </c>
      <c r="M11" s="28">
        <v>0</v>
      </c>
      <c r="N11" s="24">
        <f t="shared" si="2"/>
        <v>0</v>
      </c>
    </row>
    <row r="12" ht="14.5" spans="2:14">
      <c r="B12" s="25"/>
      <c r="C12" s="26">
        <v>16.4</v>
      </c>
      <c r="D12" s="27" t="s">
        <v>22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4">
        <f t="shared" si="1"/>
        <v>0</v>
      </c>
      <c r="L12" s="28">
        <v>0</v>
      </c>
      <c r="M12" s="28">
        <v>0</v>
      </c>
      <c r="N12" s="24">
        <f t="shared" si="2"/>
        <v>0</v>
      </c>
    </row>
    <row r="13" ht="14.5" spans="2:14">
      <c r="B13" s="22">
        <v>17</v>
      </c>
      <c r="C13" s="22"/>
      <c r="D13" s="23" t="s">
        <v>23</v>
      </c>
      <c r="E13" s="24">
        <f t="shared" ref="E13:J13" si="3">SUM(E14:E17)</f>
        <v>0</v>
      </c>
      <c r="F13" s="24">
        <f t="shared" si="3"/>
        <v>0</v>
      </c>
      <c r="G13" s="24">
        <f t="shared" si="3"/>
        <v>0</v>
      </c>
      <c r="H13" s="24">
        <f t="shared" si="3"/>
        <v>0</v>
      </c>
      <c r="I13" s="24">
        <f t="shared" si="3"/>
        <v>0</v>
      </c>
      <c r="J13" s="24">
        <f t="shared" si="3"/>
        <v>0</v>
      </c>
      <c r="K13" s="24">
        <f t="shared" si="1"/>
        <v>0</v>
      </c>
      <c r="L13" s="24">
        <f>SUM(L14:L17)</f>
        <v>0</v>
      </c>
      <c r="M13" s="24">
        <f>SUM(M14:M17)</f>
        <v>0</v>
      </c>
      <c r="N13" s="24">
        <f t="shared" si="2"/>
        <v>0</v>
      </c>
    </row>
    <row r="14" ht="14.5" spans="2:14">
      <c r="B14" s="25"/>
      <c r="C14" s="26">
        <v>17.1</v>
      </c>
      <c r="D14" s="27" t="s">
        <v>19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4">
        <f t="shared" si="1"/>
        <v>0</v>
      </c>
      <c r="L14" s="28">
        <v>0</v>
      </c>
      <c r="M14" s="28">
        <v>0</v>
      </c>
      <c r="N14" s="24">
        <f t="shared" si="2"/>
        <v>0</v>
      </c>
    </row>
    <row r="15" ht="14.5" spans="2:14">
      <c r="B15" s="25"/>
      <c r="C15" s="26">
        <v>17.2</v>
      </c>
      <c r="D15" s="27" t="s">
        <v>20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4">
        <f t="shared" si="1"/>
        <v>0</v>
      </c>
      <c r="L15" s="28">
        <v>0</v>
      </c>
      <c r="M15" s="28">
        <v>0</v>
      </c>
      <c r="N15" s="24">
        <f t="shared" si="2"/>
        <v>0</v>
      </c>
    </row>
    <row r="16" ht="14.5" spans="2:14">
      <c r="B16" s="25"/>
      <c r="C16" s="26">
        <v>17.3</v>
      </c>
      <c r="D16" s="27" t="s">
        <v>21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4">
        <f t="shared" si="1"/>
        <v>0</v>
      </c>
      <c r="L16" s="28">
        <v>0</v>
      </c>
      <c r="M16" s="28">
        <v>0</v>
      </c>
      <c r="N16" s="24">
        <f t="shared" si="2"/>
        <v>0</v>
      </c>
    </row>
    <row r="17" ht="14.5" spans="2:14">
      <c r="B17" s="25"/>
      <c r="C17" s="26">
        <v>17.4</v>
      </c>
      <c r="D17" s="27" t="s">
        <v>22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4">
        <f t="shared" si="1"/>
        <v>0</v>
      </c>
      <c r="L17" s="28">
        <v>0</v>
      </c>
      <c r="M17" s="28">
        <v>0</v>
      </c>
      <c r="N17" s="24">
        <f t="shared" si="2"/>
        <v>0</v>
      </c>
    </row>
    <row r="18" ht="14.5" spans="2:14">
      <c r="B18" s="22">
        <v>18</v>
      </c>
      <c r="C18" s="22"/>
      <c r="D18" s="23" t="s">
        <v>24</v>
      </c>
      <c r="E18" s="24">
        <f t="shared" ref="E18:J18" si="4">E19+E24</f>
        <v>0</v>
      </c>
      <c r="F18" s="24">
        <f t="shared" si="4"/>
        <v>0</v>
      </c>
      <c r="G18" s="24">
        <f t="shared" si="4"/>
        <v>0</v>
      </c>
      <c r="H18" s="24">
        <f t="shared" si="4"/>
        <v>0</v>
      </c>
      <c r="I18" s="24">
        <f t="shared" si="4"/>
        <v>0</v>
      </c>
      <c r="J18" s="24">
        <f t="shared" si="4"/>
        <v>0</v>
      </c>
      <c r="K18" s="24">
        <f t="shared" si="1"/>
        <v>0</v>
      </c>
      <c r="L18" s="24">
        <f>L19+L24</f>
        <v>0</v>
      </c>
      <c r="M18" s="24">
        <f>M19+M24</f>
        <v>0</v>
      </c>
      <c r="N18" s="24">
        <f t="shared" si="2"/>
        <v>0</v>
      </c>
    </row>
    <row r="19" ht="14.5" spans="2:14">
      <c r="B19" s="22"/>
      <c r="C19" s="22">
        <v>18.1</v>
      </c>
      <c r="D19" s="23" t="s">
        <v>25</v>
      </c>
      <c r="E19" s="24">
        <f t="shared" ref="E19:J19" si="5">SUM(E20:E23)</f>
        <v>0</v>
      </c>
      <c r="F19" s="24">
        <f t="shared" si="5"/>
        <v>0</v>
      </c>
      <c r="G19" s="24">
        <f t="shared" si="5"/>
        <v>0</v>
      </c>
      <c r="H19" s="24">
        <f t="shared" si="5"/>
        <v>0</v>
      </c>
      <c r="I19" s="24">
        <f t="shared" si="5"/>
        <v>0</v>
      </c>
      <c r="J19" s="24">
        <f t="shared" si="5"/>
        <v>0</v>
      </c>
      <c r="K19" s="24">
        <f t="shared" si="1"/>
        <v>0</v>
      </c>
      <c r="L19" s="24">
        <f>SUM(L20:L23)</f>
        <v>0</v>
      </c>
      <c r="M19" s="24">
        <f>SUM(M20:M23)</f>
        <v>0</v>
      </c>
      <c r="N19" s="24">
        <f t="shared" si="2"/>
        <v>0</v>
      </c>
    </row>
    <row r="20" ht="14.5" spans="2:14">
      <c r="B20" s="25"/>
      <c r="C20" s="26" t="s">
        <v>26</v>
      </c>
      <c r="D20" s="29" t="s">
        <v>19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4">
        <f t="shared" si="1"/>
        <v>0</v>
      </c>
      <c r="L20" s="28">
        <v>0</v>
      </c>
      <c r="M20" s="28">
        <v>0</v>
      </c>
      <c r="N20" s="24">
        <f t="shared" si="2"/>
        <v>0</v>
      </c>
    </row>
    <row r="21" ht="14.5" spans="2:14">
      <c r="B21" s="25"/>
      <c r="C21" s="26" t="s">
        <v>27</v>
      </c>
      <c r="D21" s="27" t="s">
        <v>20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4">
        <f t="shared" si="1"/>
        <v>0</v>
      </c>
      <c r="L21" s="28">
        <v>0</v>
      </c>
      <c r="M21" s="28">
        <v>0</v>
      </c>
      <c r="N21" s="24">
        <f t="shared" si="2"/>
        <v>0</v>
      </c>
    </row>
    <row r="22" ht="14.5" spans="2:14">
      <c r="B22" s="25"/>
      <c r="C22" s="26" t="s">
        <v>28</v>
      </c>
      <c r="D22" s="27" t="s">
        <v>21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4">
        <f t="shared" si="1"/>
        <v>0</v>
      </c>
      <c r="L22" s="28">
        <v>0</v>
      </c>
      <c r="M22" s="28">
        <v>0</v>
      </c>
      <c r="N22" s="24">
        <f t="shared" si="2"/>
        <v>0</v>
      </c>
    </row>
    <row r="23" ht="14.5" spans="2:14">
      <c r="B23" s="25"/>
      <c r="C23" s="26" t="s">
        <v>29</v>
      </c>
      <c r="D23" s="27" t="s">
        <v>22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4">
        <f t="shared" si="1"/>
        <v>0</v>
      </c>
      <c r="L23" s="28">
        <v>0</v>
      </c>
      <c r="M23" s="28">
        <v>0</v>
      </c>
      <c r="N23" s="24">
        <f t="shared" si="2"/>
        <v>0</v>
      </c>
    </row>
    <row r="24" ht="14.5" spans="2:14">
      <c r="B24" s="22"/>
      <c r="C24" s="22">
        <v>18.2</v>
      </c>
      <c r="D24" s="23" t="s">
        <v>30</v>
      </c>
      <c r="E24" s="24">
        <f t="shared" ref="E24:J24" si="6">SUM(E25:E28)</f>
        <v>0</v>
      </c>
      <c r="F24" s="24">
        <f t="shared" si="6"/>
        <v>0</v>
      </c>
      <c r="G24" s="24">
        <f t="shared" si="6"/>
        <v>0</v>
      </c>
      <c r="H24" s="24">
        <f t="shared" si="6"/>
        <v>0</v>
      </c>
      <c r="I24" s="24">
        <f t="shared" si="6"/>
        <v>0</v>
      </c>
      <c r="J24" s="24">
        <f t="shared" si="6"/>
        <v>0</v>
      </c>
      <c r="K24" s="24">
        <f t="shared" si="1"/>
        <v>0</v>
      </c>
      <c r="L24" s="24">
        <f>SUM(L25:L28)</f>
        <v>0</v>
      </c>
      <c r="M24" s="24">
        <f>SUM(M25:M28)</f>
        <v>0</v>
      </c>
      <c r="N24" s="24">
        <f t="shared" si="2"/>
        <v>0</v>
      </c>
    </row>
    <row r="25" ht="14.5" spans="2:14">
      <c r="B25" s="25"/>
      <c r="C25" s="26" t="s">
        <v>31</v>
      </c>
      <c r="D25" s="29" t="s">
        <v>19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4">
        <f t="shared" si="1"/>
        <v>0</v>
      </c>
      <c r="L25" s="28">
        <v>0</v>
      </c>
      <c r="M25" s="28">
        <v>0</v>
      </c>
      <c r="N25" s="24">
        <f t="shared" si="2"/>
        <v>0</v>
      </c>
    </row>
    <row r="26" ht="14.5" spans="2:14">
      <c r="B26" s="25"/>
      <c r="C26" s="26" t="s">
        <v>32</v>
      </c>
      <c r="D26" s="27" t="s">
        <v>20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4">
        <f t="shared" si="1"/>
        <v>0</v>
      </c>
      <c r="L26" s="28">
        <v>0</v>
      </c>
      <c r="M26" s="28">
        <v>0</v>
      </c>
      <c r="N26" s="24">
        <f t="shared" si="2"/>
        <v>0</v>
      </c>
    </row>
    <row r="27" ht="14.5" spans="2:14">
      <c r="B27" s="25"/>
      <c r="C27" s="26" t="s">
        <v>33</v>
      </c>
      <c r="D27" s="27" t="s">
        <v>21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4">
        <f t="shared" si="1"/>
        <v>0</v>
      </c>
      <c r="L27" s="28">
        <v>0</v>
      </c>
      <c r="M27" s="28">
        <v>0</v>
      </c>
      <c r="N27" s="24">
        <f t="shared" si="2"/>
        <v>0</v>
      </c>
    </row>
    <row r="28" ht="14.5" spans="2:14">
      <c r="B28" s="25"/>
      <c r="C28" s="26" t="s">
        <v>34</v>
      </c>
      <c r="D28" s="27" t="s">
        <v>22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4">
        <f t="shared" si="1"/>
        <v>0</v>
      </c>
      <c r="L28" s="28">
        <v>0</v>
      </c>
      <c r="M28" s="28">
        <v>0</v>
      </c>
      <c r="N28" s="24">
        <f t="shared" si="2"/>
        <v>0</v>
      </c>
    </row>
    <row r="29" ht="14.5" spans="2:14">
      <c r="B29" s="22">
        <v>19</v>
      </c>
      <c r="C29" s="22"/>
      <c r="D29" s="23" t="s">
        <v>35</v>
      </c>
      <c r="E29" s="24">
        <f t="shared" ref="E29:J29" si="7">SUM(E30:E33)</f>
        <v>0</v>
      </c>
      <c r="F29" s="24">
        <f t="shared" si="7"/>
        <v>0</v>
      </c>
      <c r="G29" s="24">
        <f t="shared" si="7"/>
        <v>0</v>
      </c>
      <c r="H29" s="24">
        <f t="shared" si="7"/>
        <v>0</v>
      </c>
      <c r="I29" s="24">
        <f t="shared" si="7"/>
        <v>0</v>
      </c>
      <c r="J29" s="24">
        <f t="shared" si="7"/>
        <v>0</v>
      </c>
      <c r="K29" s="24">
        <f t="shared" si="1"/>
        <v>0</v>
      </c>
      <c r="L29" s="24">
        <f>SUM(L30:L33)</f>
        <v>0</v>
      </c>
      <c r="M29" s="24">
        <f>SUM(M30:M33)</f>
        <v>0</v>
      </c>
      <c r="N29" s="24">
        <f t="shared" si="2"/>
        <v>0</v>
      </c>
    </row>
    <row r="30" ht="14.5" spans="2:14">
      <c r="B30" s="25"/>
      <c r="C30" s="26">
        <v>19.1</v>
      </c>
      <c r="D30" s="30" t="s">
        <v>36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4">
        <f t="shared" si="1"/>
        <v>0</v>
      </c>
      <c r="L30" s="28">
        <v>0</v>
      </c>
      <c r="M30" s="28">
        <v>0</v>
      </c>
      <c r="N30" s="24">
        <f t="shared" si="2"/>
        <v>0</v>
      </c>
    </row>
    <row r="31" ht="14.5" spans="2:14">
      <c r="B31" s="25"/>
      <c r="C31" s="26">
        <v>19.2</v>
      </c>
      <c r="D31" s="27" t="s">
        <v>19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4">
        <f t="shared" si="1"/>
        <v>0</v>
      </c>
      <c r="L31" s="28">
        <v>0</v>
      </c>
      <c r="M31" s="28">
        <v>0</v>
      </c>
      <c r="N31" s="24">
        <f t="shared" si="2"/>
        <v>0</v>
      </c>
    </row>
    <row r="32" ht="14.5" spans="2:14">
      <c r="B32" s="25"/>
      <c r="C32" s="26">
        <v>19.3</v>
      </c>
      <c r="D32" s="27" t="s">
        <v>37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4">
        <f t="shared" si="1"/>
        <v>0</v>
      </c>
      <c r="L32" s="28">
        <v>0</v>
      </c>
      <c r="M32" s="28">
        <v>0</v>
      </c>
      <c r="N32" s="24">
        <f t="shared" si="2"/>
        <v>0</v>
      </c>
    </row>
    <row r="33" ht="14.5" spans="2:14">
      <c r="B33" s="25"/>
      <c r="C33" s="26">
        <v>19.4</v>
      </c>
      <c r="D33" s="27" t="s">
        <v>38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4">
        <f t="shared" si="1"/>
        <v>0</v>
      </c>
      <c r="L33" s="28">
        <v>0</v>
      </c>
      <c r="M33" s="28">
        <v>0</v>
      </c>
      <c r="N33" s="24">
        <f t="shared" si="2"/>
        <v>0</v>
      </c>
    </row>
    <row r="34" ht="14.5" spans="2:14">
      <c r="B34" s="22">
        <v>20</v>
      </c>
      <c r="C34" s="22"/>
      <c r="D34" s="23" t="s">
        <v>39</v>
      </c>
      <c r="E34" s="24">
        <f>SUM(E35)</f>
        <v>0</v>
      </c>
      <c r="F34" s="24">
        <f>SUM(F35)</f>
        <v>0</v>
      </c>
      <c r="G34" s="24">
        <f t="shared" ref="G34:M34" si="8">SUM(G35)</f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1"/>
        <v>0</v>
      </c>
      <c r="L34" s="24">
        <f t="shared" si="8"/>
        <v>0</v>
      </c>
      <c r="M34" s="24">
        <f t="shared" si="8"/>
        <v>0</v>
      </c>
      <c r="N34" s="24">
        <f t="shared" si="2"/>
        <v>0</v>
      </c>
    </row>
    <row r="35" ht="14.5" spans="2:14">
      <c r="B35" s="25"/>
      <c r="C35" s="26">
        <v>20.1</v>
      </c>
      <c r="D35" s="27" t="s">
        <v>40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4">
        <f t="shared" si="1"/>
        <v>0</v>
      </c>
      <c r="L35" s="28">
        <v>0</v>
      </c>
      <c r="M35" s="28">
        <v>0</v>
      </c>
      <c r="N35" s="24">
        <f t="shared" si="2"/>
        <v>0</v>
      </c>
    </row>
    <row r="36" ht="14.5" spans="2:14">
      <c r="B36" s="31">
        <v>21</v>
      </c>
      <c r="C36" s="31"/>
      <c r="D36" s="32" t="s">
        <v>41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24">
        <f t="shared" si="1"/>
        <v>0</v>
      </c>
      <c r="L36" s="33">
        <v>0</v>
      </c>
      <c r="M36" s="33">
        <v>0</v>
      </c>
      <c r="N36" s="24">
        <f t="shared" si="2"/>
        <v>0</v>
      </c>
    </row>
    <row r="37" ht="14.5" spans="2:14">
      <c r="B37" s="22">
        <v>22</v>
      </c>
      <c r="C37" s="22"/>
      <c r="D37" s="23" t="s">
        <v>42</v>
      </c>
      <c r="E37" s="24">
        <f t="shared" ref="E37:J37" si="9">SUM(E38:E40)</f>
        <v>0</v>
      </c>
      <c r="F37" s="24">
        <f t="shared" si="9"/>
        <v>0</v>
      </c>
      <c r="G37" s="24">
        <f t="shared" si="9"/>
        <v>0</v>
      </c>
      <c r="H37" s="24">
        <f t="shared" si="9"/>
        <v>0</v>
      </c>
      <c r="I37" s="24">
        <f t="shared" si="9"/>
        <v>0</v>
      </c>
      <c r="J37" s="24">
        <f t="shared" si="9"/>
        <v>0</v>
      </c>
      <c r="K37" s="24">
        <f t="shared" si="1"/>
        <v>0</v>
      </c>
      <c r="L37" s="24">
        <f>SUM(L38:L40)</f>
        <v>0</v>
      </c>
      <c r="M37" s="24">
        <f>SUM(M38:M40)</f>
        <v>0</v>
      </c>
      <c r="N37" s="24">
        <f t="shared" si="2"/>
        <v>0</v>
      </c>
    </row>
    <row r="38" ht="14.5" spans="2:14">
      <c r="B38" s="25"/>
      <c r="C38" s="26">
        <v>22.1</v>
      </c>
      <c r="D38" s="27" t="s">
        <v>43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4">
        <f t="shared" si="1"/>
        <v>0</v>
      </c>
      <c r="L38" s="28">
        <v>0</v>
      </c>
      <c r="M38" s="28">
        <v>0</v>
      </c>
      <c r="N38" s="24">
        <f t="shared" si="2"/>
        <v>0</v>
      </c>
    </row>
    <row r="39" ht="14.5" spans="2:14">
      <c r="B39" s="25"/>
      <c r="C39" s="26">
        <v>22.2</v>
      </c>
      <c r="D39" s="27" t="s">
        <v>44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4">
        <f t="shared" si="1"/>
        <v>0</v>
      </c>
      <c r="L39" s="28">
        <v>0</v>
      </c>
      <c r="M39" s="28">
        <v>0</v>
      </c>
      <c r="N39" s="24">
        <f t="shared" si="2"/>
        <v>0</v>
      </c>
    </row>
    <row r="40" ht="14.5" spans="2:14">
      <c r="B40" s="25"/>
      <c r="C40" s="26">
        <v>22.3</v>
      </c>
      <c r="D40" s="27" t="s">
        <v>45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4">
        <f t="shared" si="1"/>
        <v>0</v>
      </c>
      <c r="L40" s="28">
        <v>0</v>
      </c>
      <c r="M40" s="28">
        <v>0</v>
      </c>
      <c r="N40" s="24">
        <f t="shared" si="2"/>
        <v>0</v>
      </c>
    </row>
    <row r="41" ht="21" spans="2:14">
      <c r="B41" s="22">
        <v>23</v>
      </c>
      <c r="C41" s="22"/>
      <c r="D41" s="23" t="s">
        <v>46</v>
      </c>
      <c r="E41" s="24">
        <f t="shared" ref="E41:J41" si="10">SUM(E42:E43)</f>
        <v>0</v>
      </c>
      <c r="F41" s="24">
        <f t="shared" si="10"/>
        <v>0</v>
      </c>
      <c r="G41" s="24">
        <f t="shared" si="10"/>
        <v>0</v>
      </c>
      <c r="H41" s="24">
        <f t="shared" si="10"/>
        <v>0</v>
      </c>
      <c r="I41" s="24">
        <f t="shared" si="10"/>
        <v>0</v>
      </c>
      <c r="J41" s="24">
        <f t="shared" si="10"/>
        <v>0</v>
      </c>
      <c r="K41" s="24">
        <f t="shared" si="1"/>
        <v>0</v>
      </c>
      <c r="L41" s="24">
        <f>SUM(L42:L43)</f>
        <v>0</v>
      </c>
      <c r="M41" s="24">
        <f>SUM(M42:M43)</f>
        <v>0</v>
      </c>
      <c r="N41" s="24">
        <f t="shared" si="2"/>
        <v>0</v>
      </c>
    </row>
    <row r="42" ht="14.5" spans="2:14">
      <c r="B42" s="25"/>
      <c r="C42" s="26">
        <v>23.1</v>
      </c>
      <c r="D42" s="27" t="s">
        <v>47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33">
        <v>0</v>
      </c>
      <c r="K42" s="24">
        <f t="shared" si="1"/>
        <v>0</v>
      </c>
      <c r="L42" s="28">
        <v>0</v>
      </c>
      <c r="M42" s="28">
        <v>0</v>
      </c>
      <c r="N42" s="24">
        <f t="shared" si="2"/>
        <v>0</v>
      </c>
    </row>
    <row r="43" ht="14.5" spans="2:14">
      <c r="B43" s="25"/>
      <c r="C43" s="26">
        <v>23.2</v>
      </c>
      <c r="D43" s="34" t="s">
        <v>48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4">
        <f t="shared" si="1"/>
        <v>0</v>
      </c>
      <c r="L43" s="28">
        <v>0</v>
      </c>
      <c r="M43" s="28">
        <v>0</v>
      </c>
      <c r="N43" s="24">
        <f t="shared" si="2"/>
        <v>0</v>
      </c>
    </row>
    <row r="44" ht="14.5" spans="2:14">
      <c r="B44" s="22">
        <v>24</v>
      </c>
      <c r="C44" s="22"/>
      <c r="D44" s="23" t="s">
        <v>49</v>
      </c>
      <c r="E44" s="24">
        <f t="shared" ref="E44:J44" si="11">SUM(E45:E48)</f>
        <v>0</v>
      </c>
      <c r="F44" s="24">
        <f t="shared" si="11"/>
        <v>0</v>
      </c>
      <c r="G44" s="24">
        <f t="shared" si="11"/>
        <v>0</v>
      </c>
      <c r="H44" s="24">
        <f t="shared" si="11"/>
        <v>0</v>
      </c>
      <c r="I44" s="24">
        <f t="shared" si="11"/>
        <v>0</v>
      </c>
      <c r="J44" s="24">
        <f t="shared" si="11"/>
        <v>0</v>
      </c>
      <c r="K44" s="24">
        <f t="shared" si="1"/>
        <v>0</v>
      </c>
      <c r="L44" s="24">
        <f>SUM(L45:L48)</f>
        <v>0</v>
      </c>
      <c r="M44" s="24">
        <f>SUM(M45:M48)</f>
        <v>0</v>
      </c>
      <c r="N44" s="24">
        <f t="shared" si="2"/>
        <v>0</v>
      </c>
    </row>
    <row r="45" ht="20" spans="2:14">
      <c r="B45" s="25"/>
      <c r="C45" s="26">
        <v>24.1</v>
      </c>
      <c r="D45" s="34" t="s">
        <v>50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4">
        <f t="shared" si="1"/>
        <v>0</v>
      </c>
      <c r="L45" s="28">
        <v>0</v>
      </c>
      <c r="M45" s="28">
        <v>0</v>
      </c>
      <c r="N45" s="24">
        <f t="shared" si="2"/>
        <v>0</v>
      </c>
    </row>
    <row r="46" ht="14.5" spans="2:14">
      <c r="B46" s="25"/>
      <c r="C46" s="26">
        <v>24.2</v>
      </c>
      <c r="D46" s="34" t="s">
        <v>51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4">
        <f t="shared" si="1"/>
        <v>0</v>
      </c>
      <c r="L46" s="28">
        <v>0</v>
      </c>
      <c r="M46" s="28">
        <v>0</v>
      </c>
      <c r="N46" s="24">
        <f t="shared" si="2"/>
        <v>0</v>
      </c>
    </row>
    <row r="47" ht="14.5" spans="2:14">
      <c r="B47" s="25"/>
      <c r="C47" s="26">
        <v>24.3</v>
      </c>
      <c r="D47" s="34" t="s">
        <v>52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4">
        <f t="shared" si="1"/>
        <v>0</v>
      </c>
      <c r="L47" s="28">
        <v>0</v>
      </c>
      <c r="M47" s="28">
        <v>0</v>
      </c>
      <c r="N47" s="24">
        <f t="shared" si="2"/>
        <v>0</v>
      </c>
    </row>
    <row r="48" ht="14.5" spans="2:14">
      <c r="B48" s="25"/>
      <c r="C48" s="26">
        <v>24.4</v>
      </c>
      <c r="D48" s="34" t="s">
        <v>38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4">
        <f t="shared" si="1"/>
        <v>0</v>
      </c>
      <c r="L48" s="28">
        <v>0</v>
      </c>
      <c r="M48" s="28">
        <v>0</v>
      </c>
      <c r="N48" s="24">
        <f t="shared" si="2"/>
        <v>0</v>
      </c>
    </row>
    <row r="49" ht="14.5" spans="2:14">
      <c r="B49" s="22">
        <v>25</v>
      </c>
      <c r="C49" s="22"/>
      <c r="D49" s="35" t="s">
        <v>53</v>
      </c>
      <c r="E49" s="24">
        <f t="shared" ref="E49:J49" si="12">SUM(E50:E51)</f>
        <v>0</v>
      </c>
      <c r="F49" s="24">
        <f t="shared" si="12"/>
        <v>0</v>
      </c>
      <c r="G49" s="24">
        <f t="shared" si="12"/>
        <v>0</v>
      </c>
      <c r="H49" s="24">
        <f t="shared" si="12"/>
        <v>0</v>
      </c>
      <c r="I49" s="24">
        <f t="shared" si="12"/>
        <v>0</v>
      </c>
      <c r="J49" s="24">
        <f t="shared" si="12"/>
        <v>0</v>
      </c>
      <c r="K49" s="24">
        <f t="shared" si="1"/>
        <v>0</v>
      </c>
      <c r="L49" s="24">
        <f>SUM(L50:L51)</f>
        <v>0</v>
      </c>
      <c r="M49" s="24">
        <f>SUM(M50:M51)</f>
        <v>0</v>
      </c>
      <c r="N49" s="24">
        <f t="shared" si="2"/>
        <v>0</v>
      </c>
    </row>
    <row r="50" ht="14.5" spans="2:14">
      <c r="B50" s="25"/>
      <c r="C50" s="26">
        <v>25.1</v>
      </c>
      <c r="D50" s="27" t="s">
        <v>54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4">
        <f t="shared" si="1"/>
        <v>0</v>
      </c>
      <c r="L50" s="28">
        <v>0</v>
      </c>
      <c r="M50" s="28">
        <v>0</v>
      </c>
      <c r="N50" s="24">
        <f t="shared" si="2"/>
        <v>0</v>
      </c>
    </row>
    <row r="51" ht="14.5" spans="2:14">
      <c r="B51" s="25"/>
      <c r="C51" s="26">
        <v>25.2</v>
      </c>
      <c r="D51" s="27" t="s">
        <v>55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4">
        <f t="shared" si="1"/>
        <v>0</v>
      </c>
      <c r="L51" s="28">
        <v>0</v>
      </c>
      <c r="M51" s="28">
        <v>0</v>
      </c>
      <c r="N51" s="24">
        <f t="shared" si="2"/>
        <v>0</v>
      </c>
    </row>
    <row r="52" ht="14.5" spans="2:14">
      <c r="B52" s="31">
        <v>26</v>
      </c>
      <c r="C52" s="31"/>
      <c r="D52" s="32" t="s">
        <v>56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24">
        <f t="shared" si="1"/>
        <v>0</v>
      </c>
      <c r="L52" s="33">
        <v>0</v>
      </c>
      <c r="M52" s="33">
        <v>0</v>
      </c>
      <c r="N52" s="24">
        <f t="shared" si="2"/>
        <v>0</v>
      </c>
    </row>
    <row r="53" ht="14.5" spans="2:14">
      <c r="B53" s="22">
        <v>27</v>
      </c>
      <c r="C53" s="22"/>
      <c r="D53" s="23" t="s">
        <v>57</v>
      </c>
      <c r="E53" s="24">
        <f t="shared" ref="E53:J53" si="13">E54+E55+E59+E60+E61+E62</f>
        <v>0</v>
      </c>
      <c r="F53" s="24">
        <f t="shared" si="13"/>
        <v>0</v>
      </c>
      <c r="G53" s="24">
        <f t="shared" si="13"/>
        <v>0</v>
      </c>
      <c r="H53" s="24">
        <f t="shared" si="13"/>
        <v>0</v>
      </c>
      <c r="I53" s="24">
        <f t="shared" si="13"/>
        <v>0</v>
      </c>
      <c r="J53" s="24">
        <f t="shared" si="13"/>
        <v>0</v>
      </c>
      <c r="K53" s="24">
        <f t="shared" si="1"/>
        <v>0</v>
      </c>
      <c r="L53" s="24">
        <f>L54+L55+L59+L60+L61+L62</f>
        <v>0</v>
      </c>
      <c r="M53" s="24">
        <f>M54+M55+M59+M60+M61+M62</f>
        <v>0</v>
      </c>
      <c r="N53" s="24">
        <f t="shared" si="2"/>
        <v>0</v>
      </c>
    </row>
    <row r="54" ht="14.5" spans="2:14">
      <c r="B54" s="25"/>
      <c r="C54" s="26">
        <v>27.1</v>
      </c>
      <c r="D54" s="27" t="s">
        <v>58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4">
        <f t="shared" si="1"/>
        <v>0</v>
      </c>
      <c r="L54" s="28">
        <v>0</v>
      </c>
      <c r="M54" s="28">
        <v>0</v>
      </c>
      <c r="N54" s="24">
        <f t="shared" ref="N54:N80" si="14">SUM(K54:M54)</f>
        <v>0</v>
      </c>
    </row>
    <row r="55" ht="14.5" spans="2:14">
      <c r="B55" s="22"/>
      <c r="C55" s="22">
        <v>27.2</v>
      </c>
      <c r="D55" s="23" t="s">
        <v>59</v>
      </c>
      <c r="E55" s="24">
        <f t="shared" ref="E55:J55" si="15">SUM(E56:E58)</f>
        <v>0</v>
      </c>
      <c r="F55" s="24">
        <f t="shared" si="15"/>
        <v>0</v>
      </c>
      <c r="G55" s="24">
        <f t="shared" si="15"/>
        <v>0</v>
      </c>
      <c r="H55" s="24">
        <f t="shared" si="15"/>
        <v>0</v>
      </c>
      <c r="I55" s="24">
        <f t="shared" si="15"/>
        <v>0</v>
      </c>
      <c r="J55" s="24">
        <f t="shared" si="15"/>
        <v>0</v>
      </c>
      <c r="K55" s="24">
        <f t="shared" si="1"/>
        <v>0</v>
      </c>
      <c r="L55" s="24">
        <f>SUM(L56:L58)</f>
        <v>0</v>
      </c>
      <c r="M55" s="24">
        <f>SUM(M56:M58)</f>
        <v>0</v>
      </c>
      <c r="N55" s="24">
        <f t="shared" si="14"/>
        <v>0</v>
      </c>
    </row>
    <row r="56" ht="14.5" spans="2:14">
      <c r="B56" s="25"/>
      <c r="C56" s="26" t="s">
        <v>60</v>
      </c>
      <c r="D56" s="27" t="s">
        <v>61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4">
        <f t="shared" si="1"/>
        <v>0</v>
      </c>
      <c r="L56" s="28">
        <v>0</v>
      </c>
      <c r="M56" s="28">
        <v>0</v>
      </c>
      <c r="N56" s="24">
        <f t="shared" si="14"/>
        <v>0</v>
      </c>
    </row>
    <row r="57" ht="20" spans="2:14">
      <c r="B57" s="25"/>
      <c r="C57" s="26" t="s">
        <v>62</v>
      </c>
      <c r="D57" s="27" t="s">
        <v>63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4">
        <f t="shared" si="1"/>
        <v>0</v>
      </c>
      <c r="L57" s="28">
        <v>0</v>
      </c>
      <c r="M57" s="28">
        <v>0</v>
      </c>
      <c r="N57" s="24">
        <f t="shared" si="14"/>
        <v>0</v>
      </c>
    </row>
    <row r="58" ht="14.5" spans="2:14">
      <c r="B58" s="25"/>
      <c r="C58" s="26" t="s">
        <v>64</v>
      </c>
      <c r="D58" s="29" t="s">
        <v>65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4">
        <f t="shared" si="1"/>
        <v>0</v>
      </c>
      <c r="L58" s="28">
        <v>0</v>
      </c>
      <c r="M58" s="28">
        <v>0</v>
      </c>
      <c r="N58" s="24">
        <f t="shared" si="14"/>
        <v>0</v>
      </c>
    </row>
    <row r="59" ht="14.5" spans="2:14">
      <c r="B59" s="25"/>
      <c r="C59" s="26">
        <v>27.3</v>
      </c>
      <c r="D59" s="27" t="s">
        <v>66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4">
        <f t="shared" si="1"/>
        <v>0</v>
      </c>
      <c r="L59" s="28">
        <v>0</v>
      </c>
      <c r="M59" s="28">
        <v>0</v>
      </c>
      <c r="N59" s="24">
        <f t="shared" si="14"/>
        <v>0</v>
      </c>
    </row>
    <row r="60" ht="14.5" spans="2:14">
      <c r="B60" s="25"/>
      <c r="C60" s="26">
        <v>27.4</v>
      </c>
      <c r="D60" s="27" t="s">
        <v>67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4">
        <f t="shared" si="1"/>
        <v>0</v>
      </c>
      <c r="L60" s="28">
        <v>0</v>
      </c>
      <c r="M60" s="28">
        <v>0</v>
      </c>
      <c r="N60" s="24">
        <f t="shared" si="14"/>
        <v>0</v>
      </c>
    </row>
    <row r="61" ht="14.5" spans="2:14">
      <c r="B61" s="25"/>
      <c r="C61" s="26">
        <v>27.5</v>
      </c>
      <c r="D61" s="29" t="s">
        <v>68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4">
        <f t="shared" si="1"/>
        <v>0</v>
      </c>
      <c r="L61" s="28">
        <v>0</v>
      </c>
      <c r="M61" s="28">
        <v>0</v>
      </c>
      <c r="N61" s="24">
        <f t="shared" si="14"/>
        <v>0</v>
      </c>
    </row>
    <row r="62" ht="14.5" spans="2:14">
      <c r="B62" s="25"/>
      <c r="C62" s="26">
        <v>27.6</v>
      </c>
      <c r="D62" s="27" t="s">
        <v>69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4">
        <f t="shared" si="1"/>
        <v>0</v>
      </c>
      <c r="L62" s="28">
        <v>0</v>
      </c>
      <c r="M62" s="28">
        <v>0</v>
      </c>
      <c r="N62" s="24">
        <f t="shared" si="14"/>
        <v>0</v>
      </c>
    </row>
    <row r="63" ht="14.5" spans="2:14">
      <c r="B63" s="22">
        <v>28</v>
      </c>
      <c r="C63" s="22"/>
      <c r="D63" s="23" t="s">
        <v>70</v>
      </c>
      <c r="E63" s="24">
        <f t="shared" ref="E63:J63" si="16">SUM(E64:E72)</f>
        <v>0</v>
      </c>
      <c r="F63" s="24">
        <f t="shared" si="16"/>
        <v>0</v>
      </c>
      <c r="G63" s="24">
        <f t="shared" si="16"/>
        <v>0</v>
      </c>
      <c r="H63" s="24">
        <f t="shared" si="16"/>
        <v>0</v>
      </c>
      <c r="I63" s="24">
        <f t="shared" si="16"/>
        <v>0</v>
      </c>
      <c r="J63" s="24">
        <f t="shared" si="16"/>
        <v>0</v>
      </c>
      <c r="K63" s="24">
        <f t="shared" si="1"/>
        <v>0</v>
      </c>
      <c r="L63" s="24">
        <f>SUM(L64:L72)</f>
        <v>0</v>
      </c>
      <c r="M63" s="24">
        <f>SUM(M64:M72)</f>
        <v>0</v>
      </c>
      <c r="N63" s="24">
        <f t="shared" si="14"/>
        <v>0</v>
      </c>
    </row>
    <row r="64" ht="14.5" spans="2:14">
      <c r="B64" s="25"/>
      <c r="C64" s="26">
        <v>28.1</v>
      </c>
      <c r="D64" s="27" t="s">
        <v>71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4">
        <f t="shared" si="1"/>
        <v>0</v>
      </c>
      <c r="L64" s="28">
        <v>0</v>
      </c>
      <c r="M64" s="28">
        <v>0</v>
      </c>
      <c r="N64" s="24">
        <f t="shared" si="14"/>
        <v>0</v>
      </c>
    </row>
    <row r="65" ht="14.5" spans="2:14">
      <c r="B65" s="25"/>
      <c r="C65" s="26">
        <v>28.2</v>
      </c>
      <c r="D65" s="27" t="s">
        <v>72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4">
        <f t="shared" si="1"/>
        <v>0</v>
      </c>
      <c r="L65" s="28">
        <v>0</v>
      </c>
      <c r="M65" s="28">
        <v>0</v>
      </c>
      <c r="N65" s="24">
        <f t="shared" si="14"/>
        <v>0</v>
      </c>
    </row>
    <row r="66" ht="14.5" spans="2:14">
      <c r="B66" s="25"/>
      <c r="C66" s="26">
        <v>28.3</v>
      </c>
      <c r="D66" s="27" t="s">
        <v>73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4">
        <f t="shared" si="1"/>
        <v>0</v>
      </c>
      <c r="L66" s="28">
        <v>0</v>
      </c>
      <c r="M66" s="28">
        <v>0</v>
      </c>
      <c r="N66" s="24">
        <f t="shared" si="14"/>
        <v>0</v>
      </c>
    </row>
    <row r="67" ht="14.5" spans="2:14">
      <c r="B67" s="25"/>
      <c r="C67" s="26">
        <v>28.4</v>
      </c>
      <c r="D67" s="27" t="s">
        <v>74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4">
        <f t="shared" si="1"/>
        <v>0</v>
      </c>
      <c r="L67" s="28">
        <v>0</v>
      </c>
      <c r="M67" s="28">
        <v>0</v>
      </c>
      <c r="N67" s="24">
        <f t="shared" si="14"/>
        <v>0</v>
      </c>
    </row>
    <row r="68" ht="14.5" spans="2:14">
      <c r="B68" s="25"/>
      <c r="C68" s="26">
        <v>28.5</v>
      </c>
      <c r="D68" s="39" t="s">
        <v>75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4">
        <f t="shared" si="1"/>
        <v>0</v>
      </c>
      <c r="L68" s="28">
        <v>0</v>
      </c>
      <c r="M68" s="28">
        <v>0</v>
      </c>
      <c r="N68" s="24">
        <f t="shared" si="14"/>
        <v>0</v>
      </c>
    </row>
    <row r="69" ht="14.5" spans="2:14">
      <c r="B69" s="25"/>
      <c r="C69" s="26">
        <v>28.6</v>
      </c>
      <c r="D69" s="39" t="s">
        <v>76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4">
        <f t="shared" si="1"/>
        <v>0</v>
      </c>
      <c r="L69" s="28">
        <v>0</v>
      </c>
      <c r="M69" s="28">
        <v>0</v>
      </c>
      <c r="N69" s="24">
        <f t="shared" si="14"/>
        <v>0</v>
      </c>
    </row>
    <row r="70" ht="14.5" spans="2:14">
      <c r="B70" s="40"/>
      <c r="C70" s="26">
        <v>28.7</v>
      </c>
      <c r="D70" s="39" t="s">
        <v>77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4">
        <f t="shared" si="1"/>
        <v>0</v>
      </c>
      <c r="L70" s="28">
        <v>0</v>
      </c>
      <c r="M70" s="28">
        <v>0</v>
      </c>
      <c r="N70" s="24">
        <f t="shared" si="14"/>
        <v>0</v>
      </c>
    </row>
    <row r="71" ht="14.5" spans="2:14">
      <c r="B71" s="40"/>
      <c r="C71" s="26">
        <v>28.8</v>
      </c>
      <c r="D71" s="27" t="s">
        <v>78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4">
        <f t="shared" si="1"/>
        <v>0</v>
      </c>
      <c r="L71" s="28">
        <v>0</v>
      </c>
      <c r="M71" s="28">
        <v>0</v>
      </c>
      <c r="N71" s="24">
        <f t="shared" si="14"/>
        <v>0</v>
      </c>
    </row>
    <row r="72" ht="14.5" spans="2:14">
      <c r="B72" s="25"/>
      <c r="C72" s="26">
        <v>28.9</v>
      </c>
      <c r="D72" s="27" t="s">
        <v>79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4">
        <f t="shared" si="1"/>
        <v>0</v>
      </c>
      <c r="L72" s="28">
        <v>0</v>
      </c>
      <c r="M72" s="28">
        <v>0</v>
      </c>
      <c r="N72" s="24">
        <f t="shared" si="14"/>
        <v>0</v>
      </c>
    </row>
    <row r="73" ht="14.5" spans="2:14">
      <c r="B73" s="22">
        <v>29</v>
      </c>
      <c r="C73" s="22"/>
      <c r="D73" s="23" t="s">
        <v>80</v>
      </c>
      <c r="E73" s="24">
        <f t="shared" ref="E73:J73" si="17">SUM(E74:E80)</f>
        <v>0</v>
      </c>
      <c r="F73" s="24">
        <f t="shared" si="17"/>
        <v>0</v>
      </c>
      <c r="G73" s="24">
        <f t="shared" si="17"/>
        <v>0</v>
      </c>
      <c r="H73" s="24">
        <f t="shared" si="17"/>
        <v>0</v>
      </c>
      <c r="I73" s="24">
        <f t="shared" si="17"/>
        <v>0</v>
      </c>
      <c r="J73" s="24">
        <f t="shared" si="17"/>
        <v>0</v>
      </c>
      <c r="K73" s="24">
        <f t="shared" ref="K73:K95" si="18">SUM(E73:J73)</f>
        <v>0</v>
      </c>
      <c r="L73" s="24">
        <f>SUM(L74:L80)</f>
        <v>0</v>
      </c>
      <c r="M73" s="24">
        <f>SUM(M74:M80)</f>
        <v>0</v>
      </c>
      <c r="N73" s="24">
        <f t="shared" si="14"/>
        <v>0</v>
      </c>
    </row>
    <row r="74" ht="14.5" spans="2:14">
      <c r="B74" s="41"/>
      <c r="C74" s="42">
        <v>29.1</v>
      </c>
      <c r="D74" s="43" t="s">
        <v>81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4">
        <f t="shared" si="18"/>
        <v>0</v>
      </c>
      <c r="L74" s="28">
        <v>0</v>
      </c>
      <c r="M74" s="28">
        <v>0</v>
      </c>
      <c r="N74" s="24">
        <f t="shared" si="14"/>
        <v>0</v>
      </c>
    </row>
    <row r="75" ht="14.5" spans="2:14">
      <c r="B75" s="41"/>
      <c r="C75" s="42">
        <v>29.2</v>
      </c>
      <c r="D75" s="43" t="s">
        <v>82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4">
        <f t="shared" si="18"/>
        <v>0</v>
      </c>
      <c r="L75" s="28">
        <v>0</v>
      </c>
      <c r="M75" s="28">
        <v>0</v>
      </c>
      <c r="N75" s="24">
        <f t="shared" si="14"/>
        <v>0</v>
      </c>
    </row>
    <row r="76" ht="14.5" spans="2:14">
      <c r="B76" s="41"/>
      <c r="C76" s="42">
        <v>29.3</v>
      </c>
      <c r="D76" s="43" t="s">
        <v>83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4">
        <f t="shared" si="18"/>
        <v>0</v>
      </c>
      <c r="L76" s="28">
        <v>0</v>
      </c>
      <c r="M76" s="28">
        <v>0</v>
      </c>
      <c r="N76" s="24">
        <f t="shared" si="14"/>
        <v>0</v>
      </c>
    </row>
    <row r="77" ht="14.5" spans="2:14">
      <c r="B77" s="41"/>
      <c r="C77" s="42">
        <v>29.4</v>
      </c>
      <c r="D77" s="43" t="s">
        <v>84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4">
        <f t="shared" si="18"/>
        <v>0</v>
      </c>
      <c r="L77" s="28">
        <v>0</v>
      </c>
      <c r="M77" s="28">
        <v>0</v>
      </c>
      <c r="N77" s="24">
        <f t="shared" si="14"/>
        <v>0</v>
      </c>
    </row>
    <row r="78" ht="14.5" spans="2:14">
      <c r="B78" s="44"/>
      <c r="C78" s="42">
        <v>29.5</v>
      </c>
      <c r="D78" s="43" t="s">
        <v>85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4">
        <f t="shared" si="18"/>
        <v>0</v>
      </c>
      <c r="L78" s="28">
        <v>0</v>
      </c>
      <c r="M78" s="28">
        <v>0</v>
      </c>
      <c r="N78" s="24">
        <f t="shared" si="14"/>
        <v>0</v>
      </c>
    </row>
    <row r="79" ht="14.5" spans="2:14">
      <c r="B79" s="44"/>
      <c r="C79" s="42">
        <v>29.6</v>
      </c>
      <c r="D79" s="43" t="s">
        <v>86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4">
        <f t="shared" si="18"/>
        <v>0</v>
      </c>
      <c r="L79" s="28">
        <v>0</v>
      </c>
      <c r="M79" s="28">
        <v>0</v>
      </c>
      <c r="N79" s="24">
        <f t="shared" si="14"/>
        <v>0</v>
      </c>
    </row>
    <row r="80" ht="14.5" spans="2:14">
      <c r="B80" s="44"/>
      <c r="C80" s="42">
        <v>29.7</v>
      </c>
      <c r="D80" s="43" t="s">
        <v>87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4">
        <f t="shared" si="18"/>
        <v>0</v>
      </c>
      <c r="L80" s="28">
        <v>0</v>
      </c>
      <c r="M80" s="28">
        <v>0</v>
      </c>
      <c r="N80" s="24">
        <f t="shared" si="14"/>
        <v>0</v>
      </c>
    </row>
    <row r="81" ht="14.5" spans="2:14">
      <c r="B81" s="22">
        <v>30</v>
      </c>
      <c r="C81" s="22"/>
      <c r="D81" s="23" t="s">
        <v>88</v>
      </c>
      <c r="E81" s="24">
        <f t="shared" ref="E81:J81" si="19">E82+E86+E94+E95</f>
        <v>0</v>
      </c>
      <c r="F81" s="24">
        <f t="shared" si="19"/>
        <v>0</v>
      </c>
      <c r="G81" s="24">
        <f t="shared" si="19"/>
        <v>0</v>
      </c>
      <c r="H81" s="24">
        <f t="shared" si="19"/>
        <v>0</v>
      </c>
      <c r="I81" s="24">
        <f t="shared" si="19"/>
        <v>0</v>
      </c>
      <c r="J81" s="24">
        <f t="shared" si="19"/>
        <v>0</v>
      </c>
      <c r="K81" s="24">
        <f t="shared" si="18"/>
        <v>0</v>
      </c>
      <c r="L81" s="24">
        <f>L82+L86+L94+L95</f>
        <v>0</v>
      </c>
      <c r="M81" s="24">
        <f>M82+M86+M94+M95</f>
        <v>0</v>
      </c>
      <c r="N81" s="24">
        <f t="shared" ref="N81:N86" si="20">SUM(K81:M81)</f>
        <v>0</v>
      </c>
    </row>
    <row r="82" ht="14.5" spans="2:14">
      <c r="B82" s="22"/>
      <c r="C82" s="22">
        <v>30.1</v>
      </c>
      <c r="D82" s="23" t="s">
        <v>89</v>
      </c>
      <c r="E82" s="24">
        <f t="shared" ref="E82:J82" si="21">SUM(E83:E85)</f>
        <v>0</v>
      </c>
      <c r="F82" s="24">
        <f t="shared" si="21"/>
        <v>0</v>
      </c>
      <c r="G82" s="24">
        <f t="shared" si="21"/>
        <v>0</v>
      </c>
      <c r="H82" s="24">
        <f t="shared" si="21"/>
        <v>0</v>
      </c>
      <c r="I82" s="24">
        <f t="shared" si="21"/>
        <v>0</v>
      </c>
      <c r="J82" s="24">
        <f t="shared" si="21"/>
        <v>0</v>
      </c>
      <c r="K82" s="24">
        <f t="shared" si="18"/>
        <v>0</v>
      </c>
      <c r="L82" s="24">
        <f>SUM(L83:L85)</f>
        <v>0</v>
      </c>
      <c r="M82" s="24">
        <f>SUM(M83:M85)</f>
        <v>0</v>
      </c>
      <c r="N82" s="24">
        <f t="shared" si="20"/>
        <v>0</v>
      </c>
    </row>
    <row r="83" ht="14.5" spans="2:14">
      <c r="B83" s="25"/>
      <c r="C83" s="26" t="s">
        <v>90</v>
      </c>
      <c r="D83" s="27" t="s">
        <v>91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4">
        <f t="shared" si="18"/>
        <v>0</v>
      </c>
      <c r="L83" s="28">
        <v>0</v>
      </c>
      <c r="M83" s="28">
        <v>0</v>
      </c>
      <c r="N83" s="24">
        <f t="shared" si="20"/>
        <v>0</v>
      </c>
    </row>
    <row r="84" ht="14.5" spans="2:14">
      <c r="B84" s="42"/>
      <c r="C84" s="42" t="s">
        <v>92</v>
      </c>
      <c r="D84" s="45" t="s">
        <v>93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4">
        <f t="shared" si="18"/>
        <v>0</v>
      </c>
      <c r="L84" s="28">
        <v>0</v>
      </c>
      <c r="M84" s="28">
        <v>0</v>
      </c>
      <c r="N84" s="24">
        <f t="shared" si="20"/>
        <v>0</v>
      </c>
    </row>
    <row r="85" ht="14.5" spans="2:14">
      <c r="B85" s="42"/>
      <c r="C85" s="42" t="s">
        <v>94</v>
      </c>
      <c r="D85" s="45" t="s">
        <v>95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4">
        <f t="shared" si="18"/>
        <v>0</v>
      </c>
      <c r="L85" s="28">
        <v>0</v>
      </c>
      <c r="M85" s="28">
        <v>0</v>
      </c>
      <c r="N85" s="24">
        <f t="shared" si="20"/>
        <v>0</v>
      </c>
    </row>
    <row r="86" ht="14.5" spans="2:14">
      <c r="B86" s="46"/>
      <c r="C86" s="22">
        <v>30.2</v>
      </c>
      <c r="D86" s="23" t="s">
        <v>96</v>
      </c>
      <c r="E86" s="24">
        <f t="shared" ref="E86:J86" si="22">SUM(E87:E93)</f>
        <v>0</v>
      </c>
      <c r="F86" s="24">
        <f t="shared" si="22"/>
        <v>0</v>
      </c>
      <c r="G86" s="24">
        <f t="shared" si="22"/>
        <v>0</v>
      </c>
      <c r="H86" s="24">
        <f t="shared" si="22"/>
        <v>0</v>
      </c>
      <c r="I86" s="24">
        <f t="shared" si="22"/>
        <v>0</v>
      </c>
      <c r="J86" s="24">
        <f t="shared" si="22"/>
        <v>0</v>
      </c>
      <c r="K86" s="24">
        <f t="shared" si="18"/>
        <v>0</v>
      </c>
      <c r="L86" s="24">
        <f>SUM(L87:L93)</f>
        <v>0</v>
      </c>
      <c r="M86" s="24">
        <f>SUM(M87:M93)</f>
        <v>0</v>
      </c>
      <c r="N86" s="24">
        <f t="shared" si="20"/>
        <v>0</v>
      </c>
    </row>
    <row r="87" ht="14.5" spans="2:14">
      <c r="B87" s="25"/>
      <c r="C87" s="26" t="s">
        <v>97</v>
      </c>
      <c r="D87" s="27" t="s">
        <v>98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4">
        <f t="shared" si="18"/>
        <v>0</v>
      </c>
      <c r="L87" s="28">
        <v>0</v>
      </c>
      <c r="M87" s="28">
        <v>0</v>
      </c>
      <c r="N87" s="24">
        <f t="shared" ref="N87:N96" si="23">SUM(K87:M87)</f>
        <v>0</v>
      </c>
    </row>
    <row r="88" ht="14.5" spans="2:14">
      <c r="B88" s="25"/>
      <c r="C88" s="26" t="s">
        <v>99</v>
      </c>
      <c r="D88" s="47" t="s">
        <v>100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4">
        <f t="shared" si="18"/>
        <v>0</v>
      </c>
      <c r="L88" s="28">
        <v>0</v>
      </c>
      <c r="M88" s="28">
        <v>0</v>
      </c>
      <c r="N88" s="24">
        <f t="shared" si="23"/>
        <v>0</v>
      </c>
    </row>
    <row r="89" ht="14.5" spans="2:14">
      <c r="B89" s="25"/>
      <c r="C89" s="26" t="s">
        <v>101</v>
      </c>
      <c r="D89" s="29" t="s">
        <v>102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4">
        <f t="shared" si="18"/>
        <v>0</v>
      </c>
      <c r="L89" s="28">
        <v>0</v>
      </c>
      <c r="M89" s="28">
        <v>0</v>
      </c>
      <c r="N89" s="24">
        <f t="shared" si="23"/>
        <v>0</v>
      </c>
    </row>
    <row r="90" ht="14.5" spans="2:14">
      <c r="B90" s="25"/>
      <c r="C90" s="26" t="s">
        <v>103</v>
      </c>
      <c r="D90" s="29" t="s">
        <v>104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4">
        <f t="shared" si="18"/>
        <v>0</v>
      </c>
      <c r="L90" s="28">
        <v>0</v>
      </c>
      <c r="M90" s="28">
        <v>0</v>
      </c>
      <c r="N90" s="24">
        <f t="shared" si="23"/>
        <v>0</v>
      </c>
    </row>
    <row r="91" ht="14.5" spans="2:14">
      <c r="B91" s="25"/>
      <c r="C91" s="26" t="s">
        <v>105</v>
      </c>
      <c r="D91" s="27" t="s">
        <v>106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4">
        <f t="shared" si="18"/>
        <v>0</v>
      </c>
      <c r="L91" s="28">
        <v>0</v>
      </c>
      <c r="M91" s="28">
        <v>0</v>
      </c>
      <c r="N91" s="24">
        <f t="shared" si="23"/>
        <v>0</v>
      </c>
    </row>
    <row r="92" ht="14.5" spans="2:14">
      <c r="B92" s="25"/>
      <c r="C92" s="26" t="s">
        <v>107</v>
      </c>
      <c r="D92" s="27" t="s">
        <v>108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4">
        <f t="shared" si="18"/>
        <v>0</v>
      </c>
      <c r="L92" s="28">
        <v>0</v>
      </c>
      <c r="M92" s="28">
        <v>0</v>
      </c>
      <c r="N92" s="24">
        <f t="shared" si="23"/>
        <v>0</v>
      </c>
    </row>
    <row r="93" ht="14.5" spans="2:14">
      <c r="B93" s="25"/>
      <c r="C93" s="26" t="s">
        <v>109</v>
      </c>
      <c r="D93" s="27" t="s">
        <v>110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4">
        <f t="shared" si="18"/>
        <v>0</v>
      </c>
      <c r="L93" s="28">
        <v>0</v>
      </c>
      <c r="M93" s="28">
        <v>0</v>
      </c>
      <c r="N93" s="24">
        <f t="shared" si="23"/>
        <v>0</v>
      </c>
    </row>
    <row r="94" ht="14.5" spans="2:14">
      <c r="B94" s="25"/>
      <c r="C94" s="25">
        <v>30.3</v>
      </c>
      <c r="D94" s="48" t="s">
        <v>111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4">
        <f t="shared" si="18"/>
        <v>0</v>
      </c>
      <c r="L94" s="28">
        <v>0</v>
      </c>
      <c r="M94" s="28">
        <v>0</v>
      </c>
      <c r="N94" s="24">
        <f t="shared" si="23"/>
        <v>0</v>
      </c>
    </row>
    <row r="95" ht="14.5" spans="2:14">
      <c r="B95" s="25"/>
      <c r="C95" s="31">
        <v>30.4</v>
      </c>
      <c r="D95" s="32" t="s">
        <v>112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24">
        <f t="shared" si="18"/>
        <v>0</v>
      </c>
      <c r="L95" s="33">
        <v>0</v>
      </c>
      <c r="M95" s="33">
        <v>0</v>
      </c>
      <c r="N95" s="24">
        <f t="shared" si="23"/>
        <v>0</v>
      </c>
    </row>
    <row r="96" ht="14.5" spans="2:14">
      <c r="B96" s="49">
        <v>31</v>
      </c>
      <c r="C96" s="49"/>
      <c r="D96" s="50" t="s">
        <v>113</v>
      </c>
      <c r="E96" s="51">
        <f t="shared" ref="E96:M96" si="24">E8+E13+E18+E29+E34+E36+E37+E41+E44+E49+E52+E53+E63+E73+E81</f>
        <v>0</v>
      </c>
      <c r="F96" s="51">
        <f t="shared" si="24"/>
        <v>0</v>
      </c>
      <c r="G96" s="51">
        <f t="shared" si="24"/>
        <v>0</v>
      </c>
      <c r="H96" s="51">
        <f t="shared" si="24"/>
        <v>0</v>
      </c>
      <c r="I96" s="51">
        <f t="shared" si="24"/>
        <v>0</v>
      </c>
      <c r="J96" s="51">
        <f t="shared" si="24"/>
        <v>0</v>
      </c>
      <c r="K96" s="51">
        <f t="shared" si="24"/>
        <v>0</v>
      </c>
      <c r="L96" s="51">
        <f t="shared" si="24"/>
        <v>0</v>
      </c>
      <c r="M96" s="51">
        <f t="shared" si="24"/>
        <v>0</v>
      </c>
      <c r="N96" s="51">
        <f t="shared" si="23"/>
        <v>0</v>
      </c>
    </row>
    <row r="97" ht="14.5" spans="2:14">
      <c r="B97" s="52"/>
      <c r="C97" s="53"/>
      <c r="D97" s="54" t="s">
        <v>114</v>
      </c>
      <c r="E97" s="55"/>
      <c r="F97" s="55"/>
      <c r="G97" s="55"/>
      <c r="H97" s="55"/>
      <c r="I97" s="55"/>
      <c r="J97" s="55"/>
      <c r="K97" s="55"/>
      <c r="L97" s="55"/>
      <c r="M97" s="55"/>
      <c r="N97" s="66"/>
    </row>
    <row r="98" ht="14.5" spans="2:14">
      <c r="B98" s="56">
        <v>32</v>
      </c>
      <c r="C98" s="56"/>
      <c r="D98" s="57" t="s">
        <v>115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66">
        <f t="shared" ref="K98:K103" si="25">SUM(E98:J98)</f>
        <v>0</v>
      </c>
      <c r="L98" s="58">
        <v>0</v>
      </c>
      <c r="M98" s="58">
        <v>0</v>
      </c>
      <c r="N98" s="66">
        <f t="shared" ref="N98:N103" si="26">SUM(K98:M98)</f>
        <v>0</v>
      </c>
    </row>
    <row r="99" ht="14.5" spans="2:14">
      <c r="B99" s="56">
        <v>33</v>
      </c>
      <c r="C99" s="56"/>
      <c r="D99" s="57" t="s">
        <v>116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66">
        <f t="shared" si="25"/>
        <v>0</v>
      </c>
      <c r="L99" s="58">
        <v>0</v>
      </c>
      <c r="M99" s="58">
        <v>0</v>
      </c>
      <c r="N99" s="66">
        <f t="shared" si="26"/>
        <v>0</v>
      </c>
    </row>
    <row r="100" ht="14.5" spans="2:14">
      <c r="B100" s="56">
        <v>34</v>
      </c>
      <c r="C100" s="56"/>
      <c r="D100" s="57" t="s">
        <v>117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66">
        <f t="shared" si="25"/>
        <v>0</v>
      </c>
      <c r="L100" s="58">
        <v>0</v>
      </c>
      <c r="M100" s="58">
        <v>0</v>
      </c>
      <c r="N100" s="66">
        <f t="shared" si="26"/>
        <v>0</v>
      </c>
    </row>
    <row r="101" ht="14.5" spans="2:14">
      <c r="B101" s="56">
        <v>35</v>
      </c>
      <c r="C101" s="56"/>
      <c r="D101" s="57" t="s">
        <v>118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66">
        <f t="shared" si="25"/>
        <v>0</v>
      </c>
      <c r="L101" s="58">
        <v>0</v>
      </c>
      <c r="M101" s="58">
        <v>0</v>
      </c>
      <c r="N101" s="66">
        <f t="shared" si="26"/>
        <v>0</v>
      </c>
    </row>
    <row r="102" ht="14.5" spans="2:14">
      <c r="B102" s="56">
        <v>36</v>
      </c>
      <c r="C102" s="56"/>
      <c r="D102" s="59" t="s">
        <v>119</v>
      </c>
      <c r="E102" s="60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7">
        <f t="shared" si="25"/>
        <v>0</v>
      </c>
      <c r="L102" s="60">
        <v>0</v>
      </c>
      <c r="M102" s="60">
        <v>0</v>
      </c>
      <c r="N102" s="67">
        <f t="shared" si="26"/>
        <v>0</v>
      </c>
    </row>
    <row r="103" ht="14.5" spans="2:14">
      <c r="B103" s="61"/>
      <c r="C103" s="61"/>
      <c r="D103" s="62" t="s">
        <v>120</v>
      </c>
      <c r="E103" s="55">
        <f t="shared" ref="E103:J103" si="27">SUM(E98:E102)</f>
        <v>0</v>
      </c>
      <c r="F103" s="55">
        <f t="shared" si="27"/>
        <v>0</v>
      </c>
      <c r="G103" s="55">
        <f t="shared" si="27"/>
        <v>0</v>
      </c>
      <c r="H103" s="55">
        <f t="shared" si="27"/>
        <v>0</v>
      </c>
      <c r="I103" s="55">
        <f t="shared" si="27"/>
        <v>0</v>
      </c>
      <c r="J103" s="55">
        <f t="shared" si="27"/>
        <v>0</v>
      </c>
      <c r="K103" s="55">
        <f t="shared" si="25"/>
        <v>0</v>
      </c>
      <c r="L103" s="55">
        <f>SUM(L98:L102)</f>
        <v>0</v>
      </c>
      <c r="M103" s="55">
        <f>SUM(M98:M102)</f>
        <v>0</v>
      </c>
      <c r="N103" s="55">
        <f t="shared" si="26"/>
        <v>0</v>
      </c>
    </row>
    <row r="104" ht="14.5" spans="2:14">
      <c r="B104" s="63"/>
      <c r="C104" s="63"/>
      <c r="D104" s="64" t="s">
        <v>121</v>
      </c>
      <c r="E104" s="65"/>
      <c r="F104" s="65"/>
      <c r="G104" s="65"/>
      <c r="H104" s="65"/>
      <c r="I104" s="68"/>
      <c r="J104" s="68"/>
      <c r="K104" s="68"/>
      <c r="L104" s="69"/>
      <c r="M104" s="69"/>
      <c r="N104" s="69"/>
    </row>
    <row r="105" ht="14.5"/>
    <row r="106" ht="14.5" hidden="1"/>
  </sheetData>
  <mergeCells count="5">
    <mergeCell ref="B2:N2"/>
    <mergeCell ref="C3:D3"/>
    <mergeCell ref="C4:D4"/>
    <mergeCell ref="C5:D5"/>
    <mergeCell ref="E3:N5"/>
  </mergeCells>
  <dataValidations count="1">
    <dataValidation type="whole" operator="between" allowBlank="1" showInputMessage="1" showErrorMessage="1" sqref="E8:N103">
      <formula1>-1000000000</formula1>
      <formula2>1000000000</formula2>
    </dataValidation>
  </dataValidations>
  <pageMargins left="0.7" right="0.7" top="0.75" bottom="0.75" header="0.3" footer="0.3"/>
  <pageSetup paperSize="9" scale="41" fitToHeight="0" orientation="portrait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BRF208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2021-01-11T09:37:24Z</dcterms:created>
  <dcterms:modified xsi:type="dcterms:W3CDTF">2024-02-22T05:45:03Z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2021-04-22T08:31:18Z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27c4e5bd-69ee-4bc6-9ed6-940746fbdcb3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FA992C421B2F4DD5AEE49FE46572273F_13</vt:lpwstr>
  </property>
  <property fmtid="{D5CDD505-2E9C-101B-9397-08002B2CF9AE}" pid="10" name="KSOProductBuildVer">
    <vt:lpwstr>1033-12.2.0.13431</vt:lpwstr>
  </property>
</Properties>
</file>