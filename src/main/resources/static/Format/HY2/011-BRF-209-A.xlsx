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209" sheetId="1" r:id="rId1"/>
  </sheets>
  <definedNames>
    <definedName name="_xlnm.Print_Area" localSheetId="0">BRF209!$B$2:$N$115</definedName>
  </definedNames>
  <calcPr calcId="144525"/>
</workbook>
</file>

<file path=xl/sharedStrings.xml><?xml version="1.0" encoding="utf-8"?>
<sst xmlns="http://schemas.openxmlformats.org/spreadsheetml/2006/main" count="172" uniqueCount="160">
  <si>
    <t>BANKING AND MONETARY STATISTICS-  CONSOLIDATED INCOME STATEMENT - BRF209   (AED in 000)</t>
  </si>
  <si>
    <t>ID:</t>
  </si>
  <si>
    <t>12-209-1-0</t>
  </si>
  <si>
    <t>BANK</t>
  </si>
  <si>
    <t>Bank of Baroda</t>
  </si>
  <si>
    <t>As On</t>
  </si>
  <si>
    <t>No</t>
  </si>
  <si>
    <t>Income Statement</t>
  </si>
  <si>
    <t xml:space="preserve">Bank Operations (including International Branches and Banking Subsidiaries)
</t>
  </si>
  <si>
    <t>Banking Subsidiaries in UAE</t>
  </si>
  <si>
    <t>Financial Subsidiary excluding Banking Subsidiaries (whether inside UAE or outside) (Examples of Financial Subsidiaries: Finance Companies, Investment Companies, Leasing, Insurance, financial intermediaries (e.g. brokers)) 
(UAE)</t>
  </si>
  <si>
    <t>Financial Subsidiaries excluding Banking Subsidiaries (whether inside UAE or outside) (Examples of Financial Subsidiaries: Finance Companies, Investment Companies, Leasing, Insurance, Financial Intermediaries (e.g. Brokers)) 
(Outside UAE)</t>
  </si>
  <si>
    <t>All other Subsidiaries other than Banking and Financial Subsidiaries (UAE)</t>
  </si>
  <si>
    <t>All other subsidiaries other than Banking and Financial Subsidiary (Outside UAE)</t>
  </si>
  <si>
    <t>Gross Income and Expense</t>
  </si>
  <si>
    <t>Elimination</t>
  </si>
  <si>
    <t>Reclassification</t>
  </si>
  <si>
    <t>Consolidated Income Statement</t>
  </si>
  <si>
    <t xml:space="preserve"> </t>
  </si>
  <si>
    <t>INTEREST OR PROFIT INCOME EARNED FROM:</t>
  </si>
  <si>
    <t>Government &amp; Non Commercial Entities</t>
  </si>
  <si>
    <t>Private sector (GRE, Corporate &amp; HNW customers)</t>
  </si>
  <si>
    <t>Small and Medium Enterprises</t>
  </si>
  <si>
    <t>Individuals</t>
  </si>
  <si>
    <t>1.4.1</t>
  </si>
  <si>
    <t>Personal consumer loans</t>
  </si>
  <si>
    <t>1.4.2</t>
  </si>
  <si>
    <t>Car loan</t>
  </si>
  <si>
    <t>1.4.3</t>
  </si>
  <si>
    <t>Overdraft</t>
  </si>
  <si>
    <t>1.4.4</t>
  </si>
  <si>
    <t>Credit card loan</t>
  </si>
  <si>
    <t>1.4.5</t>
  </si>
  <si>
    <t>Housing loans</t>
  </si>
  <si>
    <t>1.4.6</t>
  </si>
  <si>
    <t>Loans against shares/for share trading</t>
  </si>
  <si>
    <t>1.4.7</t>
  </si>
  <si>
    <t>Other loans to individuals</t>
  </si>
  <si>
    <t>1.4.8</t>
  </si>
  <si>
    <t>Small business loans (up to AED 2 million)</t>
  </si>
  <si>
    <t>Financial Sector</t>
  </si>
  <si>
    <t>1.5.1</t>
  </si>
  <si>
    <t>Central Bank CDs</t>
  </si>
  <si>
    <t>1.5.2</t>
  </si>
  <si>
    <t>Interbank</t>
  </si>
  <si>
    <t>1.5.3</t>
  </si>
  <si>
    <t>Non Banking Financial Institutions (NBFI)</t>
  </si>
  <si>
    <t>Income on Investments - Debt Securities</t>
  </si>
  <si>
    <t>Derivatives Banking Book Hedging</t>
  </si>
  <si>
    <t>INTEREST OR FINANCE EXPENSES PAID TO:</t>
  </si>
  <si>
    <t>Private sector (GREs, Corporate, HNW, SME)</t>
  </si>
  <si>
    <t>2.4.1</t>
  </si>
  <si>
    <t xml:space="preserve">Central Bank </t>
  </si>
  <si>
    <t>2.4.2</t>
  </si>
  <si>
    <t>2.4.4</t>
  </si>
  <si>
    <t>Non banking financial institutions</t>
  </si>
  <si>
    <t>Capital Market &amp; other Term Borrowings</t>
  </si>
  <si>
    <t>NET INTEREST OR PROFIT INCOME (1 - 2)</t>
  </si>
  <si>
    <t xml:space="preserve">TRADING </t>
  </si>
  <si>
    <t>Trading Securities</t>
  </si>
  <si>
    <t>4.1.1</t>
  </si>
  <si>
    <t>Trading  Debt Securities</t>
  </si>
  <si>
    <t>4.1.2</t>
  </si>
  <si>
    <t>Trading Equities (share &gt;10%)</t>
  </si>
  <si>
    <t>4.1.3</t>
  </si>
  <si>
    <t>Trading Equities (share &lt;10%)</t>
  </si>
  <si>
    <t>Trading Foreign Currencies (excluding derivatives)</t>
  </si>
  <si>
    <t xml:space="preserve">Trading Derivatives </t>
  </si>
  <si>
    <t>4.3.1</t>
  </si>
  <si>
    <t>Foreign exchange contracts and options</t>
  </si>
  <si>
    <t>4.3.2</t>
  </si>
  <si>
    <t>Interest rates derivatives and financial futures</t>
  </si>
  <si>
    <t>4.3.3</t>
  </si>
  <si>
    <t>Credit &amp; commodity derivatives</t>
  </si>
  <si>
    <t>4.3.4</t>
  </si>
  <si>
    <t xml:space="preserve">Equity derivatives </t>
  </si>
  <si>
    <t>4.3.5</t>
  </si>
  <si>
    <t>Other derivatives</t>
  </si>
  <si>
    <t>Fees &amp; Commissions</t>
  </si>
  <si>
    <t>Fees &amp; Commissions Retail</t>
  </si>
  <si>
    <t>5.1.1</t>
  </si>
  <si>
    <t>Lending</t>
  </si>
  <si>
    <t>5.1.2</t>
  </si>
  <si>
    <t>Account Service</t>
  </si>
  <si>
    <t>5.1.3</t>
  </si>
  <si>
    <t>Card Services</t>
  </si>
  <si>
    <t>5.1.4</t>
  </si>
  <si>
    <t>Brokerage &amp; Assets Management</t>
  </si>
  <si>
    <t>5.1.5</t>
  </si>
  <si>
    <t>L/C and Guarantees</t>
  </si>
  <si>
    <t>5.1.6</t>
  </si>
  <si>
    <t>Other (Not more than 5% of Retail fees &amp; commission)</t>
  </si>
  <si>
    <t>Fees &amp; Commissions Corporate</t>
  </si>
  <si>
    <t>5.2.1</t>
  </si>
  <si>
    <t>5.2.2</t>
  </si>
  <si>
    <t>5.2.3</t>
  </si>
  <si>
    <t>5.2.4</t>
  </si>
  <si>
    <t>Trade Finance</t>
  </si>
  <si>
    <t>5.2.5</t>
  </si>
  <si>
    <t>Underwriting</t>
  </si>
  <si>
    <t>5.2.6</t>
  </si>
  <si>
    <t>Syndication</t>
  </si>
  <si>
    <t>5.2.7</t>
  </si>
  <si>
    <t>Brokerage and Corporate Advisory</t>
  </si>
  <si>
    <t>5.2.8</t>
  </si>
  <si>
    <t>5.2.9</t>
  </si>
  <si>
    <t>Other (Not more than 5% of Corporate fees &amp; commission)</t>
  </si>
  <si>
    <t>OTHER INCOME</t>
  </si>
  <si>
    <t xml:space="preserve">Dividends </t>
  </si>
  <si>
    <t>6.1.1</t>
  </si>
  <si>
    <t>Dividends Income  (share &gt;10%)</t>
  </si>
  <si>
    <t>6.1.2</t>
  </si>
  <si>
    <t>Dividends Income  (share &lt;10%)</t>
  </si>
  <si>
    <t>Insurance Income</t>
  </si>
  <si>
    <t>Property Management</t>
  </si>
  <si>
    <t>Rental Income</t>
  </si>
  <si>
    <t>Net profit/ loss on sale of investments (other than securities)</t>
  </si>
  <si>
    <t>Net re-evaluation change (other than securities)</t>
  </si>
  <si>
    <t>Other Income</t>
  </si>
  <si>
    <t>TOTAL OPERATING INCOME (3+4+5+6)</t>
  </si>
  <si>
    <t>OPERATING EXPENSES (GENERAL &amp; ADMINISTRATIVE  EXPENSES)</t>
  </si>
  <si>
    <t>Staff expenses (excluding bonuses)</t>
  </si>
  <si>
    <t>Bonus expenses (including shares bonus)</t>
  </si>
  <si>
    <t>Premises Expenses</t>
  </si>
  <si>
    <t>IT Expenses (excluding IT outsourcing)</t>
  </si>
  <si>
    <t>Depreciation and Amortisation</t>
  </si>
  <si>
    <t>Non-Lending Operational Losses</t>
  </si>
  <si>
    <t>Fees and Commissions</t>
  </si>
  <si>
    <t>Director Fees</t>
  </si>
  <si>
    <t>Audit  Fees</t>
  </si>
  <si>
    <t xml:space="preserve">Other operating expense </t>
  </si>
  <si>
    <t>Outsourcing expenses</t>
  </si>
  <si>
    <t>8.11.1</t>
  </si>
  <si>
    <t>IT outsourcing expenses</t>
  </si>
  <si>
    <t>8.11.2</t>
  </si>
  <si>
    <t>Other outsourcing expenses</t>
  </si>
  <si>
    <t>OPERATING PROFIT BEFORE IMPAIRMENT &amp; TAXATION (7-8)</t>
  </si>
  <si>
    <t>IMPAIRMENT CHARGE</t>
  </si>
  <si>
    <t>Specific provision for loans &amp; advances</t>
  </si>
  <si>
    <t>Collective provision</t>
  </si>
  <si>
    <t>10.2.1</t>
  </si>
  <si>
    <t>Collective impairment</t>
  </si>
  <si>
    <t>10.2.2</t>
  </si>
  <si>
    <t>General Provision as per circular 28/2010</t>
  </si>
  <si>
    <t>Bad Debts written off</t>
  </si>
  <si>
    <t>Recoveries and write backs</t>
  </si>
  <si>
    <t>Provision on investments at amortized cost and Impairment on non-financial assets</t>
  </si>
  <si>
    <t>Other provisions</t>
  </si>
  <si>
    <t>Gain / loss on disposal of stake in jointly controlled entity or subsidiary or branches</t>
  </si>
  <si>
    <t>Share of results of associates and joint ventures</t>
  </si>
  <si>
    <t>TAXATION</t>
  </si>
  <si>
    <t>NET PROFIT (+)/ LOSS (-) (9-10+11+12-13)</t>
  </si>
  <si>
    <t>Attributable to:</t>
  </si>
  <si>
    <t>Equity Holders of the Group</t>
  </si>
  <si>
    <t>Minority Interest</t>
  </si>
  <si>
    <t>Other Comprehensive Income</t>
  </si>
  <si>
    <t>TOTAL COMPREHENSIVE INCOME</t>
  </si>
  <si>
    <t>16.2.1</t>
  </si>
  <si>
    <t>16.2.2</t>
  </si>
  <si>
    <t>Form No: BRF 209 - CONS. INC/DEC 2020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</si>
</sst>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charset val="0"/>
      <scheme val="minor"/>
    </font>
    <font>
      <b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8"/>
      <name val="Ariel"/>
      <charset val="0"/>
    </font>
    <font>
      <sz val="8"/>
      <color theme="1"/>
      <name val="Ariel"/>
      <charset val="0"/>
    </font>
    <font>
      <b/>
      <sz val="8"/>
      <name val="Arial"/>
      <family val="2"/>
      <charset val="0"/>
    </font>
    <font>
      <b/>
      <sz val="8"/>
      <name val="Ariel"/>
      <charset val="0"/>
    </font>
    <font>
      <b/>
      <sz val="8"/>
      <color indexed="8"/>
      <name val="Ariel"/>
      <charset val="0"/>
    </font>
    <font>
      <sz val="8"/>
      <name val="Arial"/>
      <family val="2"/>
      <charset val="0"/>
    </font>
    <font>
      <b/>
      <sz val="8"/>
      <color indexed="10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1"/>
      <color indexed="8"/>
      <name val="Calibri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0" fillId="6" borderId="13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7" applyNumberFormat="0" applyAlignment="0" applyProtection="0"/>
    <xf numFmtId="0" fontId="19" fillId="8" borderId="18" applyNumberFormat="0" applyAlignment="0" applyProtection="0"/>
    <xf numFmtId="0" fontId="20" fillId="8" borderId="17" applyNumberFormat="0" applyAlignment="0" applyProtection="0"/>
    <xf numFmtId="0" fontId="21" fillId="9" borderId="19" applyNumberFormat="0" applyAlignment="0" applyProtection="0"/>
    <xf numFmtId="0" fontId="22" fillId="0" borderId="20" applyNumberFormat="0" applyFill="0" applyAlignment="0" applyProtection="0"/>
    <xf numFmtId="0" fontId="23" fillId="0" borderId="21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7" fillId="36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9" fillId="0" borderId="0"/>
  </cellStyleXfs>
  <cellXfs count="62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left" wrapText="1"/>
    </xf>
    <xf numFmtId="0" fontId="3" fillId="3" borderId="3" xfId="0" applyFont="1" applyFill="1" applyBorder="1" applyAlignment="1" applyProtection="1">
      <alignment horizontal="center" wrapText="1"/>
    </xf>
    <xf numFmtId="0" fontId="3" fillId="3" borderId="4" xfId="0" applyFont="1" applyFill="1" applyBorder="1" applyAlignment="1" applyProtection="1">
      <alignment horizontal="center" wrapText="1"/>
    </xf>
    <xf numFmtId="0" fontId="2" fillId="3" borderId="5" xfId="0" applyFont="1" applyFill="1" applyBorder="1" applyAlignment="1" applyProtection="1">
      <alignment horizontal="left" wrapText="1"/>
    </xf>
    <xf numFmtId="0" fontId="2" fillId="3" borderId="0" xfId="0" applyFont="1" applyFill="1" applyBorder="1" applyAlignment="1" applyProtection="1">
      <alignment horizontal="left" wrapText="1"/>
    </xf>
    <xf numFmtId="0" fontId="4" fillId="0" borderId="3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left" wrapText="1"/>
    </xf>
    <xf numFmtId="0" fontId="4" fillId="0" borderId="7" xfId="0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left" wrapText="1"/>
    </xf>
    <xf numFmtId="0" fontId="4" fillId="4" borderId="9" xfId="0" applyFont="1" applyFill="1" applyBorder="1" applyAlignment="1" applyProtection="1">
      <alignment horizontal="center"/>
    </xf>
    <xf numFmtId="0" fontId="2" fillId="4" borderId="9" xfId="0" applyFont="1" applyFill="1" applyBorder="1" applyAlignment="1" applyProtection="1">
      <alignment horizontal="left" wrapText="1"/>
    </xf>
    <xf numFmtId="0" fontId="5" fillId="2" borderId="10" xfId="50" applyNumberFormat="1" applyFont="1" applyFill="1" applyBorder="1" applyAlignment="1" applyProtection="1">
      <alignment horizontal="center" vertical="center" wrapText="1"/>
    </xf>
    <xf numFmtId="0" fontId="5" fillId="2" borderId="10" xfId="50" applyNumberFormat="1" applyFont="1" applyFill="1" applyBorder="1" applyAlignment="1" applyProtection="1">
      <alignment horizontal="right" vertical="center" wrapText="1"/>
    </xf>
    <xf numFmtId="0" fontId="5" fillId="2" borderId="10" xfId="5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1" fillId="2" borderId="1" xfId="49" applyNumberFormat="1" applyFont="1" applyFill="1" applyBorder="1" applyAlignment="1" applyProtection="1">
      <alignment horizontal="center" vertical="center"/>
    </xf>
    <xf numFmtId="0" fontId="2" fillId="2" borderId="1" xfId="49" applyNumberFormat="1" applyFont="1" applyFill="1" applyBorder="1" applyAlignment="1" applyProtection="1">
      <alignment horizontal="right"/>
    </xf>
    <xf numFmtId="3" fontId="1" fillId="2" borderId="3" xfId="52" applyNumberFormat="1" applyFont="1" applyFill="1" applyBorder="1" applyAlignment="1" applyProtection="1">
      <alignment vertical="center"/>
    </xf>
    <xf numFmtId="3" fontId="2" fillId="2" borderId="1" xfId="49" applyNumberFormat="1" applyFont="1" applyFill="1" applyBorder="1" applyProtection="1"/>
    <xf numFmtId="0" fontId="2" fillId="0" borderId="1" xfId="49" applyNumberFormat="1" applyFont="1" applyFill="1" applyBorder="1" applyAlignment="1" applyProtection="1">
      <alignment horizontal="center" vertical="center"/>
    </xf>
    <xf numFmtId="3" fontId="2" fillId="0" borderId="3" xfId="52" applyNumberFormat="1" applyFont="1" applyFill="1" applyBorder="1" applyAlignment="1" applyProtection="1">
      <alignment vertical="center"/>
    </xf>
    <xf numFmtId="3" fontId="2" fillId="0" borderId="1" xfId="49" applyNumberFormat="1" applyFont="1" applyFill="1" applyBorder="1" applyProtection="1">
      <protection locked="0"/>
    </xf>
    <xf numFmtId="0" fontId="2" fillId="2" borderId="1" xfId="49" applyNumberFormat="1" applyFont="1" applyFill="1" applyBorder="1" applyAlignment="1" applyProtection="1">
      <alignment horizontal="center" vertical="center"/>
    </xf>
    <xf numFmtId="3" fontId="2" fillId="5" borderId="1" xfId="49" applyNumberFormat="1" applyFont="1" applyFill="1" applyBorder="1" applyProtection="1"/>
    <xf numFmtId="0" fontId="1" fillId="0" borderId="1" xfId="49" applyNumberFormat="1" applyFont="1" applyFill="1" applyBorder="1" applyAlignment="1" applyProtection="1">
      <alignment horizontal="center" vertical="center"/>
    </xf>
    <xf numFmtId="0" fontId="2" fillId="3" borderId="11" xfId="0" applyFont="1" applyFill="1" applyBorder="1" applyAlignment="1" applyProtection="1">
      <alignment horizontal="left" wrapText="1"/>
    </xf>
    <xf numFmtId="0" fontId="2" fillId="4" borderId="4" xfId="0" applyFont="1" applyFill="1" applyBorder="1" applyAlignment="1" applyProtection="1">
      <alignment horizontal="left" wrapText="1"/>
    </xf>
    <xf numFmtId="0" fontId="1" fillId="2" borderId="10" xfId="0" applyFont="1" applyFill="1" applyBorder="1" applyAlignment="1" applyProtection="1">
      <alignment horizontal="center" vertical="center" wrapText="1"/>
    </xf>
    <xf numFmtId="3" fontId="2" fillId="2" borderId="3" xfId="52" applyNumberFormat="1" applyFont="1" applyFill="1" applyBorder="1" applyAlignment="1" applyProtection="1">
      <alignment vertical="center"/>
    </xf>
    <xf numFmtId="0" fontId="2" fillId="0" borderId="3" xfId="49" applyFont="1" applyFill="1" applyBorder="1" applyAlignment="1" applyProtection="1">
      <alignment vertical="center"/>
    </xf>
    <xf numFmtId="2" fontId="2" fillId="0" borderId="1" xfId="49" applyNumberFormat="1" applyFont="1" applyFill="1" applyBorder="1" applyAlignment="1" applyProtection="1">
      <alignment horizontal="center" vertical="center"/>
    </xf>
    <xf numFmtId="3" fontId="8" fillId="5" borderId="1" xfId="49" applyNumberFormat="1" applyFont="1" applyFill="1" applyBorder="1" applyProtection="1"/>
    <xf numFmtId="0" fontId="2" fillId="0" borderId="3" xfId="51" applyFont="1" applyFill="1" applyBorder="1" applyAlignment="1" applyProtection="1">
      <alignment vertical="center" wrapText="1"/>
    </xf>
    <xf numFmtId="0" fontId="9" fillId="2" borderId="1" xfId="49" applyNumberFormat="1" applyFont="1" applyFill="1" applyBorder="1" applyAlignment="1" applyProtection="1">
      <alignment horizontal="center" vertical="center"/>
    </xf>
    <xf numFmtId="0" fontId="9" fillId="0" borderId="1" xfId="49" applyNumberFormat="1" applyFont="1" applyFill="1" applyBorder="1" applyAlignment="1" applyProtection="1">
      <alignment horizontal="center" vertical="center"/>
    </xf>
    <xf numFmtId="3" fontId="8" fillId="0" borderId="1" xfId="49" applyNumberFormat="1" applyFont="1" applyFill="1" applyBorder="1" applyProtection="1">
      <protection locked="0"/>
    </xf>
    <xf numFmtId="3" fontId="2" fillId="0" borderId="3" xfId="52" applyNumberFormat="1" applyFont="1" applyFill="1" applyBorder="1" applyAlignment="1" applyProtection="1">
      <alignment vertical="center" wrapText="1"/>
    </xf>
    <xf numFmtId="3" fontId="1" fillId="0" borderId="3" xfId="52" applyNumberFormat="1" applyFont="1" applyFill="1" applyBorder="1" applyAlignment="1" applyProtection="1">
      <alignment vertical="center"/>
    </xf>
    <xf numFmtId="0" fontId="1" fillId="2" borderId="3" xfId="49" applyFont="1" applyFill="1" applyBorder="1" applyAlignment="1" applyProtection="1">
      <alignment vertical="center" wrapText="1"/>
    </xf>
    <xf numFmtId="0" fontId="1" fillId="2" borderId="12" xfId="49" applyNumberFormat="1" applyFont="1" applyFill="1" applyBorder="1" applyAlignment="1" applyProtection="1">
      <alignment horizontal="center" vertical="center"/>
    </xf>
    <xf numFmtId="0" fontId="2" fillId="2" borderId="12" xfId="49" applyNumberFormat="1" applyFont="1" applyFill="1" applyBorder="1" applyAlignment="1" applyProtection="1">
      <alignment horizontal="center" vertical="center"/>
    </xf>
    <xf numFmtId="0" fontId="1" fillId="2" borderId="7" xfId="49" applyFont="1" applyFill="1" applyBorder="1" applyAlignment="1" applyProtection="1">
      <alignment vertical="center" wrapText="1"/>
    </xf>
    <xf numFmtId="0" fontId="1" fillId="0" borderId="12" xfId="49" applyNumberFormat="1" applyFont="1" applyFill="1" applyBorder="1" applyAlignment="1" applyProtection="1">
      <alignment horizontal="center" vertical="center"/>
    </xf>
    <xf numFmtId="0" fontId="2" fillId="0" borderId="12" xfId="49" applyNumberFormat="1" applyFont="1" applyFill="1" applyBorder="1" applyAlignment="1" applyProtection="1">
      <alignment horizontal="center" vertical="center"/>
    </xf>
    <xf numFmtId="0" fontId="2" fillId="0" borderId="7" xfId="49" applyFont="1" applyFill="1" applyBorder="1" applyAlignment="1" applyProtection="1">
      <alignment vertical="center" wrapText="1"/>
    </xf>
    <xf numFmtId="0" fontId="1" fillId="0" borderId="7" xfId="49" applyFont="1" applyFill="1" applyBorder="1" applyAlignment="1" applyProtection="1">
      <alignment vertical="center" wrapText="1"/>
    </xf>
    <xf numFmtId="0" fontId="5" fillId="2" borderId="12" xfId="1" applyNumberFormat="1" applyFont="1" applyFill="1" applyBorder="1" applyAlignment="1" applyProtection="1">
      <alignment horizontal="center" vertical="center"/>
    </xf>
    <xf numFmtId="0" fontId="8" fillId="2" borderId="12" xfId="49" applyNumberFormat="1" applyFont="1" applyFill="1" applyBorder="1" applyAlignment="1" applyProtection="1">
      <alignment horizontal="center" vertical="center"/>
    </xf>
    <xf numFmtId="3" fontId="2" fillId="2" borderId="12" xfId="49" applyNumberFormat="1" applyFont="1" applyFill="1" applyBorder="1" applyProtection="1"/>
    <xf numFmtId="0" fontId="5" fillId="2" borderId="3" xfId="1" applyNumberFormat="1" applyFont="1" applyFill="1" applyBorder="1" applyAlignment="1" applyProtection="1">
      <alignment horizontal="right"/>
    </xf>
    <xf numFmtId="0" fontId="8" fillId="2" borderId="9" xfId="49" applyNumberFormat="1" applyFont="1" applyFill="1" applyBorder="1" applyAlignment="1" applyProtection="1">
      <alignment horizontal="center" vertical="center"/>
    </xf>
    <xf numFmtId="0" fontId="1" fillId="2" borderId="1" xfId="49" applyFont="1" applyFill="1" applyBorder="1" applyAlignment="1" applyProtection="1">
      <alignment wrapText="1"/>
    </xf>
    <xf numFmtId="3" fontId="2" fillId="2" borderId="9" xfId="49" applyNumberFormat="1" applyFont="1" applyFill="1" applyBorder="1" applyProtection="1"/>
    <xf numFmtId="3" fontId="8" fillId="2" borderId="1" xfId="49" applyNumberFormat="1" applyFont="1" applyFill="1" applyBorder="1" applyProtection="1"/>
    <xf numFmtId="3" fontId="2" fillId="5" borderId="12" xfId="49" applyNumberFormat="1" applyFont="1" applyFill="1" applyBorder="1" applyProtection="1"/>
    <xf numFmtId="3" fontId="2" fillId="2" borderId="4" xfId="49" applyNumberFormat="1" applyFont="1" applyFill="1" applyBorder="1" applyProtection="1"/>
    <xf numFmtId="0" fontId="2" fillId="0" borderId="1" xfId="49" applyNumberFormat="1" applyFont="1" applyFill="1" applyBorder="1" applyAlignment="1" applyProtection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_Sheet1" xfId="52"/>
  </cellStyles>
  <tableStyles count="0" defaultTableStyle="TableStyleMedium2" defaultPivotStyle="PivotStyleLight16"/>
  <colors>
    <mruColors>
      <color rgb="00FF0000"/>
      <color rgb="00FFFFFF"/>
      <color rgb="00C0C0C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118"/>
  <sheetViews>
    <sheetView showGridLines="0" tabSelected="1" zoomScaleSheetLayoutView="60" workbookViewId="0">
      <selection activeCell="D7" sqref="D7"/>
    </sheetView>
  </sheetViews>
  <sheetFormatPr defaultColWidth="0" defaultRowHeight="15" zeroHeight="1"/>
  <cols>
    <col min="1" max="1" width="3.13636363636364" style="1" customWidth="1"/>
    <col min="2" max="2" width="5.42727272727273" style="1"/>
    <col min="3" max="3" width="5.28181818181818" style="1" customWidth="1"/>
    <col min="4" max="4" width="46.4272727272727" style="1" customWidth="1"/>
    <col min="5" max="14" width="15.7090909090909" style="1" customWidth="1"/>
    <col min="15" max="15" width="9.13636363636364" style="1" customWidth="1"/>
    <col min="16" max="16384" width="9.13636363636364" style="1" hidden="1"/>
  </cols>
  <sheetData>
    <row r="1" ht="14.5"/>
    <row r="2" ht="14.5" spans="2:1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5" spans="2:14">
      <c r="B3" s="3" t="s">
        <v>1</v>
      </c>
      <c r="C3" s="4" t="s">
        <v>2</v>
      </c>
      <c r="D3" s="5"/>
      <c r="E3" s="6"/>
      <c r="F3" s="7"/>
      <c r="G3" s="7"/>
      <c r="H3" s="7"/>
      <c r="I3" s="7"/>
      <c r="J3" s="7"/>
      <c r="K3" s="7"/>
      <c r="L3" s="7"/>
      <c r="M3" s="7"/>
      <c r="N3" s="31"/>
    </row>
    <row r="4" ht="14.5" spans="2:14">
      <c r="B4" s="3" t="s">
        <v>3</v>
      </c>
      <c r="C4" s="8" t="s">
        <v>4</v>
      </c>
      <c r="D4" s="9"/>
      <c r="E4" s="6"/>
      <c r="F4" s="7"/>
      <c r="G4" s="7"/>
      <c r="H4" s="7"/>
      <c r="I4" s="7"/>
      <c r="J4" s="7"/>
      <c r="K4" s="7"/>
      <c r="L4" s="7"/>
      <c r="M4" s="7"/>
      <c r="N4" s="31"/>
    </row>
    <row r="5" ht="14.5" spans="2:14">
      <c r="B5" s="10" t="s">
        <v>5</v>
      </c>
      <c r="C5" s="11"/>
      <c r="D5" s="12"/>
      <c r="E5" s="6"/>
      <c r="F5" s="7"/>
      <c r="G5" s="7"/>
      <c r="H5" s="7"/>
      <c r="I5" s="7"/>
      <c r="J5" s="7"/>
      <c r="K5" s="7"/>
      <c r="L5" s="7"/>
      <c r="M5" s="7"/>
      <c r="N5" s="31"/>
    </row>
    <row r="6" ht="14.5" spans="2:14">
      <c r="B6" s="13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32"/>
    </row>
    <row r="7" ht="168" spans="2:14">
      <c r="B7" s="16" t="s">
        <v>6</v>
      </c>
      <c r="C7" s="17"/>
      <c r="D7" s="18" t="s">
        <v>7</v>
      </c>
      <c r="E7" s="18" t="s">
        <v>8</v>
      </c>
      <c r="F7" s="19" t="s">
        <v>9</v>
      </c>
      <c r="G7" s="20" t="s">
        <v>10</v>
      </c>
      <c r="H7" s="20" t="s">
        <v>11</v>
      </c>
      <c r="I7" s="20" t="s">
        <v>12</v>
      </c>
      <c r="J7" s="20" t="s">
        <v>13</v>
      </c>
      <c r="K7" s="20" t="s">
        <v>14</v>
      </c>
      <c r="L7" s="33" t="s">
        <v>15</v>
      </c>
      <c r="M7" s="33" t="s">
        <v>16</v>
      </c>
      <c r="N7" s="33" t="s">
        <v>17</v>
      </c>
    </row>
    <row r="8" ht="14.5" spans="2:14">
      <c r="B8" s="21">
        <v>1</v>
      </c>
      <c r="C8" s="22" t="s">
        <v>18</v>
      </c>
      <c r="D8" s="23" t="s">
        <v>19</v>
      </c>
      <c r="E8" s="24">
        <f>SUM(E9:E12)+E21+E25+E26</f>
        <v>0</v>
      </c>
      <c r="F8" s="24">
        <f t="shared" ref="F8:M8" si="0">SUM(F9:F12)+F21+F25+F26</f>
        <v>0</v>
      </c>
      <c r="G8" s="24">
        <f t="shared" si="0"/>
        <v>0</v>
      </c>
      <c r="H8" s="24">
        <f t="shared" si="0"/>
        <v>0</v>
      </c>
      <c r="I8" s="24">
        <f t="shared" si="0"/>
        <v>0</v>
      </c>
      <c r="J8" s="24">
        <f t="shared" si="0"/>
        <v>0</v>
      </c>
      <c r="K8" s="24">
        <f t="shared" si="0"/>
        <v>0</v>
      </c>
      <c r="L8" s="24">
        <f t="shared" si="0"/>
        <v>0</v>
      </c>
      <c r="M8" s="24">
        <f t="shared" si="0"/>
        <v>0</v>
      </c>
      <c r="N8" s="24">
        <f>SUM(K8:M8)</f>
        <v>0</v>
      </c>
    </row>
    <row r="9" ht="14.5" spans="2:14">
      <c r="B9" s="25"/>
      <c r="C9" s="25">
        <v>1.1</v>
      </c>
      <c r="D9" s="26" t="s">
        <v>20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4">
        <f t="shared" ref="K9:K72" si="1">SUM(E9:J9)</f>
        <v>0</v>
      </c>
      <c r="L9" s="27">
        <v>0</v>
      </c>
      <c r="M9" s="27">
        <v>0</v>
      </c>
      <c r="N9" s="24">
        <f t="shared" ref="N9:N72" si="2">SUM(K9:M9)</f>
        <v>0</v>
      </c>
    </row>
    <row r="10" ht="14.5" spans="2:14">
      <c r="B10" s="25"/>
      <c r="C10" s="25">
        <v>1.2</v>
      </c>
      <c r="D10" s="26" t="s">
        <v>21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4">
        <f t="shared" si="1"/>
        <v>0</v>
      </c>
      <c r="L10" s="27">
        <v>0</v>
      </c>
      <c r="M10" s="27">
        <v>0</v>
      </c>
      <c r="N10" s="24">
        <f t="shared" si="2"/>
        <v>0</v>
      </c>
    </row>
    <row r="11" ht="14.5" spans="2:14">
      <c r="B11" s="25"/>
      <c r="C11" s="25">
        <v>1.3</v>
      </c>
      <c r="D11" s="26" t="s">
        <v>22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4">
        <f t="shared" si="1"/>
        <v>0</v>
      </c>
      <c r="L11" s="27">
        <v>0</v>
      </c>
      <c r="M11" s="27">
        <v>0</v>
      </c>
      <c r="N11" s="24">
        <f t="shared" si="2"/>
        <v>0</v>
      </c>
    </row>
    <row r="12" ht="14.5" spans="2:14">
      <c r="B12" s="28"/>
      <c r="C12" s="21">
        <v>1.4</v>
      </c>
      <c r="D12" s="23" t="s">
        <v>23</v>
      </c>
      <c r="E12" s="24">
        <f t="shared" ref="E12:M12" si="3">SUM(E13:E20)</f>
        <v>0</v>
      </c>
      <c r="F12" s="24">
        <f t="shared" si="3"/>
        <v>0</v>
      </c>
      <c r="G12" s="24">
        <f t="shared" si="3"/>
        <v>0</v>
      </c>
      <c r="H12" s="24">
        <f t="shared" si="3"/>
        <v>0</v>
      </c>
      <c r="I12" s="24">
        <f t="shared" si="3"/>
        <v>0</v>
      </c>
      <c r="J12" s="24">
        <f t="shared" si="3"/>
        <v>0</v>
      </c>
      <c r="K12" s="24">
        <f t="shared" si="1"/>
        <v>0</v>
      </c>
      <c r="L12" s="24">
        <f t="shared" si="3"/>
        <v>0</v>
      </c>
      <c r="M12" s="24">
        <f t="shared" si="3"/>
        <v>0</v>
      </c>
      <c r="N12" s="24">
        <f t="shared" si="2"/>
        <v>0</v>
      </c>
    </row>
    <row r="13" ht="14.5" spans="2:14">
      <c r="B13" s="25"/>
      <c r="C13" s="25" t="s">
        <v>24</v>
      </c>
      <c r="D13" s="26" t="s">
        <v>25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4">
        <f t="shared" si="1"/>
        <v>0</v>
      </c>
      <c r="L13" s="27">
        <v>0</v>
      </c>
      <c r="M13" s="27">
        <v>0</v>
      </c>
      <c r="N13" s="24">
        <f t="shared" si="2"/>
        <v>0</v>
      </c>
    </row>
    <row r="14" ht="14.5" spans="2:14">
      <c r="B14" s="25"/>
      <c r="C14" s="25" t="s">
        <v>26</v>
      </c>
      <c r="D14" s="26" t="s">
        <v>27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4">
        <f t="shared" si="1"/>
        <v>0</v>
      </c>
      <c r="L14" s="27">
        <v>0</v>
      </c>
      <c r="M14" s="27">
        <v>0</v>
      </c>
      <c r="N14" s="24">
        <f t="shared" si="2"/>
        <v>0</v>
      </c>
    </row>
    <row r="15" ht="14.5" spans="2:14">
      <c r="B15" s="25"/>
      <c r="C15" s="25" t="s">
        <v>28</v>
      </c>
      <c r="D15" s="26" t="s">
        <v>29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4">
        <f t="shared" si="1"/>
        <v>0</v>
      </c>
      <c r="L15" s="27">
        <v>0</v>
      </c>
      <c r="M15" s="27">
        <v>0</v>
      </c>
      <c r="N15" s="24">
        <f t="shared" si="2"/>
        <v>0</v>
      </c>
    </row>
    <row r="16" ht="14.5" spans="2:14">
      <c r="B16" s="25"/>
      <c r="C16" s="25" t="s">
        <v>30</v>
      </c>
      <c r="D16" s="26" t="s">
        <v>31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4">
        <f t="shared" si="1"/>
        <v>0</v>
      </c>
      <c r="L16" s="27">
        <v>0</v>
      </c>
      <c r="M16" s="27">
        <v>0</v>
      </c>
      <c r="N16" s="24">
        <f t="shared" si="2"/>
        <v>0</v>
      </c>
    </row>
    <row r="17" ht="14.5" spans="2:14">
      <c r="B17" s="25"/>
      <c r="C17" s="25" t="s">
        <v>32</v>
      </c>
      <c r="D17" s="26" t="s">
        <v>33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4">
        <f t="shared" si="1"/>
        <v>0</v>
      </c>
      <c r="L17" s="27">
        <v>0</v>
      </c>
      <c r="M17" s="27">
        <v>0</v>
      </c>
      <c r="N17" s="24">
        <f t="shared" si="2"/>
        <v>0</v>
      </c>
    </row>
    <row r="18" ht="14.5" spans="2:14">
      <c r="B18" s="25"/>
      <c r="C18" s="25" t="s">
        <v>34</v>
      </c>
      <c r="D18" s="26" t="s">
        <v>35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4">
        <f t="shared" si="1"/>
        <v>0</v>
      </c>
      <c r="L18" s="27">
        <v>0</v>
      </c>
      <c r="M18" s="27">
        <v>0</v>
      </c>
      <c r="N18" s="24">
        <f t="shared" si="2"/>
        <v>0</v>
      </c>
    </row>
    <row r="19" ht="14.5" spans="2:14">
      <c r="B19" s="25"/>
      <c r="C19" s="25" t="s">
        <v>36</v>
      </c>
      <c r="D19" s="26" t="s">
        <v>37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4">
        <f t="shared" si="1"/>
        <v>0</v>
      </c>
      <c r="L19" s="27">
        <v>0</v>
      </c>
      <c r="M19" s="27">
        <v>0</v>
      </c>
      <c r="N19" s="24">
        <f t="shared" si="2"/>
        <v>0</v>
      </c>
    </row>
    <row r="20" ht="14.5" spans="2:14">
      <c r="B20" s="25"/>
      <c r="C20" s="25" t="s">
        <v>38</v>
      </c>
      <c r="D20" s="26" t="s">
        <v>39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4">
        <f t="shared" si="1"/>
        <v>0</v>
      </c>
      <c r="L20" s="27">
        <v>0</v>
      </c>
      <c r="M20" s="27">
        <v>0</v>
      </c>
      <c r="N20" s="24">
        <f t="shared" si="2"/>
        <v>0</v>
      </c>
    </row>
    <row r="21" ht="14.5" spans="2:14">
      <c r="B21" s="28"/>
      <c r="C21" s="21">
        <v>1.5</v>
      </c>
      <c r="D21" s="23" t="s">
        <v>40</v>
      </c>
      <c r="E21" s="24">
        <f>E22+E23+E24</f>
        <v>0</v>
      </c>
      <c r="F21" s="24">
        <f>F22+F23+F24</f>
        <v>0</v>
      </c>
      <c r="G21" s="24">
        <f>G22+G23+G24</f>
        <v>0</v>
      </c>
      <c r="H21" s="24">
        <f t="shared" ref="H21:M21" si="4">H22+H23+H24</f>
        <v>0</v>
      </c>
      <c r="I21" s="24">
        <f t="shared" si="4"/>
        <v>0</v>
      </c>
      <c r="J21" s="24">
        <f t="shared" si="4"/>
        <v>0</v>
      </c>
      <c r="K21" s="24">
        <f t="shared" si="4"/>
        <v>0</v>
      </c>
      <c r="L21" s="24">
        <f t="shared" si="4"/>
        <v>0</v>
      </c>
      <c r="M21" s="24">
        <f t="shared" si="4"/>
        <v>0</v>
      </c>
      <c r="N21" s="24">
        <f t="shared" si="2"/>
        <v>0</v>
      </c>
    </row>
    <row r="22" ht="14.5" spans="2:14">
      <c r="B22" s="25"/>
      <c r="C22" s="25" t="s">
        <v>41</v>
      </c>
      <c r="D22" s="26" t="s">
        <v>42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4">
        <f t="shared" si="1"/>
        <v>0</v>
      </c>
      <c r="L22" s="27">
        <v>0</v>
      </c>
      <c r="M22" s="27">
        <v>0</v>
      </c>
      <c r="N22" s="24">
        <f t="shared" si="2"/>
        <v>0</v>
      </c>
    </row>
    <row r="23" ht="14.5" spans="2:14">
      <c r="B23" s="25"/>
      <c r="C23" s="25" t="s">
        <v>43</v>
      </c>
      <c r="D23" s="26" t="s">
        <v>44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4">
        <f t="shared" si="1"/>
        <v>0</v>
      </c>
      <c r="L23" s="27">
        <v>0</v>
      </c>
      <c r="M23" s="27">
        <v>0</v>
      </c>
      <c r="N23" s="24">
        <f t="shared" si="2"/>
        <v>0</v>
      </c>
    </row>
    <row r="24" ht="14.5" spans="2:14">
      <c r="B24" s="25"/>
      <c r="C24" s="25" t="s">
        <v>45</v>
      </c>
      <c r="D24" s="26" t="s">
        <v>46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4">
        <f t="shared" si="1"/>
        <v>0</v>
      </c>
      <c r="L24" s="27">
        <v>0</v>
      </c>
      <c r="M24" s="27">
        <v>0</v>
      </c>
      <c r="N24" s="24">
        <f t="shared" si="2"/>
        <v>0</v>
      </c>
    </row>
    <row r="25" ht="14.5" spans="2:14">
      <c r="B25" s="25"/>
      <c r="C25" s="25">
        <v>1.6</v>
      </c>
      <c r="D25" s="26" t="s">
        <v>47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4">
        <f t="shared" si="1"/>
        <v>0</v>
      </c>
      <c r="L25" s="27">
        <v>0</v>
      </c>
      <c r="M25" s="27">
        <v>0</v>
      </c>
      <c r="N25" s="24">
        <f t="shared" si="2"/>
        <v>0</v>
      </c>
    </row>
    <row r="26" ht="14.5" spans="2:14">
      <c r="B26" s="25"/>
      <c r="C26" s="25">
        <v>1.7</v>
      </c>
      <c r="D26" s="26" t="s">
        <v>48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4">
        <f t="shared" si="1"/>
        <v>0</v>
      </c>
      <c r="L26" s="27">
        <v>0</v>
      </c>
      <c r="M26" s="27">
        <v>0</v>
      </c>
      <c r="N26" s="24">
        <f t="shared" si="2"/>
        <v>0</v>
      </c>
    </row>
    <row r="27" ht="14.5" spans="2:14">
      <c r="B27" s="21">
        <v>2</v>
      </c>
      <c r="C27" s="28"/>
      <c r="D27" s="23" t="s">
        <v>49</v>
      </c>
      <c r="E27" s="29">
        <f>E28+E29+E30+E31+E35+E36</f>
        <v>0</v>
      </c>
      <c r="F27" s="29">
        <f>F28+F29+F30+F31+F35+F36</f>
        <v>0</v>
      </c>
      <c r="G27" s="29">
        <f t="shared" ref="G27:M27" si="5">G28+G29+G30+G31+G35+G36</f>
        <v>0</v>
      </c>
      <c r="H27" s="29">
        <f t="shared" si="5"/>
        <v>0</v>
      </c>
      <c r="I27" s="29">
        <f t="shared" si="5"/>
        <v>0</v>
      </c>
      <c r="J27" s="29">
        <f t="shared" si="5"/>
        <v>0</v>
      </c>
      <c r="K27" s="29">
        <f t="shared" si="5"/>
        <v>0</v>
      </c>
      <c r="L27" s="29">
        <f t="shared" si="5"/>
        <v>0</v>
      </c>
      <c r="M27" s="29">
        <f t="shared" si="5"/>
        <v>0</v>
      </c>
      <c r="N27" s="24">
        <f t="shared" si="2"/>
        <v>0</v>
      </c>
    </row>
    <row r="28" ht="14.5" spans="2:14">
      <c r="B28" s="25"/>
      <c r="C28" s="25">
        <v>2.1</v>
      </c>
      <c r="D28" s="26" t="s">
        <v>20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4">
        <f t="shared" si="1"/>
        <v>0</v>
      </c>
      <c r="L28" s="27">
        <v>0</v>
      </c>
      <c r="M28" s="27">
        <v>0</v>
      </c>
      <c r="N28" s="24">
        <f t="shared" si="2"/>
        <v>0</v>
      </c>
    </row>
    <row r="29" ht="14.5" spans="2:14">
      <c r="B29" s="25"/>
      <c r="C29" s="25">
        <v>2.2</v>
      </c>
      <c r="D29" s="26" t="s">
        <v>50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4">
        <f t="shared" si="1"/>
        <v>0</v>
      </c>
      <c r="L29" s="27">
        <v>0</v>
      </c>
      <c r="M29" s="27">
        <v>0</v>
      </c>
      <c r="N29" s="24">
        <f t="shared" si="2"/>
        <v>0</v>
      </c>
    </row>
    <row r="30" ht="14.5" spans="2:14">
      <c r="B30" s="25"/>
      <c r="C30" s="25">
        <v>2.3</v>
      </c>
      <c r="D30" s="26" t="s">
        <v>23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4">
        <f t="shared" si="1"/>
        <v>0</v>
      </c>
      <c r="L30" s="27">
        <v>0</v>
      </c>
      <c r="M30" s="27">
        <v>0</v>
      </c>
      <c r="N30" s="24">
        <f t="shared" si="2"/>
        <v>0</v>
      </c>
    </row>
    <row r="31" ht="14.5" spans="2:14">
      <c r="B31" s="28"/>
      <c r="C31" s="21">
        <v>2.4</v>
      </c>
      <c r="D31" s="23" t="s">
        <v>40</v>
      </c>
      <c r="E31" s="24">
        <f>E32+E33+E34</f>
        <v>0</v>
      </c>
      <c r="F31" s="24">
        <f>F32+F33+F34</f>
        <v>0</v>
      </c>
      <c r="G31" s="24">
        <f t="shared" ref="G31:M31" si="6">G32+G33+G34</f>
        <v>0</v>
      </c>
      <c r="H31" s="24">
        <f t="shared" si="6"/>
        <v>0</v>
      </c>
      <c r="I31" s="24">
        <f t="shared" si="6"/>
        <v>0</v>
      </c>
      <c r="J31" s="24">
        <f t="shared" si="6"/>
        <v>0</v>
      </c>
      <c r="K31" s="24">
        <f t="shared" si="6"/>
        <v>0</v>
      </c>
      <c r="L31" s="24">
        <f t="shared" si="6"/>
        <v>0</v>
      </c>
      <c r="M31" s="24">
        <f t="shared" si="6"/>
        <v>0</v>
      </c>
      <c r="N31" s="24">
        <f t="shared" si="2"/>
        <v>0</v>
      </c>
    </row>
    <row r="32" ht="14.5" spans="2:14">
      <c r="B32" s="25"/>
      <c r="C32" s="25" t="s">
        <v>51</v>
      </c>
      <c r="D32" s="26" t="s">
        <v>52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4">
        <f t="shared" si="1"/>
        <v>0</v>
      </c>
      <c r="L32" s="27">
        <v>0</v>
      </c>
      <c r="M32" s="27">
        <v>0</v>
      </c>
      <c r="N32" s="24">
        <f t="shared" si="2"/>
        <v>0</v>
      </c>
    </row>
    <row r="33" ht="14.5" spans="2:14">
      <c r="B33" s="25"/>
      <c r="C33" s="25" t="s">
        <v>53</v>
      </c>
      <c r="D33" s="26" t="s">
        <v>44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4">
        <f t="shared" si="1"/>
        <v>0</v>
      </c>
      <c r="L33" s="27">
        <v>0</v>
      </c>
      <c r="M33" s="27">
        <v>0</v>
      </c>
      <c r="N33" s="24">
        <f t="shared" si="2"/>
        <v>0</v>
      </c>
    </row>
    <row r="34" ht="14.5" spans="2:14">
      <c r="B34" s="25"/>
      <c r="C34" s="25" t="s">
        <v>54</v>
      </c>
      <c r="D34" s="26" t="s">
        <v>55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4">
        <f t="shared" si="1"/>
        <v>0</v>
      </c>
      <c r="L34" s="27">
        <v>0</v>
      </c>
      <c r="M34" s="27">
        <v>0</v>
      </c>
      <c r="N34" s="24">
        <f t="shared" si="2"/>
        <v>0</v>
      </c>
    </row>
    <row r="35" ht="14.5" spans="2:14">
      <c r="B35" s="25"/>
      <c r="C35" s="25">
        <v>2.5</v>
      </c>
      <c r="D35" s="26" t="s">
        <v>56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4">
        <f t="shared" si="1"/>
        <v>0</v>
      </c>
      <c r="L35" s="27">
        <v>0</v>
      </c>
      <c r="M35" s="27">
        <v>0</v>
      </c>
      <c r="N35" s="24">
        <f t="shared" si="2"/>
        <v>0</v>
      </c>
    </row>
    <row r="36" ht="14.5" spans="2:14">
      <c r="B36" s="25"/>
      <c r="C36" s="25">
        <v>2.6</v>
      </c>
      <c r="D36" s="26" t="s">
        <v>48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4">
        <f t="shared" si="1"/>
        <v>0</v>
      </c>
      <c r="L36" s="27">
        <v>0</v>
      </c>
      <c r="M36" s="27">
        <v>0</v>
      </c>
      <c r="N36" s="24">
        <f t="shared" si="2"/>
        <v>0</v>
      </c>
    </row>
    <row r="37" ht="14.5" spans="2:14">
      <c r="B37" s="21">
        <v>3</v>
      </c>
      <c r="C37" s="21"/>
      <c r="D37" s="23" t="s">
        <v>57</v>
      </c>
      <c r="E37" s="29">
        <f>E8-E27</f>
        <v>0</v>
      </c>
      <c r="F37" s="29">
        <f>F8-F27</f>
        <v>0</v>
      </c>
      <c r="G37" s="29">
        <f t="shared" ref="G37:M37" si="7">G8-G27</f>
        <v>0</v>
      </c>
      <c r="H37" s="29">
        <f t="shared" si="7"/>
        <v>0</v>
      </c>
      <c r="I37" s="29">
        <f t="shared" si="7"/>
        <v>0</v>
      </c>
      <c r="J37" s="29">
        <f t="shared" si="7"/>
        <v>0</v>
      </c>
      <c r="K37" s="29">
        <f t="shared" si="7"/>
        <v>0</v>
      </c>
      <c r="L37" s="29">
        <f t="shared" si="7"/>
        <v>0</v>
      </c>
      <c r="M37" s="29">
        <f t="shared" si="7"/>
        <v>0</v>
      </c>
      <c r="N37" s="24">
        <f t="shared" si="2"/>
        <v>0</v>
      </c>
    </row>
    <row r="38" ht="14.5" spans="2:14">
      <c r="B38" s="21">
        <v>4</v>
      </c>
      <c r="C38" s="21"/>
      <c r="D38" s="23" t="s">
        <v>58</v>
      </c>
      <c r="E38" s="29">
        <f>E39+E43+E44</f>
        <v>0</v>
      </c>
      <c r="F38" s="29">
        <f>F39+F43+F44</f>
        <v>0</v>
      </c>
      <c r="G38" s="29">
        <f t="shared" ref="G38:M38" si="8">G39+G43+G44</f>
        <v>0</v>
      </c>
      <c r="H38" s="29">
        <f t="shared" si="8"/>
        <v>0</v>
      </c>
      <c r="I38" s="29">
        <f t="shared" si="8"/>
        <v>0</v>
      </c>
      <c r="J38" s="29">
        <f t="shared" si="8"/>
        <v>0</v>
      </c>
      <c r="K38" s="29">
        <f t="shared" si="8"/>
        <v>0</v>
      </c>
      <c r="L38" s="29">
        <f t="shared" si="8"/>
        <v>0</v>
      </c>
      <c r="M38" s="29">
        <f t="shared" si="8"/>
        <v>0</v>
      </c>
      <c r="N38" s="24">
        <f t="shared" si="2"/>
        <v>0</v>
      </c>
    </row>
    <row r="39" ht="14.5" spans="2:14">
      <c r="B39" s="28"/>
      <c r="C39" s="21">
        <v>4.1</v>
      </c>
      <c r="D39" s="23" t="s">
        <v>59</v>
      </c>
      <c r="E39" s="24">
        <f>E40+E41+E42</f>
        <v>0</v>
      </c>
      <c r="F39" s="24">
        <f>F40+F41+F42</f>
        <v>0</v>
      </c>
      <c r="G39" s="24">
        <f t="shared" ref="G39:M39" si="9">G40+G41+G42</f>
        <v>0</v>
      </c>
      <c r="H39" s="24">
        <f t="shared" si="9"/>
        <v>0</v>
      </c>
      <c r="I39" s="24">
        <f t="shared" si="9"/>
        <v>0</v>
      </c>
      <c r="J39" s="24">
        <f t="shared" si="9"/>
        <v>0</v>
      </c>
      <c r="K39" s="24">
        <f t="shared" si="9"/>
        <v>0</v>
      </c>
      <c r="L39" s="24">
        <f t="shared" si="9"/>
        <v>0</v>
      </c>
      <c r="M39" s="24">
        <f t="shared" si="9"/>
        <v>0</v>
      </c>
      <c r="N39" s="24">
        <f t="shared" si="2"/>
        <v>0</v>
      </c>
    </row>
    <row r="40" ht="14.5" spans="2:14">
      <c r="B40" s="25"/>
      <c r="C40" s="62" t="s">
        <v>60</v>
      </c>
      <c r="D40" s="26" t="s">
        <v>61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4">
        <f t="shared" si="1"/>
        <v>0</v>
      </c>
      <c r="L40" s="27">
        <v>0</v>
      </c>
      <c r="M40" s="27">
        <v>0</v>
      </c>
      <c r="N40" s="24">
        <f t="shared" si="2"/>
        <v>0</v>
      </c>
    </row>
    <row r="41" ht="14.5" spans="2:14">
      <c r="B41" s="30"/>
      <c r="C41" s="25" t="s">
        <v>62</v>
      </c>
      <c r="D41" s="26" t="s">
        <v>63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4">
        <f t="shared" si="1"/>
        <v>0</v>
      </c>
      <c r="L41" s="27">
        <v>0</v>
      </c>
      <c r="M41" s="27">
        <v>0</v>
      </c>
      <c r="N41" s="24">
        <f t="shared" si="2"/>
        <v>0</v>
      </c>
    </row>
    <row r="42" ht="14.5" spans="2:14">
      <c r="B42" s="30"/>
      <c r="C42" s="25" t="s">
        <v>64</v>
      </c>
      <c r="D42" s="26" t="s">
        <v>65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4">
        <f t="shared" si="1"/>
        <v>0</v>
      </c>
      <c r="L42" s="27">
        <v>0</v>
      </c>
      <c r="M42" s="27">
        <v>0</v>
      </c>
      <c r="N42" s="24">
        <f t="shared" si="2"/>
        <v>0</v>
      </c>
    </row>
    <row r="43" ht="14.5" spans="2:14">
      <c r="B43" s="30"/>
      <c r="C43" s="25">
        <v>4.2</v>
      </c>
      <c r="D43" s="26" t="s">
        <v>66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4">
        <f t="shared" si="1"/>
        <v>0</v>
      </c>
      <c r="L43" s="27">
        <v>0</v>
      </c>
      <c r="M43" s="27">
        <v>0</v>
      </c>
      <c r="N43" s="24">
        <f t="shared" si="2"/>
        <v>0</v>
      </c>
    </row>
    <row r="44" ht="14.5" spans="2:14">
      <c r="B44" s="21"/>
      <c r="C44" s="21">
        <v>4.3</v>
      </c>
      <c r="D44" s="23" t="s">
        <v>67</v>
      </c>
      <c r="E44" s="24">
        <f>SUM(E45:E49)</f>
        <v>0</v>
      </c>
      <c r="F44" s="24">
        <f>SUM(F45:F49)</f>
        <v>0</v>
      </c>
      <c r="G44" s="24">
        <f t="shared" ref="G44:M44" si="10">SUM(G45:G49)</f>
        <v>0</v>
      </c>
      <c r="H44" s="24">
        <f t="shared" si="10"/>
        <v>0</v>
      </c>
      <c r="I44" s="24">
        <f t="shared" si="10"/>
        <v>0</v>
      </c>
      <c r="J44" s="24">
        <f t="shared" si="10"/>
        <v>0</v>
      </c>
      <c r="K44" s="24">
        <f t="shared" si="1"/>
        <v>0</v>
      </c>
      <c r="L44" s="24">
        <f t="shared" si="10"/>
        <v>0</v>
      </c>
      <c r="M44" s="24">
        <f t="shared" si="10"/>
        <v>0</v>
      </c>
      <c r="N44" s="24">
        <f t="shared" si="2"/>
        <v>0</v>
      </c>
    </row>
    <row r="45" ht="14.5" spans="2:14">
      <c r="B45" s="30"/>
      <c r="C45" s="25" t="s">
        <v>68</v>
      </c>
      <c r="D45" s="26" t="s">
        <v>69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4">
        <f t="shared" si="1"/>
        <v>0</v>
      </c>
      <c r="L45" s="27">
        <v>0</v>
      </c>
      <c r="M45" s="27">
        <v>0</v>
      </c>
      <c r="N45" s="24">
        <f t="shared" si="2"/>
        <v>0</v>
      </c>
    </row>
    <row r="46" ht="14.5" spans="2:14">
      <c r="B46" s="30"/>
      <c r="C46" s="25" t="s">
        <v>70</v>
      </c>
      <c r="D46" s="26" t="s">
        <v>71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4">
        <f t="shared" si="1"/>
        <v>0</v>
      </c>
      <c r="L46" s="27">
        <v>0</v>
      </c>
      <c r="M46" s="27">
        <v>0</v>
      </c>
      <c r="N46" s="24">
        <f t="shared" si="2"/>
        <v>0</v>
      </c>
    </row>
    <row r="47" ht="14.5" spans="2:14">
      <c r="B47" s="30"/>
      <c r="C47" s="25" t="s">
        <v>72</v>
      </c>
      <c r="D47" s="26" t="s">
        <v>73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4">
        <f t="shared" si="1"/>
        <v>0</v>
      </c>
      <c r="L47" s="27">
        <v>0</v>
      </c>
      <c r="M47" s="27">
        <v>0</v>
      </c>
      <c r="N47" s="24">
        <f t="shared" si="2"/>
        <v>0</v>
      </c>
    </row>
    <row r="48" ht="14.5" spans="2:14">
      <c r="B48" s="30"/>
      <c r="C48" s="25" t="s">
        <v>74</v>
      </c>
      <c r="D48" s="26" t="s">
        <v>75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4">
        <f t="shared" si="1"/>
        <v>0</v>
      </c>
      <c r="L48" s="27">
        <v>0</v>
      </c>
      <c r="M48" s="27">
        <v>0</v>
      </c>
      <c r="N48" s="24">
        <f t="shared" si="2"/>
        <v>0</v>
      </c>
    </row>
    <row r="49" ht="14.5" spans="2:14">
      <c r="B49" s="30"/>
      <c r="C49" s="25" t="s">
        <v>76</v>
      </c>
      <c r="D49" s="26" t="s">
        <v>77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4">
        <f t="shared" si="1"/>
        <v>0</v>
      </c>
      <c r="L49" s="27">
        <v>0</v>
      </c>
      <c r="M49" s="27">
        <v>0</v>
      </c>
      <c r="N49" s="24">
        <f t="shared" si="2"/>
        <v>0</v>
      </c>
    </row>
    <row r="50" ht="14.5" spans="2:14">
      <c r="B50" s="21">
        <v>5</v>
      </c>
      <c r="C50" s="21"/>
      <c r="D50" s="23" t="s">
        <v>78</v>
      </c>
      <c r="E50" s="24">
        <f>E51+E58</f>
        <v>0</v>
      </c>
      <c r="F50" s="24">
        <f>F51+F58</f>
        <v>0</v>
      </c>
      <c r="G50" s="24">
        <f t="shared" ref="G50:M50" si="11">G51+G58</f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2"/>
        <v>0</v>
      </c>
    </row>
    <row r="51" ht="14.5" spans="2:14">
      <c r="B51" s="21"/>
      <c r="C51" s="21">
        <v>5.1</v>
      </c>
      <c r="D51" s="23" t="s">
        <v>79</v>
      </c>
      <c r="E51" s="24">
        <f>SUM(E52:E57)</f>
        <v>0</v>
      </c>
      <c r="F51" s="24">
        <f>SUM(F52:F57)</f>
        <v>0</v>
      </c>
      <c r="G51" s="24">
        <f t="shared" ref="G51:M51" si="12">SUM(G52:G57)</f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"/>
        <v>0</v>
      </c>
      <c r="L51" s="24">
        <f t="shared" si="12"/>
        <v>0</v>
      </c>
      <c r="M51" s="24">
        <f t="shared" si="12"/>
        <v>0</v>
      </c>
      <c r="N51" s="24">
        <f t="shared" si="2"/>
        <v>0</v>
      </c>
    </row>
    <row r="52" ht="14.5" spans="2:14">
      <c r="B52" s="30"/>
      <c r="C52" s="25" t="s">
        <v>80</v>
      </c>
      <c r="D52" s="26" t="s">
        <v>81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4">
        <f t="shared" si="1"/>
        <v>0</v>
      </c>
      <c r="L52" s="27">
        <v>0</v>
      </c>
      <c r="M52" s="27">
        <v>0</v>
      </c>
      <c r="N52" s="24">
        <f t="shared" si="2"/>
        <v>0</v>
      </c>
    </row>
    <row r="53" ht="14.5" spans="2:14">
      <c r="B53" s="30"/>
      <c r="C53" s="25" t="s">
        <v>82</v>
      </c>
      <c r="D53" s="26" t="s">
        <v>83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4">
        <f t="shared" si="1"/>
        <v>0</v>
      </c>
      <c r="L53" s="27">
        <v>0</v>
      </c>
      <c r="M53" s="27">
        <v>0</v>
      </c>
      <c r="N53" s="24">
        <f t="shared" si="2"/>
        <v>0</v>
      </c>
    </row>
    <row r="54" ht="14.5" spans="2:14">
      <c r="B54" s="30"/>
      <c r="C54" s="25" t="s">
        <v>84</v>
      </c>
      <c r="D54" s="26" t="s">
        <v>85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4">
        <f t="shared" si="1"/>
        <v>0</v>
      </c>
      <c r="L54" s="27">
        <v>0</v>
      </c>
      <c r="M54" s="27">
        <v>0</v>
      </c>
      <c r="N54" s="24">
        <f t="shared" si="2"/>
        <v>0</v>
      </c>
    </row>
    <row r="55" ht="14.5" spans="2:14">
      <c r="B55" s="30"/>
      <c r="C55" s="25" t="s">
        <v>86</v>
      </c>
      <c r="D55" s="26" t="s">
        <v>87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4">
        <f t="shared" si="1"/>
        <v>0</v>
      </c>
      <c r="L55" s="27">
        <v>0</v>
      </c>
      <c r="M55" s="27">
        <v>0</v>
      </c>
      <c r="N55" s="24">
        <f t="shared" si="2"/>
        <v>0</v>
      </c>
    </row>
    <row r="56" ht="14.5" spans="2:14">
      <c r="B56" s="30"/>
      <c r="C56" s="25" t="s">
        <v>88</v>
      </c>
      <c r="D56" s="26" t="s">
        <v>89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4">
        <f t="shared" si="1"/>
        <v>0</v>
      </c>
      <c r="L56" s="27">
        <v>0</v>
      </c>
      <c r="M56" s="27">
        <v>0</v>
      </c>
      <c r="N56" s="24">
        <f t="shared" si="2"/>
        <v>0</v>
      </c>
    </row>
    <row r="57" ht="14.5" spans="2:14">
      <c r="B57" s="30"/>
      <c r="C57" s="25" t="s">
        <v>90</v>
      </c>
      <c r="D57" s="26" t="s">
        <v>91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4">
        <f t="shared" si="1"/>
        <v>0</v>
      </c>
      <c r="L57" s="27">
        <v>0</v>
      </c>
      <c r="M57" s="27">
        <v>0</v>
      </c>
      <c r="N57" s="24">
        <f t="shared" si="2"/>
        <v>0</v>
      </c>
    </row>
    <row r="58" ht="14.5" spans="2:14">
      <c r="B58" s="21"/>
      <c r="C58" s="21">
        <v>5.2</v>
      </c>
      <c r="D58" s="23" t="s">
        <v>92</v>
      </c>
      <c r="E58" s="24">
        <f>SUM(E59:E67)</f>
        <v>0</v>
      </c>
      <c r="F58" s="24">
        <f>SUM(F59:F67)</f>
        <v>0</v>
      </c>
      <c r="G58" s="24">
        <f t="shared" ref="G58:M58" si="13">SUM(G59:G67)</f>
        <v>0</v>
      </c>
      <c r="H58" s="24">
        <f t="shared" si="13"/>
        <v>0</v>
      </c>
      <c r="I58" s="24">
        <f t="shared" si="13"/>
        <v>0</v>
      </c>
      <c r="J58" s="24">
        <f t="shared" si="13"/>
        <v>0</v>
      </c>
      <c r="K58" s="24">
        <f t="shared" si="1"/>
        <v>0</v>
      </c>
      <c r="L58" s="24">
        <f t="shared" si="13"/>
        <v>0</v>
      </c>
      <c r="M58" s="24">
        <f t="shared" si="13"/>
        <v>0</v>
      </c>
      <c r="N58" s="24">
        <f t="shared" si="2"/>
        <v>0</v>
      </c>
    </row>
    <row r="59" ht="14.5" spans="2:14">
      <c r="B59" s="30"/>
      <c r="C59" s="25" t="s">
        <v>93</v>
      </c>
      <c r="D59" s="26" t="s">
        <v>81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4">
        <f t="shared" si="1"/>
        <v>0</v>
      </c>
      <c r="L59" s="27">
        <v>0</v>
      </c>
      <c r="M59" s="27">
        <v>0</v>
      </c>
      <c r="N59" s="24">
        <f t="shared" si="2"/>
        <v>0</v>
      </c>
    </row>
    <row r="60" ht="14.5" spans="2:14">
      <c r="B60" s="30"/>
      <c r="C60" s="25" t="s">
        <v>94</v>
      </c>
      <c r="D60" s="26" t="s">
        <v>83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4">
        <f t="shared" si="1"/>
        <v>0</v>
      </c>
      <c r="L60" s="27">
        <v>0</v>
      </c>
      <c r="M60" s="27">
        <v>0</v>
      </c>
      <c r="N60" s="24">
        <f t="shared" si="2"/>
        <v>0</v>
      </c>
    </row>
    <row r="61" ht="14.5" spans="2:14">
      <c r="B61" s="30"/>
      <c r="C61" s="25" t="s">
        <v>95</v>
      </c>
      <c r="D61" s="26" t="s">
        <v>85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4">
        <f t="shared" si="1"/>
        <v>0</v>
      </c>
      <c r="L61" s="27">
        <v>0</v>
      </c>
      <c r="M61" s="27">
        <v>0</v>
      </c>
      <c r="N61" s="24">
        <f t="shared" si="2"/>
        <v>0</v>
      </c>
    </row>
    <row r="62" ht="14.5" spans="2:14">
      <c r="B62" s="30"/>
      <c r="C62" s="25" t="s">
        <v>96</v>
      </c>
      <c r="D62" s="26" t="s">
        <v>97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4">
        <f t="shared" si="1"/>
        <v>0</v>
      </c>
      <c r="L62" s="27">
        <v>0</v>
      </c>
      <c r="M62" s="27">
        <v>0</v>
      </c>
      <c r="N62" s="24">
        <f t="shared" si="2"/>
        <v>0</v>
      </c>
    </row>
    <row r="63" ht="14.5" spans="2:14">
      <c r="B63" s="30"/>
      <c r="C63" s="25" t="s">
        <v>98</v>
      </c>
      <c r="D63" s="26" t="s">
        <v>99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4">
        <f t="shared" si="1"/>
        <v>0</v>
      </c>
      <c r="L63" s="27">
        <v>0</v>
      </c>
      <c r="M63" s="27">
        <v>0</v>
      </c>
      <c r="N63" s="24">
        <f t="shared" si="2"/>
        <v>0</v>
      </c>
    </row>
    <row r="64" ht="14.5" spans="2:14">
      <c r="B64" s="30"/>
      <c r="C64" s="25" t="s">
        <v>100</v>
      </c>
      <c r="D64" s="26" t="s">
        <v>101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4">
        <f t="shared" si="1"/>
        <v>0</v>
      </c>
      <c r="L64" s="27">
        <v>0</v>
      </c>
      <c r="M64" s="27">
        <v>0</v>
      </c>
      <c r="N64" s="24">
        <f t="shared" si="2"/>
        <v>0</v>
      </c>
    </row>
    <row r="65" ht="14.5" spans="2:14">
      <c r="B65" s="30"/>
      <c r="C65" s="25" t="s">
        <v>102</v>
      </c>
      <c r="D65" s="26" t="s">
        <v>103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4">
        <f t="shared" si="1"/>
        <v>0</v>
      </c>
      <c r="L65" s="27">
        <v>0</v>
      </c>
      <c r="M65" s="27">
        <v>0</v>
      </c>
      <c r="N65" s="24">
        <f t="shared" si="2"/>
        <v>0</v>
      </c>
    </row>
    <row r="66" ht="14.5" spans="2:14">
      <c r="B66" s="25"/>
      <c r="C66" s="25" t="s">
        <v>104</v>
      </c>
      <c r="D66" s="26" t="s">
        <v>89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4">
        <f t="shared" si="1"/>
        <v>0</v>
      </c>
      <c r="L66" s="27">
        <v>0</v>
      </c>
      <c r="M66" s="27">
        <v>0</v>
      </c>
      <c r="N66" s="24">
        <f t="shared" si="2"/>
        <v>0</v>
      </c>
    </row>
    <row r="67" ht="14.5" spans="2:14">
      <c r="B67" s="30"/>
      <c r="C67" s="25" t="s">
        <v>105</v>
      </c>
      <c r="D67" s="26" t="s">
        <v>106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4">
        <f t="shared" si="1"/>
        <v>0</v>
      </c>
      <c r="L67" s="27">
        <v>0</v>
      </c>
      <c r="M67" s="27">
        <v>0</v>
      </c>
      <c r="N67" s="24">
        <f t="shared" si="2"/>
        <v>0</v>
      </c>
    </row>
    <row r="68" ht="14.5" spans="2:14">
      <c r="B68" s="21">
        <v>6</v>
      </c>
      <c r="C68" s="21"/>
      <c r="D68" s="23" t="s">
        <v>107</v>
      </c>
      <c r="E68" s="24">
        <f t="shared" ref="E68:M68" si="14">SUM(E72:E77)+E69</f>
        <v>0</v>
      </c>
      <c r="F68" s="24">
        <f t="shared" si="14"/>
        <v>0</v>
      </c>
      <c r="G68" s="24">
        <f t="shared" si="14"/>
        <v>0</v>
      </c>
      <c r="H68" s="24">
        <f t="shared" si="14"/>
        <v>0</v>
      </c>
      <c r="I68" s="24">
        <f t="shared" si="14"/>
        <v>0</v>
      </c>
      <c r="J68" s="24">
        <f t="shared" si="14"/>
        <v>0</v>
      </c>
      <c r="K68" s="24">
        <f t="shared" si="14"/>
        <v>0</v>
      </c>
      <c r="L68" s="24">
        <f t="shared" si="14"/>
        <v>0</v>
      </c>
      <c r="M68" s="24">
        <f t="shared" si="14"/>
        <v>0</v>
      </c>
      <c r="N68" s="24">
        <f t="shared" si="2"/>
        <v>0</v>
      </c>
    </row>
    <row r="69" ht="14.5" spans="2:14">
      <c r="B69" s="28"/>
      <c r="C69" s="28">
        <v>6.1</v>
      </c>
      <c r="D69" s="34" t="s">
        <v>108</v>
      </c>
      <c r="E69" s="24">
        <f t="shared" ref="E69:M69" si="15">SUM(E70:E71)</f>
        <v>0</v>
      </c>
      <c r="F69" s="24">
        <f t="shared" si="15"/>
        <v>0</v>
      </c>
      <c r="G69" s="24">
        <f t="shared" si="15"/>
        <v>0</v>
      </c>
      <c r="H69" s="24">
        <f t="shared" si="15"/>
        <v>0</v>
      </c>
      <c r="I69" s="24">
        <f t="shared" si="15"/>
        <v>0</v>
      </c>
      <c r="J69" s="24">
        <f t="shared" si="15"/>
        <v>0</v>
      </c>
      <c r="K69" s="24">
        <f t="shared" si="15"/>
        <v>0</v>
      </c>
      <c r="L69" s="24">
        <f t="shared" si="15"/>
        <v>0</v>
      </c>
      <c r="M69" s="24">
        <f t="shared" si="15"/>
        <v>0</v>
      </c>
      <c r="N69" s="24">
        <f t="shared" si="2"/>
        <v>0</v>
      </c>
    </row>
    <row r="70" ht="14.5" spans="2:14">
      <c r="B70" s="30"/>
      <c r="C70" s="62" t="s">
        <v>109</v>
      </c>
      <c r="D70" s="26" t="s">
        <v>110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4">
        <f t="shared" si="1"/>
        <v>0</v>
      </c>
      <c r="L70" s="27">
        <v>0</v>
      </c>
      <c r="M70" s="27">
        <v>0</v>
      </c>
      <c r="N70" s="24">
        <f t="shared" si="2"/>
        <v>0</v>
      </c>
    </row>
    <row r="71" ht="14.5" spans="2:14">
      <c r="B71" s="30"/>
      <c r="C71" s="62" t="s">
        <v>111</v>
      </c>
      <c r="D71" s="26" t="s">
        <v>112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4">
        <f t="shared" si="1"/>
        <v>0</v>
      </c>
      <c r="L71" s="27">
        <v>0</v>
      </c>
      <c r="M71" s="27">
        <v>0</v>
      </c>
      <c r="N71" s="24">
        <f t="shared" si="2"/>
        <v>0</v>
      </c>
    </row>
    <row r="72" ht="14.5" spans="2:14">
      <c r="B72" s="30"/>
      <c r="C72" s="25">
        <v>6.2</v>
      </c>
      <c r="D72" s="26" t="s">
        <v>113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4">
        <f t="shared" si="1"/>
        <v>0</v>
      </c>
      <c r="L72" s="27">
        <v>0</v>
      </c>
      <c r="M72" s="27">
        <v>0</v>
      </c>
      <c r="N72" s="24">
        <f t="shared" si="2"/>
        <v>0</v>
      </c>
    </row>
    <row r="73" ht="14.5" spans="2:14">
      <c r="B73" s="30"/>
      <c r="C73" s="25">
        <v>6.3</v>
      </c>
      <c r="D73" s="26" t="s">
        <v>114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4">
        <f t="shared" ref="K73:K110" si="16">SUM(E73:J73)</f>
        <v>0</v>
      </c>
      <c r="L73" s="27">
        <v>0</v>
      </c>
      <c r="M73" s="27">
        <v>0</v>
      </c>
      <c r="N73" s="24">
        <f t="shared" ref="N73:N106" si="17">SUM(K73:M73)</f>
        <v>0</v>
      </c>
    </row>
    <row r="74" ht="14.5" spans="2:14">
      <c r="B74" s="30"/>
      <c r="C74" s="25">
        <v>6.4</v>
      </c>
      <c r="D74" s="26" t="s">
        <v>115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4">
        <f t="shared" si="16"/>
        <v>0</v>
      </c>
      <c r="L74" s="27">
        <v>0</v>
      </c>
      <c r="M74" s="27">
        <v>0</v>
      </c>
      <c r="N74" s="24">
        <f t="shared" si="17"/>
        <v>0</v>
      </c>
    </row>
    <row r="75" ht="14.5" spans="2:14">
      <c r="B75" s="30"/>
      <c r="C75" s="25">
        <v>6.5</v>
      </c>
      <c r="D75" s="26" t="s">
        <v>116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4">
        <f t="shared" si="16"/>
        <v>0</v>
      </c>
      <c r="L75" s="27">
        <v>0</v>
      </c>
      <c r="M75" s="27">
        <v>0</v>
      </c>
      <c r="N75" s="24">
        <f t="shared" si="17"/>
        <v>0</v>
      </c>
    </row>
    <row r="76" ht="14.5" spans="2:14">
      <c r="B76" s="30"/>
      <c r="C76" s="25">
        <v>6.6</v>
      </c>
      <c r="D76" s="26" t="s">
        <v>117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4">
        <f t="shared" si="16"/>
        <v>0</v>
      </c>
      <c r="L76" s="27">
        <v>0</v>
      </c>
      <c r="M76" s="27">
        <v>0</v>
      </c>
      <c r="N76" s="24">
        <f t="shared" si="17"/>
        <v>0</v>
      </c>
    </row>
    <row r="77" ht="14.5" spans="2:14">
      <c r="B77" s="30"/>
      <c r="C77" s="25">
        <v>6.7</v>
      </c>
      <c r="D77" s="26" t="s">
        <v>118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4">
        <f t="shared" si="16"/>
        <v>0</v>
      </c>
      <c r="L77" s="27">
        <v>0</v>
      </c>
      <c r="M77" s="27">
        <v>0</v>
      </c>
      <c r="N77" s="24">
        <f t="shared" si="17"/>
        <v>0</v>
      </c>
    </row>
    <row r="78" ht="14.5" spans="2:14">
      <c r="B78" s="21">
        <v>7</v>
      </c>
      <c r="C78" s="21"/>
      <c r="D78" s="23" t="s">
        <v>119</v>
      </c>
      <c r="E78" s="29">
        <f>E37+E38+E50+E68</f>
        <v>0</v>
      </c>
      <c r="F78" s="29">
        <f>F37+F38+F50+F68</f>
        <v>0</v>
      </c>
      <c r="G78" s="29">
        <f t="shared" ref="G78:M78" si="18">G37+G38+G50+G68</f>
        <v>0</v>
      </c>
      <c r="H78" s="29">
        <f t="shared" si="18"/>
        <v>0</v>
      </c>
      <c r="I78" s="29">
        <f t="shared" si="18"/>
        <v>0</v>
      </c>
      <c r="J78" s="29">
        <f t="shared" si="18"/>
        <v>0</v>
      </c>
      <c r="K78" s="29">
        <f t="shared" si="18"/>
        <v>0</v>
      </c>
      <c r="L78" s="29">
        <f t="shared" si="18"/>
        <v>0</v>
      </c>
      <c r="M78" s="29">
        <f t="shared" si="18"/>
        <v>0</v>
      </c>
      <c r="N78" s="24">
        <f t="shared" si="17"/>
        <v>0</v>
      </c>
    </row>
    <row r="79" ht="14.5" spans="2:14">
      <c r="B79" s="21">
        <v>8</v>
      </c>
      <c r="C79" s="21"/>
      <c r="D79" s="23" t="s">
        <v>120</v>
      </c>
      <c r="E79" s="24">
        <f>SUM(E80:E89)+E90</f>
        <v>0</v>
      </c>
      <c r="F79" s="24">
        <f t="shared" ref="F79:M79" si="19">SUM(F80:F89)+F90</f>
        <v>0</v>
      </c>
      <c r="G79" s="24">
        <f t="shared" si="19"/>
        <v>0</v>
      </c>
      <c r="H79" s="24">
        <f t="shared" si="19"/>
        <v>0</v>
      </c>
      <c r="I79" s="24">
        <f t="shared" si="19"/>
        <v>0</v>
      </c>
      <c r="J79" s="24">
        <f t="shared" si="19"/>
        <v>0</v>
      </c>
      <c r="K79" s="24">
        <f t="shared" si="19"/>
        <v>0</v>
      </c>
      <c r="L79" s="24">
        <f t="shared" si="19"/>
        <v>0</v>
      </c>
      <c r="M79" s="24">
        <f t="shared" si="19"/>
        <v>0</v>
      </c>
      <c r="N79" s="24">
        <f t="shared" si="17"/>
        <v>0</v>
      </c>
    </row>
    <row r="80" ht="14.5" spans="2:14">
      <c r="B80" s="25"/>
      <c r="C80" s="25">
        <v>8.1</v>
      </c>
      <c r="D80" s="26" t="s">
        <v>121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4">
        <f t="shared" si="16"/>
        <v>0</v>
      </c>
      <c r="L80" s="27">
        <v>0</v>
      </c>
      <c r="M80" s="27">
        <v>0</v>
      </c>
      <c r="N80" s="24">
        <f t="shared" si="17"/>
        <v>0</v>
      </c>
    </row>
    <row r="81" ht="14.5" spans="2:14">
      <c r="B81" s="25"/>
      <c r="C81" s="25">
        <v>8.2</v>
      </c>
      <c r="D81" s="26" t="s">
        <v>122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4">
        <f t="shared" si="16"/>
        <v>0</v>
      </c>
      <c r="L81" s="27">
        <v>0</v>
      </c>
      <c r="M81" s="27">
        <v>0</v>
      </c>
      <c r="N81" s="24">
        <f t="shared" si="17"/>
        <v>0</v>
      </c>
    </row>
    <row r="82" ht="14.5" spans="2:14">
      <c r="B82" s="30"/>
      <c r="C82" s="25">
        <v>8.3</v>
      </c>
      <c r="D82" s="26" t="s">
        <v>123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4">
        <f t="shared" si="16"/>
        <v>0</v>
      </c>
      <c r="L82" s="27">
        <v>0</v>
      </c>
      <c r="M82" s="27">
        <v>0</v>
      </c>
      <c r="N82" s="24">
        <f t="shared" si="17"/>
        <v>0</v>
      </c>
    </row>
    <row r="83" ht="14.5" spans="2:14">
      <c r="B83" s="30"/>
      <c r="C83" s="25">
        <v>8.4</v>
      </c>
      <c r="D83" s="26" t="s">
        <v>124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4">
        <f t="shared" si="16"/>
        <v>0</v>
      </c>
      <c r="L83" s="27">
        <v>0</v>
      </c>
      <c r="M83" s="27">
        <v>0</v>
      </c>
      <c r="N83" s="24">
        <f t="shared" si="17"/>
        <v>0</v>
      </c>
    </row>
    <row r="84" ht="14.5" spans="2:14">
      <c r="B84" s="30"/>
      <c r="C84" s="25">
        <v>8.5</v>
      </c>
      <c r="D84" s="35" t="s">
        <v>125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4">
        <f t="shared" si="16"/>
        <v>0</v>
      </c>
      <c r="L84" s="27">
        <v>0</v>
      </c>
      <c r="M84" s="27">
        <v>0</v>
      </c>
      <c r="N84" s="24">
        <f t="shared" si="17"/>
        <v>0</v>
      </c>
    </row>
    <row r="85" ht="14.5" spans="2:14">
      <c r="B85" s="30"/>
      <c r="C85" s="25">
        <v>8.6</v>
      </c>
      <c r="D85" s="35" t="s">
        <v>126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4">
        <f t="shared" si="16"/>
        <v>0</v>
      </c>
      <c r="L85" s="27">
        <v>0</v>
      </c>
      <c r="M85" s="27">
        <v>0</v>
      </c>
      <c r="N85" s="24">
        <f t="shared" si="17"/>
        <v>0</v>
      </c>
    </row>
    <row r="86" ht="14.5" spans="2:14">
      <c r="B86" s="30"/>
      <c r="C86" s="25">
        <v>8.7</v>
      </c>
      <c r="D86" s="35" t="s">
        <v>127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4">
        <f t="shared" si="16"/>
        <v>0</v>
      </c>
      <c r="L86" s="27">
        <v>0</v>
      </c>
      <c r="M86" s="27">
        <v>0</v>
      </c>
      <c r="N86" s="24">
        <f t="shared" si="17"/>
        <v>0</v>
      </c>
    </row>
    <row r="87" ht="14.5" spans="2:14">
      <c r="B87" s="30"/>
      <c r="C87" s="25">
        <v>8.8</v>
      </c>
      <c r="D87" s="35" t="s">
        <v>128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4">
        <f t="shared" si="16"/>
        <v>0</v>
      </c>
      <c r="L87" s="27">
        <v>0</v>
      </c>
      <c r="M87" s="27">
        <v>0</v>
      </c>
      <c r="N87" s="24">
        <f t="shared" si="17"/>
        <v>0</v>
      </c>
    </row>
    <row r="88" ht="14.5" spans="2:14">
      <c r="B88" s="30"/>
      <c r="C88" s="25">
        <v>8.9</v>
      </c>
      <c r="D88" s="35" t="s">
        <v>129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4">
        <f t="shared" si="16"/>
        <v>0</v>
      </c>
      <c r="L88" s="27">
        <v>0</v>
      </c>
      <c r="M88" s="27">
        <v>0</v>
      </c>
      <c r="N88" s="24">
        <f t="shared" si="17"/>
        <v>0</v>
      </c>
    </row>
    <row r="89" ht="14.5" spans="2:14">
      <c r="B89" s="30"/>
      <c r="C89" s="36">
        <v>8.1</v>
      </c>
      <c r="D89" s="35" t="s">
        <v>130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4">
        <f t="shared" si="16"/>
        <v>0</v>
      </c>
      <c r="L89" s="27">
        <v>0</v>
      </c>
      <c r="M89" s="27">
        <v>0</v>
      </c>
      <c r="N89" s="24">
        <f t="shared" si="17"/>
        <v>0</v>
      </c>
    </row>
    <row r="90" ht="14.5" spans="2:14">
      <c r="B90" s="21"/>
      <c r="C90" s="21">
        <v>8.11</v>
      </c>
      <c r="D90" s="23" t="s">
        <v>131</v>
      </c>
      <c r="E90" s="24">
        <f>E91+E92</f>
        <v>0</v>
      </c>
      <c r="F90" s="24">
        <f>F91+F92</f>
        <v>0</v>
      </c>
      <c r="G90" s="24">
        <f t="shared" ref="G90:M90" si="20">G91+G92</f>
        <v>0</v>
      </c>
      <c r="H90" s="24">
        <f t="shared" si="20"/>
        <v>0</v>
      </c>
      <c r="I90" s="24">
        <f t="shared" si="20"/>
        <v>0</v>
      </c>
      <c r="J90" s="24">
        <f t="shared" si="20"/>
        <v>0</v>
      </c>
      <c r="K90" s="24">
        <f t="shared" si="20"/>
        <v>0</v>
      </c>
      <c r="L90" s="24">
        <f t="shared" si="20"/>
        <v>0</v>
      </c>
      <c r="M90" s="24">
        <f t="shared" si="20"/>
        <v>0</v>
      </c>
      <c r="N90" s="24">
        <f t="shared" si="17"/>
        <v>0</v>
      </c>
    </row>
    <row r="91" ht="14.5" spans="2:14">
      <c r="B91" s="30"/>
      <c r="C91" s="25" t="s">
        <v>132</v>
      </c>
      <c r="D91" s="35" t="s">
        <v>133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4">
        <f t="shared" si="16"/>
        <v>0</v>
      </c>
      <c r="L91" s="27">
        <v>0</v>
      </c>
      <c r="M91" s="27">
        <v>0</v>
      </c>
      <c r="N91" s="24">
        <f t="shared" si="17"/>
        <v>0</v>
      </c>
    </row>
    <row r="92" ht="14.5" spans="2:14">
      <c r="B92" s="30"/>
      <c r="C92" s="25" t="s">
        <v>134</v>
      </c>
      <c r="D92" s="26" t="s">
        <v>135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4">
        <f t="shared" si="16"/>
        <v>0</v>
      </c>
      <c r="L92" s="27">
        <v>0</v>
      </c>
      <c r="M92" s="27">
        <v>0</v>
      </c>
      <c r="N92" s="24">
        <f t="shared" si="17"/>
        <v>0</v>
      </c>
    </row>
    <row r="93" ht="14.5" spans="2:14">
      <c r="B93" s="21">
        <v>9</v>
      </c>
      <c r="C93" s="21"/>
      <c r="D93" s="23" t="s">
        <v>136</v>
      </c>
      <c r="E93" s="29">
        <f>E78-E79</f>
        <v>0</v>
      </c>
      <c r="F93" s="29">
        <f>F78-F79</f>
        <v>0</v>
      </c>
      <c r="G93" s="29">
        <f t="shared" ref="G93:M93" si="21">G78-G79</f>
        <v>0</v>
      </c>
      <c r="H93" s="29">
        <f t="shared" si="21"/>
        <v>0</v>
      </c>
      <c r="I93" s="29">
        <f t="shared" si="21"/>
        <v>0</v>
      </c>
      <c r="J93" s="29">
        <f t="shared" si="21"/>
        <v>0</v>
      </c>
      <c r="K93" s="29">
        <f t="shared" si="21"/>
        <v>0</v>
      </c>
      <c r="L93" s="29">
        <f t="shared" si="21"/>
        <v>0</v>
      </c>
      <c r="M93" s="29">
        <f t="shared" si="21"/>
        <v>0</v>
      </c>
      <c r="N93" s="24">
        <f t="shared" si="17"/>
        <v>0</v>
      </c>
    </row>
    <row r="94" ht="14.5" spans="2:14">
      <c r="B94" s="21">
        <v>10</v>
      </c>
      <c r="C94" s="21"/>
      <c r="D94" s="23" t="s">
        <v>137</v>
      </c>
      <c r="E94" s="37">
        <f>E95+E96+E99+E100+E101+E102</f>
        <v>0</v>
      </c>
      <c r="F94" s="37">
        <f>F95+F96+F99+F100+F101+F102</f>
        <v>0</v>
      </c>
      <c r="G94" s="37">
        <f t="shared" ref="G94:M94" si="22">G95+G96+G99+G100+G101+G102</f>
        <v>0</v>
      </c>
      <c r="H94" s="37">
        <f t="shared" si="22"/>
        <v>0</v>
      </c>
      <c r="I94" s="37">
        <f t="shared" si="22"/>
        <v>0</v>
      </c>
      <c r="J94" s="37">
        <f t="shared" si="22"/>
        <v>0</v>
      </c>
      <c r="K94" s="37">
        <f t="shared" si="22"/>
        <v>0</v>
      </c>
      <c r="L94" s="37">
        <f t="shared" si="22"/>
        <v>0</v>
      </c>
      <c r="M94" s="37">
        <f t="shared" si="22"/>
        <v>0</v>
      </c>
      <c r="N94" s="24">
        <f t="shared" si="17"/>
        <v>0</v>
      </c>
    </row>
    <row r="95" ht="14.5" spans="2:14">
      <c r="B95" s="30"/>
      <c r="C95" s="25">
        <v>10.1</v>
      </c>
      <c r="D95" s="38" t="s">
        <v>138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4">
        <f t="shared" si="16"/>
        <v>0</v>
      </c>
      <c r="L95" s="27">
        <v>0</v>
      </c>
      <c r="M95" s="27">
        <v>0</v>
      </c>
      <c r="N95" s="24">
        <f t="shared" si="17"/>
        <v>0</v>
      </c>
    </row>
    <row r="96" ht="14.5" spans="2:14">
      <c r="B96" s="39"/>
      <c r="C96" s="21">
        <v>10.2</v>
      </c>
      <c r="D96" s="23" t="s">
        <v>139</v>
      </c>
      <c r="E96" s="24">
        <f>E97+E98</f>
        <v>0</v>
      </c>
      <c r="F96" s="24">
        <f>F97+F98</f>
        <v>0</v>
      </c>
      <c r="G96" s="24">
        <f t="shared" ref="G96:M96" si="23">G97+G98</f>
        <v>0</v>
      </c>
      <c r="H96" s="24">
        <f t="shared" si="23"/>
        <v>0</v>
      </c>
      <c r="I96" s="24">
        <f t="shared" si="23"/>
        <v>0</v>
      </c>
      <c r="J96" s="24">
        <f t="shared" si="23"/>
        <v>0</v>
      </c>
      <c r="K96" s="24">
        <f t="shared" si="23"/>
        <v>0</v>
      </c>
      <c r="L96" s="24">
        <f t="shared" si="23"/>
        <v>0</v>
      </c>
      <c r="M96" s="24">
        <f t="shared" si="23"/>
        <v>0</v>
      </c>
      <c r="N96" s="24">
        <f t="shared" si="17"/>
        <v>0</v>
      </c>
    </row>
    <row r="97" ht="14.5" spans="2:14">
      <c r="B97" s="40"/>
      <c r="C97" s="25" t="s">
        <v>140</v>
      </c>
      <c r="D97" s="26" t="s">
        <v>141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59">
        <f t="shared" si="16"/>
        <v>0</v>
      </c>
      <c r="L97" s="41">
        <v>0</v>
      </c>
      <c r="M97" s="41">
        <v>0</v>
      </c>
      <c r="N97" s="24">
        <f t="shared" si="17"/>
        <v>0</v>
      </c>
    </row>
    <row r="98" ht="14.5" spans="2:14">
      <c r="B98" s="40"/>
      <c r="C98" s="25" t="s">
        <v>142</v>
      </c>
      <c r="D98" s="26" t="s">
        <v>143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59">
        <f t="shared" si="16"/>
        <v>0</v>
      </c>
      <c r="L98" s="41">
        <v>0</v>
      </c>
      <c r="M98" s="41">
        <v>0</v>
      </c>
      <c r="N98" s="24">
        <f t="shared" si="17"/>
        <v>0</v>
      </c>
    </row>
    <row r="99" ht="14.5" spans="2:14">
      <c r="B99" s="25"/>
      <c r="C99" s="25">
        <v>10.3</v>
      </c>
      <c r="D99" s="26" t="s">
        <v>144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59">
        <f t="shared" si="16"/>
        <v>0</v>
      </c>
      <c r="L99" s="41">
        <v>0</v>
      </c>
      <c r="M99" s="41">
        <v>0</v>
      </c>
      <c r="N99" s="24">
        <f t="shared" si="17"/>
        <v>0</v>
      </c>
    </row>
    <row r="100" ht="14.5" spans="2:14">
      <c r="B100" s="25"/>
      <c r="C100" s="25">
        <v>10.4</v>
      </c>
      <c r="D100" s="26" t="s">
        <v>145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59">
        <f t="shared" si="16"/>
        <v>0</v>
      </c>
      <c r="L100" s="41">
        <v>0</v>
      </c>
      <c r="M100" s="41">
        <v>0</v>
      </c>
      <c r="N100" s="24">
        <f t="shared" si="17"/>
        <v>0</v>
      </c>
    </row>
    <row r="101" ht="20" spans="2:14">
      <c r="B101" s="25"/>
      <c r="C101" s="25">
        <v>10.5</v>
      </c>
      <c r="D101" s="42" t="s">
        <v>146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59">
        <f t="shared" si="16"/>
        <v>0</v>
      </c>
      <c r="L101" s="41">
        <v>0</v>
      </c>
      <c r="M101" s="41">
        <v>0</v>
      </c>
      <c r="N101" s="24">
        <f t="shared" si="17"/>
        <v>0</v>
      </c>
    </row>
    <row r="102" ht="14.5" spans="2:14">
      <c r="B102" s="25"/>
      <c r="C102" s="25">
        <v>10.6</v>
      </c>
      <c r="D102" s="26" t="s">
        <v>147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59">
        <f t="shared" si="16"/>
        <v>0</v>
      </c>
      <c r="L102" s="41">
        <v>0</v>
      </c>
      <c r="M102" s="41">
        <v>0</v>
      </c>
      <c r="N102" s="24">
        <f t="shared" si="17"/>
        <v>0</v>
      </c>
    </row>
    <row r="103" ht="20" spans="2:14">
      <c r="B103" s="30">
        <v>11</v>
      </c>
      <c r="C103" s="25"/>
      <c r="D103" s="42" t="s">
        <v>148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59">
        <f t="shared" si="16"/>
        <v>0</v>
      </c>
      <c r="L103" s="41">
        <v>0</v>
      </c>
      <c r="M103" s="41">
        <v>0</v>
      </c>
      <c r="N103" s="24">
        <f t="shared" si="17"/>
        <v>0</v>
      </c>
    </row>
    <row r="104" ht="14.5" spans="2:14">
      <c r="B104" s="30">
        <v>12</v>
      </c>
      <c r="C104" s="25"/>
      <c r="D104" s="26" t="s">
        <v>149</v>
      </c>
      <c r="E104" s="41">
        <v>0</v>
      </c>
      <c r="F104" s="41">
        <v>0</v>
      </c>
      <c r="G104" s="41">
        <v>0</v>
      </c>
      <c r="H104" s="41">
        <v>0</v>
      </c>
      <c r="I104" s="41">
        <v>0</v>
      </c>
      <c r="J104" s="41">
        <v>0</v>
      </c>
      <c r="K104" s="59">
        <f t="shared" si="16"/>
        <v>0</v>
      </c>
      <c r="L104" s="41">
        <v>0</v>
      </c>
      <c r="M104" s="41">
        <v>0</v>
      </c>
      <c r="N104" s="24">
        <f t="shared" si="17"/>
        <v>0</v>
      </c>
    </row>
    <row r="105" ht="14.5" spans="2:14">
      <c r="B105" s="30">
        <v>13</v>
      </c>
      <c r="C105" s="25"/>
      <c r="D105" s="43" t="s">
        <v>150</v>
      </c>
      <c r="E105" s="41">
        <v>0</v>
      </c>
      <c r="F105" s="41">
        <v>0</v>
      </c>
      <c r="G105" s="41">
        <v>0</v>
      </c>
      <c r="H105" s="41">
        <v>0</v>
      </c>
      <c r="I105" s="41">
        <v>0</v>
      </c>
      <c r="J105" s="41">
        <v>0</v>
      </c>
      <c r="K105" s="59">
        <f t="shared" si="16"/>
        <v>0</v>
      </c>
      <c r="L105" s="41">
        <v>0</v>
      </c>
      <c r="M105" s="41">
        <v>0</v>
      </c>
      <c r="N105" s="24">
        <f t="shared" si="17"/>
        <v>0</v>
      </c>
    </row>
    <row r="106" ht="14.5" spans="2:14">
      <c r="B106" s="21">
        <v>14</v>
      </c>
      <c r="C106" s="28"/>
      <c r="D106" s="44" t="s">
        <v>151</v>
      </c>
      <c r="E106" s="29">
        <f>E93-E94+E103+E104-E105</f>
        <v>0</v>
      </c>
      <c r="F106" s="29">
        <f>F93-F94+F103+F104-F105</f>
        <v>0</v>
      </c>
      <c r="G106" s="29">
        <f t="shared" ref="G106:M106" si="24">G93-G94+G103+G104-G105</f>
        <v>0</v>
      </c>
      <c r="H106" s="29">
        <f t="shared" si="24"/>
        <v>0</v>
      </c>
      <c r="I106" s="29">
        <f t="shared" si="24"/>
        <v>0</v>
      </c>
      <c r="J106" s="29">
        <f t="shared" si="24"/>
        <v>0</v>
      </c>
      <c r="K106" s="29">
        <f t="shared" si="24"/>
        <v>0</v>
      </c>
      <c r="L106" s="29">
        <f t="shared" si="24"/>
        <v>0</v>
      </c>
      <c r="M106" s="29">
        <f t="shared" si="24"/>
        <v>0</v>
      </c>
      <c r="N106" s="24">
        <f t="shared" si="17"/>
        <v>0</v>
      </c>
    </row>
    <row r="107" ht="14.5" spans="2:14">
      <c r="B107" s="45">
        <v>15</v>
      </c>
      <c r="C107" s="46"/>
      <c r="D107" s="47" t="s">
        <v>152</v>
      </c>
      <c r="E107" s="29"/>
      <c r="F107" s="29"/>
      <c r="G107" s="29"/>
      <c r="H107" s="29"/>
      <c r="I107" s="29"/>
      <c r="J107" s="29"/>
      <c r="K107" s="60"/>
      <c r="L107" s="29"/>
      <c r="M107" s="29"/>
      <c r="N107" s="24"/>
    </row>
    <row r="108" ht="14.5" spans="2:14">
      <c r="B108" s="48"/>
      <c r="C108" s="49">
        <v>15.1</v>
      </c>
      <c r="D108" s="50" t="s">
        <v>153</v>
      </c>
      <c r="E108" s="41">
        <v>0</v>
      </c>
      <c r="F108" s="41">
        <v>0</v>
      </c>
      <c r="G108" s="41">
        <v>0</v>
      </c>
      <c r="H108" s="41">
        <v>0</v>
      </c>
      <c r="I108" s="41">
        <v>0</v>
      </c>
      <c r="J108" s="41">
        <v>0</v>
      </c>
      <c r="K108" s="60">
        <f t="shared" si="16"/>
        <v>0</v>
      </c>
      <c r="L108" s="41">
        <v>0</v>
      </c>
      <c r="M108" s="41">
        <v>0</v>
      </c>
      <c r="N108" s="24">
        <f>SUM(K108:M108)</f>
        <v>0</v>
      </c>
    </row>
    <row r="109" ht="14.5" spans="2:14">
      <c r="B109" s="48"/>
      <c r="C109" s="49">
        <v>15.2</v>
      </c>
      <c r="D109" s="50" t="s">
        <v>154</v>
      </c>
      <c r="E109" s="41">
        <v>0</v>
      </c>
      <c r="F109" s="41">
        <v>0</v>
      </c>
      <c r="G109" s="41">
        <v>0</v>
      </c>
      <c r="H109" s="41">
        <v>0</v>
      </c>
      <c r="I109" s="41">
        <v>0</v>
      </c>
      <c r="J109" s="41">
        <v>0</v>
      </c>
      <c r="K109" s="60">
        <f t="shared" si="16"/>
        <v>0</v>
      </c>
      <c r="L109" s="41">
        <v>0</v>
      </c>
      <c r="M109" s="41">
        <v>0</v>
      </c>
      <c r="N109" s="24">
        <f>SUM(K109:M109)</f>
        <v>0</v>
      </c>
    </row>
    <row r="110" ht="14.5" spans="2:14">
      <c r="B110" s="48">
        <v>16</v>
      </c>
      <c r="C110" s="49"/>
      <c r="D110" s="51" t="s">
        <v>155</v>
      </c>
      <c r="E110" s="41">
        <v>0</v>
      </c>
      <c r="F110" s="41">
        <v>0</v>
      </c>
      <c r="G110" s="41">
        <v>0</v>
      </c>
      <c r="H110" s="41">
        <v>0</v>
      </c>
      <c r="I110" s="41">
        <v>0</v>
      </c>
      <c r="J110" s="41">
        <v>0</v>
      </c>
      <c r="K110" s="60">
        <f t="shared" si="16"/>
        <v>0</v>
      </c>
      <c r="L110" s="27">
        <v>0</v>
      </c>
      <c r="M110" s="27">
        <v>0</v>
      </c>
      <c r="N110" s="24">
        <f>SUM(K110:M110)</f>
        <v>0</v>
      </c>
    </row>
    <row r="111" ht="14.5" spans="2:14">
      <c r="B111" s="52"/>
      <c r="C111" s="53">
        <v>16.1</v>
      </c>
      <c r="D111" s="47" t="s">
        <v>156</v>
      </c>
      <c r="E111" s="54">
        <f t="shared" ref="E111:M111" si="25">E106+E110</f>
        <v>0</v>
      </c>
      <c r="F111" s="54">
        <f t="shared" si="25"/>
        <v>0</v>
      </c>
      <c r="G111" s="54">
        <f t="shared" si="25"/>
        <v>0</v>
      </c>
      <c r="H111" s="54">
        <f t="shared" si="25"/>
        <v>0</v>
      </c>
      <c r="I111" s="54">
        <f t="shared" si="25"/>
        <v>0</v>
      </c>
      <c r="J111" s="54">
        <f t="shared" si="25"/>
        <v>0</v>
      </c>
      <c r="K111" s="54">
        <f t="shared" si="25"/>
        <v>0</v>
      </c>
      <c r="L111" s="54">
        <f t="shared" si="25"/>
        <v>0</v>
      </c>
      <c r="M111" s="54">
        <f t="shared" si="25"/>
        <v>0</v>
      </c>
      <c r="N111" s="24">
        <f>SUM(K111:M111)</f>
        <v>0</v>
      </c>
    </row>
    <row r="112" ht="14.5" spans="2:14">
      <c r="B112" s="45"/>
      <c r="C112" s="46">
        <v>16.2</v>
      </c>
      <c r="D112" s="47" t="s">
        <v>152</v>
      </c>
      <c r="E112" s="29"/>
      <c r="F112" s="29"/>
      <c r="G112" s="29"/>
      <c r="H112" s="29"/>
      <c r="I112" s="29"/>
      <c r="J112" s="29"/>
      <c r="K112" s="60"/>
      <c r="L112" s="29"/>
      <c r="M112" s="29"/>
      <c r="N112" s="24"/>
    </row>
    <row r="113" ht="14.5" spans="2:14">
      <c r="B113" s="48"/>
      <c r="C113" s="49" t="s">
        <v>157</v>
      </c>
      <c r="D113" s="50" t="s">
        <v>153</v>
      </c>
      <c r="E113" s="41">
        <v>0</v>
      </c>
      <c r="F113" s="41">
        <v>0</v>
      </c>
      <c r="G113" s="41">
        <v>0</v>
      </c>
      <c r="H113" s="41">
        <v>0</v>
      </c>
      <c r="I113" s="41">
        <v>0</v>
      </c>
      <c r="J113" s="41">
        <v>0</v>
      </c>
      <c r="K113" s="60">
        <f>SUM(E113:J113)</f>
        <v>0</v>
      </c>
      <c r="L113" s="41">
        <v>0</v>
      </c>
      <c r="M113" s="41">
        <v>0</v>
      </c>
      <c r="N113" s="24">
        <f>SUM(K113:M113)</f>
        <v>0</v>
      </c>
    </row>
    <row r="114" ht="14.5" spans="2:14">
      <c r="B114" s="48"/>
      <c r="C114" s="49" t="s">
        <v>158</v>
      </c>
      <c r="D114" s="50" t="s">
        <v>154</v>
      </c>
      <c r="E114" s="41">
        <v>0</v>
      </c>
      <c r="F114" s="41">
        <v>0</v>
      </c>
      <c r="G114" s="41">
        <v>0</v>
      </c>
      <c r="H114" s="41">
        <v>0</v>
      </c>
      <c r="I114" s="41">
        <v>0</v>
      </c>
      <c r="J114" s="41">
        <v>0</v>
      </c>
      <c r="K114" s="60">
        <f>SUM(E114:J114)</f>
        <v>0</v>
      </c>
      <c r="L114" s="41">
        <v>0</v>
      </c>
      <c r="M114" s="41">
        <v>0</v>
      </c>
      <c r="N114" s="24">
        <f>SUM(K114:M114)</f>
        <v>0</v>
      </c>
    </row>
    <row r="115" ht="14.5" spans="2:14">
      <c r="B115" s="55"/>
      <c r="C115" s="56"/>
      <c r="D115" s="57" t="s">
        <v>159</v>
      </c>
      <c r="E115" s="58"/>
      <c r="F115" s="58"/>
      <c r="G115" s="58"/>
      <c r="H115" s="58"/>
      <c r="I115" s="58"/>
      <c r="J115" s="58"/>
      <c r="K115" s="58"/>
      <c r="L115" s="58"/>
      <c r="M115" s="58"/>
      <c r="N115" s="61"/>
    </row>
    <row r="116" ht="14.5"/>
    <row r="117" ht="14.5" hidden="1"/>
    <row r="118" ht="14.5" hidden="1"/>
  </sheetData>
  <mergeCells count="4">
    <mergeCell ref="B2:N2"/>
    <mergeCell ref="C3:D3"/>
    <mergeCell ref="C4:D4"/>
    <mergeCell ref="C5:D5"/>
  </mergeCells>
  <dataValidations count="1">
    <dataValidation type="whole" operator="between" allowBlank="1" showInputMessage="1" showErrorMessage="1" error="Please input a valid data!" sqref="E8:N114">
      <formula1>-1000000000000</formula1>
      <formula2>1000000000000</formula2>
    </dataValidation>
  </dataValidations>
  <pageMargins left="0.7" right="0.7" top="0.75" bottom="0.75" header="0.3" footer="0.3"/>
  <pageSetup paperSize="9" scale="39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BRF209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2021-01-14T10:29:26Z</dcterms:created>
  <dcterms:modified xsi:type="dcterms:W3CDTF">2024-02-22T05:45:14Z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2021-04-22T08:31:42Z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ca6f3ed7-42c8-4682-acfb-e095e7709481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74BF06A71E1C444897704AC1AE42B69C_13</vt:lpwstr>
  </property>
  <property fmtid="{D5CDD505-2E9C-101B-9397-08002B2CF9AE}" pid="10" name="KSOProductBuildVer">
    <vt:lpwstr>1033-12.2.0.13431</vt:lpwstr>
  </property>
</Properties>
</file>