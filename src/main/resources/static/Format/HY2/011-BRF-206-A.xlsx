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206" sheetId="1" r:id="rId1"/>
  </sheets>
  <definedNames>
    <definedName name="_xlnm.Print_Area" localSheetId="0">'BRF 206'!$B$2:$N$72</definedName>
  </definedNames>
  <calcPr calcId="144525"/>
</workbook>
</file>

<file path=xl/sharedStrings.xml><?xml version="1.0" encoding="utf-8"?>
<sst xmlns="http://schemas.openxmlformats.org/spreadsheetml/2006/main" count="131" uniqueCount="87">
  <si>
    <t xml:space="preserve">                                                BANKING AND MONETARY STATISTICS-  NON RESIDENT INVESTMENTS BY COUNTER PARTY - BRF 206  (AED IN 000s)</t>
  </si>
  <si>
    <t>ID:</t>
  </si>
  <si>
    <t>12-206-1-0</t>
  </si>
  <si>
    <t>BANK</t>
  </si>
  <si>
    <t>Bank of Baroda</t>
  </si>
  <si>
    <t>As On</t>
  </si>
  <si>
    <r>
      <t xml:space="preserve">NON RESIDENT INVESTMENTS </t>
    </r>
    <r>
      <rPr>
        <b/>
        <sz val="8"/>
        <color indexed="30"/>
        <rFont val="Arial"/>
        <family val="2"/>
        <charset val="0"/>
      </rPr>
      <t xml:space="preserve">BY COUNTER PARTY </t>
    </r>
    <r>
      <rPr>
        <b/>
        <sz val="8"/>
        <color indexed="8"/>
        <rFont val="Arial"/>
        <family val="2"/>
        <charset val="0"/>
      </rPr>
      <t>OF UAE OPERATIONS</t>
    </r>
  </si>
  <si>
    <t>Federal Govt</t>
  </si>
  <si>
    <t>Non Comm.Entity 
( Fed.Govt )</t>
  </si>
  <si>
    <t>Local Govt</t>
  </si>
  <si>
    <t>Non Comm.Entity 
( Emirates.Govt )</t>
  </si>
  <si>
    <t>GRE ( Govt Ownership &gt;50% )</t>
  </si>
  <si>
    <t>Private Sector</t>
  </si>
  <si>
    <t>TOTAL ( Amount )</t>
  </si>
  <si>
    <t>GRE ( Govt Ownership &lt; 50% )</t>
  </si>
  <si>
    <t>Banks</t>
  </si>
  <si>
    <t>Financial Institutions</t>
  </si>
  <si>
    <t>Other Private Entities</t>
  </si>
  <si>
    <t>1. TRADING BOOK SECURITIES ( MARKET VALUE )</t>
  </si>
  <si>
    <t>Debt Securities</t>
  </si>
  <si>
    <t>1.1.1</t>
  </si>
  <si>
    <t xml:space="preserve">    KSA</t>
  </si>
  <si>
    <t>1.1.2</t>
  </si>
  <si>
    <t xml:space="preserve">    OMAN</t>
  </si>
  <si>
    <t>1.1.3</t>
  </si>
  <si>
    <t xml:space="preserve">    KUWAIT</t>
  </si>
  <si>
    <t>1.1.4</t>
  </si>
  <si>
    <t xml:space="preserve">    QATAR</t>
  </si>
  <si>
    <t>1.1.5</t>
  </si>
  <si>
    <t xml:space="preserve">    BAHRAIN</t>
  </si>
  <si>
    <t>1.1.6</t>
  </si>
  <si>
    <t xml:space="preserve">    REST OF THE WORLD</t>
  </si>
  <si>
    <t>Equities</t>
  </si>
  <si>
    <t>1.2.1</t>
  </si>
  <si>
    <t>1.2.2</t>
  </si>
  <si>
    <t>1.2.3</t>
  </si>
  <si>
    <t>1.2.4</t>
  </si>
  <si>
    <t>1.2.5</t>
  </si>
  <si>
    <t>1.2.6</t>
  </si>
  <si>
    <t>Commodities</t>
  </si>
  <si>
    <t>1.3.1</t>
  </si>
  <si>
    <t>1.3.2</t>
  </si>
  <si>
    <t>1.3.3</t>
  </si>
  <si>
    <t>1.3.4</t>
  </si>
  <si>
    <t>1.3.5</t>
  </si>
  <si>
    <t>1.3.6</t>
  </si>
  <si>
    <t>2. BANKING BOOK</t>
  </si>
  <si>
    <t xml:space="preserve">    2.1 Available for Sale Securities</t>
  </si>
  <si>
    <t>2.1.1</t>
  </si>
  <si>
    <t>2.1.1.1</t>
  </si>
  <si>
    <t>2.1.1.2</t>
  </si>
  <si>
    <t>2.1.1.3</t>
  </si>
  <si>
    <t>2.1.1.4</t>
  </si>
  <si>
    <t>2.1.1.5</t>
  </si>
  <si>
    <t>2.1.1.6</t>
  </si>
  <si>
    <t>2.1.2</t>
  </si>
  <si>
    <t>2.1.2.1</t>
  </si>
  <si>
    <t>2.1.2.2</t>
  </si>
  <si>
    <t>2.1.2.3</t>
  </si>
  <si>
    <t>2.1.2.4</t>
  </si>
  <si>
    <t>2.1.2.5</t>
  </si>
  <si>
    <t>2.1.2.6</t>
  </si>
  <si>
    <t xml:space="preserve">   2.2 Held to Maturity Securities ( Amortised Cost )</t>
  </si>
  <si>
    <t>2.2.1</t>
  </si>
  <si>
    <t>2.2.2</t>
  </si>
  <si>
    <t>2.2.3</t>
  </si>
  <si>
    <t>2.2.4</t>
  </si>
  <si>
    <t>2.2.5</t>
  </si>
  <si>
    <t>2.2.6</t>
  </si>
  <si>
    <t>3. OTHER INVESTMENTS</t>
  </si>
  <si>
    <t>Investment in Subsidiaries (Cost or Fair value)</t>
  </si>
  <si>
    <t>3.1.1</t>
  </si>
  <si>
    <t>3.1.2</t>
  </si>
  <si>
    <t>3.1.3</t>
  </si>
  <si>
    <t>3.1.4</t>
  </si>
  <si>
    <t>3.1.5</t>
  </si>
  <si>
    <t>3.1.6</t>
  </si>
  <si>
    <t>Investment in Affiliates (Cost or Fair value)</t>
  </si>
  <si>
    <t>3.2.1</t>
  </si>
  <si>
    <t>3.2.2</t>
  </si>
  <si>
    <t>3.2.3</t>
  </si>
  <si>
    <t>3.2.4</t>
  </si>
  <si>
    <t>3.2.5</t>
  </si>
  <si>
    <t>3.2.6</t>
  </si>
  <si>
    <t>GRAND TOTAL NON RESIDENT</t>
  </si>
  <si>
    <t>Total amount Non Resident Investments and Fianncial Assets should match with the total amount of Non Resident Investments ( AED + FCY ) reported in item 5 &amp; 6 of BRF 1</t>
  </si>
  <si>
    <t>Form No: BSD/BRF206 - INVST / DEC 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</si>
</sst>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family val="2"/>
      <charset val="0"/>
      <scheme val="minor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8"/>
      <color indexed="30"/>
      <name val="Arial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12" applyNumberFormat="0" applyAlignment="0" applyProtection="0"/>
    <xf numFmtId="0" fontId="13" fillId="7" borderId="13" applyNumberFormat="0" applyAlignment="0" applyProtection="0"/>
    <xf numFmtId="0" fontId="14" fillId="7" borderId="12" applyNumberFormat="0" applyAlignment="0" applyProtection="0"/>
    <xf numFmtId="0" fontId="15" fillId="8" borderId="14" applyNumberFormat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1" fillId="35" borderId="0" applyNumberFormat="0" applyBorder="0" applyAlignment="0" applyProtection="0"/>
  </cellStyleXfs>
  <cellXfs count="32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left" wrapText="1"/>
    </xf>
    <xf numFmtId="0" fontId="2" fillId="3" borderId="1" xfId="0" applyFont="1" applyFill="1" applyBorder="1" applyAlignment="1" applyProtection="1">
      <alignment horizontal="left" wrapText="1"/>
    </xf>
    <xf numFmtId="0" fontId="3" fillId="4" borderId="1" xfId="0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left" wrapText="1"/>
    </xf>
    <xf numFmtId="3" fontId="3" fillId="2" borderId="1" xfId="0" applyNumberFormat="1" applyFont="1" applyFill="1" applyBorder="1" applyAlignment="1" applyProtection="1">
      <alignment horizontal="right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3" fillId="2" borderId="1" xfId="0" applyNumberFormat="1" applyFont="1" applyFill="1" applyBorder="1" applyAlignment="1" applyProtection="1">
      <alignment horizontal="right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0" fontId="2" fillId="3" borderId="1" xfId="0" applyNumberFormat="1" applyFont="1" applyFill="1" applyBorder="1" applyAlignment="1" applyProtection="1">
      <alignment horizontal="right" wrapText="1"/>
    </xf>
    <xf numFmtId="3" fontId="2" fillId="3" borderId="1" xfId="0" applyNumberFormat="1" applyFont="1" applyFill="1" applyBorder="1" applyAlignment="1" applyProtection="1">
      <alignment horizontal="right" wrapText="1"/>
      <protection locked="0"/>
    </xf>
    <xf numFmtId="0" fontId="2" fillId="2" borderId="3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0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3" xfId="0" applyNumberFormat="1" applyFont="1" applyFill="1" applyBorder="1" applyAlignment="1" applyProtection="1">
      <alignment horizontal="right" vertical="center" wrapText="1"/>
    </xf>
    <xf numFmtId="0" fontId="2" fillId="3" borderId="4" xfId="0" applyNumberFormat="1" applyFont="1" applyFill="1" applyBorder="1" applyAlignment="1" applyProtection="1">
      <alignment horizontal="right" vertical="center" wrapText="1"/>
    </xf>
    <xf numFmtId="0" fontId="3" fillId="2" borderId="2" xfId="0" applyNumberFormat="1" applyFont="1" applyFill="1" applyBorder="1" applyAlignment="1" applyProtection="1">
      <alignment horizontal="right" vertical="center" wrapText="1"/>
    </xf>
    <xf numFmtId="0" fontId="3" fillId="0" borderId="3" xfId="0" applyNumberFormat="1" applyFont="1" applyFill="1" applyBorder="1" applyAlignment="1" applyProtection="1">
      <alignment horizontal="right" vertical="center" wrapText="1"/>
    </xf>
    <xf numFmtId="0" fontId="3" fillId="2" borderId="3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center" wrapText="1"/>
    </xf>
    <xf numFmtId="0" fontId="3" fillId="4" borderId="1" xfId="0" applyFont="1" applyFill="1" applyBorder="1" applyAlignment="1" applyProtection="1">
      <alignment horizontal="left" wrapText="1"/>
    </xf>
    <xf numFmtId="0" fontId="3" fillId="4" borderId="4" xfId="0" applyFont="1" applyFill="1" applyBorder="1" applyAlignment="1" applyProtection="1">
      <alignment horizontal="center" wrapText="1"/>
    </xf>
    <xf numFmtId="3" fontId="2" fillId="2" borderId="1" xfId="0" applyNumberFormat="1" applyFont="1" applyFill="1" applyBorder="1" applyAlignment="1" applyProtection="1">
      <alignment horizontal="right" wrapText="1"/>
    </xf>
    <xf numFmtId="0" fontId="3" fillId="0" borderId="4" xfId="0" applyNumberFormat="1" applyFont="1" applyFill="1" applyBorder="1" applyAlignment="1" applyProtection="1">
      <alignment horizontal="right" vertical="center" wrapText="1"/>
    </xf>
    <xf numFmtId="0" fontId="3" fillId="2" borderId="2" xfId="0" applyFont="1" applyFill="1" applyBorder="1" applyAlignment="1" applyProtection="1">
      <alignment horizontal="center" wrapText="1"/>
    </xf>
    <xf numFmtId="3" fontId="3" fillId="2" borderId="2" xfId="0" applyNumberFormat="1" applyFont="1" applyFill="1" applyBorder="1" applyAlignment="1" applyProtection="1">
      <alignment horizontal="right" wrapText="1"/>
    </xf>
    <xf numFmtId="0" fontId="2" fillId="2" borderId="5" xfId="0" applyFont="1" applyFill="1" applyBorder="1" applyAlignment="1" applyProtection="1">
      <alignment horizontal="left" wrapText="1"/>
    </xf>
    <xf numFmtId="0" fontId="2" fillId="2" borderId="6" xfId="0" applyFont="1" applyFill="1" applyBorder="1" applyAlignment="1" applyProtection="1">
      <alignment horizontal="left" wrapText="1"/>
    </xf>
    <xf numFmtId="0" fontId="2" fillId="2" borderId="4" xfId="0" applyFont="1" applyFill="1" applyBorder="1" applyAlignment="1" applyProtection="1">
      <alignment horizontal="left" wrapText="1"/>
    </xf>
    <xf numFmtId="0" fontId="2" fillId="2" borderId="7" xfId="0" applyFont="1" applyFill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66CC"/>
      <color rgb="00C0C0C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 autoPageBreaks="0"/>
  </sheetPr>
  <dimension ref="B1:N74"/>
  <sheetViews>
    <sheetView showGridLines="0" tabSelected="1" zoomScaleSheetLayoutView="60" workbookViewId="0">
      <selection activeCell="E12" sqref="E12"/>
    </sheetView>
  </sheetViews>
  <sheetFormatPr defaultColWidth="0" defaultRowHeight="15" zeroHeight="1"/>
  <cols>
    <col min="1" max="1" width="3.85454545454545" style="1" customWidth="1"/>
    <col min="2" max="2" width="5.70909090909091" style="1" customWidth="1"/>
    <col min="3" max="3" width="7.70909090909091" style="1" customWidth="1"/>
    <col min="4" max="4" width="37.8545454545455" style="1" customWidth="1"/>
    <col min="5" max="14" width="15.7090909090909" style="1" customWidth="1"/>
    <col min="15" max="15" width="9.13636363636364" style="1" customWidth="1"/>
    <col min="16" max="16384" width="0" style="1" hidden="1"/>
  </cols>
  <sheetData>
    <row r="1" ht="14.5"/>
    <row r="2" ht="14.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4.5" spans="2:14">
      <c r="B3" s="3" t="s">
        <v>1</v>
      </c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4.5" spans="2:14"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4.5" spans="2:14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4.5" spans="2:1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4.5" spans="2:14">
      <c r="B7" s="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4.5" spans="2:14">
      <c r="B8" s="5"/>
      <c r="C8" s="5"/>
      <c r="D8" s="5"/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/>
      <c r="L8" s="5"/>
      <c r="M8" s="5"/>
      <c r="N8" s="21" t="s">
        <v>13</v>
      </c>
    </row>
    <row r="9" ht="21" spans="2:14">
      <c r="B9" s="5"/>
      <c r="C9" s="5"/>
      <c r="D9" s="5"/>
      <c r="E9" s="5"/>
      <c r="F9" s="5"/>
      <c r="G9" s="5"/>
      <c r="H9" s="5"/>
      <c r="I9" s="5"/>
      <c r="J9" s="22" t="s">
        <v>14</v>
      </c>
      <c r="K9" s="22" t="s">
        <v>15</v>
      </c>
      <c r="L9" s="22" t="s">
        <v>16</v>
      </c>
      <c r="M9" s="22" t="s">
        <v>17</v>
      </c>
      <c r="N9" s="23"/>
    </row>
    <row r="10" ht="14.5" spans="2:14">
      <c r="B10" s="6" t="s">
        <v>18</v>
      </c>
      <c r="C10" s="6"/>
      <c r="D10" s="6"/>
      <c r="E10" s="7">
        <f>+E11+E18+E25</f>
        <v>0</v>
      </c>
      <c r="F10" s="7">
        <f t="shared" ref="F10:M10" si="0">+F11+F18+F25</f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>SUM(E10:M10)</f>
        <v>0</v>
      </c>
    </row>
    <row r="11" ht="14.5" spans="2:14">
      <c r="B11" s="8">
        <v>1</v>
      </c>
      <c r="C11" s="9">
        <v>1.1</v>
      </c>
      <c r="D11" s="6" t="s">
        <v>19</v>
      </c>
      <c r="E11" s="7">
        <f>SUM(E12:E17)</f>
        <v>0</v>
      </c>
      <c r="F11" s="7">
        <f t="shared" ref="F11:M11" si="1">SUM(F12:F17)</f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  <c r="L11" s="7">
        <f t="shared" si="1"/>
        <v>0</v>
      </c>
      <c r="M11" s="7">
        <f t="shared" si="1"/>
        <v>0</v>
      </c>
      <c r="N11" s="7">
        <f>SUM(E11:M11)</f>
        <v>0</v>
      </c>
    </row>
    <row r="12" ht="14.5" spans="2:14">
      <c r="B12" s="10"/>
      <c r="C12" s="11" t="s">
        <v>20</v>
      </c>
      <c r="D12" s="4" t="s">
        <v>21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24">
        <f t="shared" ref="N12:N70" si="2">SUM(E12:M12)</f>
        <v>0</v>
      </c>
    </row>
    <row r="13" ht="14.5" spans="2:14">
      <c r="B13" s="10"/>
      <c r="C13" s="11" t="s">
        <v>22</v>
      </c>
      <c r="D13" s="4" t="s">
        <v>23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24">
        <f t="shared" si="2"/>
        <v>0</v>
      </c>
    </row>
    <row r="14" ht="14.5" spans="2:14">
      <c r="B14" s="10"/>
      <c r="C14" s="11" t="s">
        <v>24</v>
      </c>
      <c r="D14" s="4" t="s">
        <v>25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24">
        <f t="shared" si="2"/>
        <v>0</v>
      </c>
    </row>
    <row r="15" ht="14.5" spans="2:14">
      <c r="B15" s="10"/>
      <c r="C15" s="11" t="s">
        <v>26</v>
      </c>
      <c r="D15" s="4" t="s">
        <v>27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24">
        <f t="shared" si="2"/>
        <v>0</v>
      </c>
    </row>
    <row r="16" ht="14.5" spans="2:14">
      <c r="B16" s="10"/>
      <c r="C16" s="11" t="s">
        <v>28</v>
      </c>
      <c r="D16" s="4" t="s">
        <v>29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24">
        <f t="shared" si="2"/>
        <v>0</v>
      </c>
    </row>
    <row r="17" ht="14.5" spans="2:14">
      <c r="B17" s="10"/>
      <c r="C17" s="11" t="s">
        <v>30</v>
      </c>
      <c r="D17" s="4" t="s">
        <v>31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24">
        <f t="shared" si="2"/>
        <v>0</v>
      </c>
    </row>
    <row r="18" ht="14.5" spans="2:14">
      <c r="B18" s="13"/>
      <c r="C18" s="9">
        <v>1.2</v>
      </c>
      <c r="D18" s="6" t="s">
        <v>32</v>
      </c>
      <c r="E18" s="7">
        <f>SUM(E19:E24)</f>
        <v>0</v>
      </c>
      <c r="F18" s="7">
        <f t="shared" ref="F18:M18" si="3">SUM(F19:F24)</f>
        <v>0</v>
      </c>
      <c r="G18" s="7">
        <f t="shared" si="3"/>
        <v>0</v>
      </c>
      <c r="H18" s="7">
        <f t="shared" si="3"/>
        <v>0</v>
      </c>
      <c r="I18" s="7">
        <f t="shared" si="3"/>
        <v>0</v>
      </c>
      <c r="J18" s="7">
        <f t="shared" si="3"/>
        <v>0</v>
      </c>
      <c r="K18" s="7">
        <f t="shared" si="3"/>
        <v>0</v>
      </c>
      <c r="L18" s="7">
        <f t="shared" si="3"/>
        <v>0</v>
      </c>
      <c r="M18" s="7">
        <f t="shared" si="3"/>
        <v>0</v>
      </c>
      <c r="N18" s="7">
        <f t="shared" si="2"/>
        <v>0</v>
      </c>
    </row>
    <row r="19" ht="14.5" spans="2:14">
      <c r="B19" s="10"/>
      <c r="C19" s="11" t="s">
        <v>33</v>
      </c>
      <c r="D19" s="4" t="s">
        <v>21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24">
        <f t="shared" si="2"/>
        <v>0</v>
      </c>
    </row>
    <row r="20" ht="14.5" spans="2:14">
      <c r="B20" s="10"/>
      <c r="C20" s="11" t="s">
        <v>34</v>
      </c>
      <c r="D20" s="4" t="s">
        <v>23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24">
        <f t="shared" si="2"/>
        <v>0</v>
      </c>
    </row>
    <row r="21" ht="14.5" spans="2:14">
      <c r="B21" s="10"/>
      <c r="C21" s="11" t="s">
        <v>35</v>
      </c>
      <c r="D21" s="4" t="s">
        <v>25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24">
        <f t="shared" si="2"/>
        <v>0</v>
      </c>
    </row>
    <row r="22" ht="14.5" spans="2:14">
      <c r="B22" s="10"/>
      <c r="C22" s="11" t="s">
        <v>36</v>
      </c>
      <c r="D22" s="4" t="s">
        <v>27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24">
        <f t="shared" si="2"/>
        <v>0</v>
      </c>
    </row>
    <row r="23" ht="14.5" spans="2:14">
      <c r="B23" s="10"/>
      <c r="C23" s="11" t="s">
        <v>37</v>
      </c>
      <c r="D23" s="4" t="s">
        <v>29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24">
        <f t="shared" si="2"/>
        <v>0</v>
      </c>
    </row>
    <row r="24" ht="14.5" spans="2:14">
      <c r="B24" s="10"/>
      <c r="C24" s="11" t="s">
        <v>38</v>
      </c>
      <c r="D24" s="4" t="s">
        <v>31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24">
        <f t="shared" si="2"/>
        <v>0</v>
      </c>
    </row>
    <row r="25" ht="14.5" spans="2:14">
      <c r="B25" s="13"/>
      <c r="C25" s="9">
        <v>1.3</v>
      </c>
      <c r="D25" s="6" t="s">
        <v>39</v>
      </c>
      <c r="E25" s="7">
        <f>SUM(E26:E31)</f>
        <v>0</v>
      </c>
      <c r="F25" s="7">
        <f t="shared" ref="F25:M25" si="4">SUM(F26:F31)</f>
        <v>0</v>
      </c>
      <c r="G25" s="7">
        <f t="shared" si="4"/>
        <v>0</v>
      </c>
      <c r="H25" s="7">
        <f t="shared" si="4"/>
        <v>0</v>
      </c>
      <c r="I25" s="7">
        <f t="shared" si="4"/>
        <v>0</v>
      </c>
      <c r="J25" s="7">
        <f t="shared" si="4"/>
        <v>0</v>
      </c>
      <c r="K25" s="7">
        <f t="shared" si="4"/>
        <v>0</v>
      </c>
      <c r="L25" s="7">
        <f t="shared" si="4"/>
        <v>0</v>
      </c>
      <c r="M25" s="7">
        <f t="shared" si="4"/>
        <v>0</v>
      </c>
      <c r="N25" s="7">
        <f t="shared" si="2"/>
        <v>0</v>
      </c>
    </row>
    <row r="26" ht="14.5" spans="2:14">
      <c r="B26" s="10"/>
      <c r="C26" s="11" t="s">
        <v>40</v>
      </c>
      <c r="D26" s="4" t="s">
        <v>21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24">
        <f t="shared" si="2"/>
        <v>0</v>
      </c>
    </row>
    <row r="27" ht="14.5" spans="2:14">
      <c r="B27" s="10"/>
      <c r="C27" s="11" t="s">
        <v>41</v>
      </c>
      <c r="D27" s="4" t="s">
        <v>23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24">
        <f t="shared" si="2"/>
        <v>0</v>
      </c>
    </row>
    <row r="28" ht="14.5" spans="2:14">
      <c r="B28" s="10"/>
      <c r="C28" s="11" t="s">
        <v>42</v>
      </c>
      <c r="D28" s="4" t="s">
        <v>25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24">
        <f t="shared" si="2"/>
        <v>0</v>
      </c>
    </row>
    <row r="29" ht="14.5" spans="2:14">
      <c r="B29" s="10"/>
      <c r="C29" s="11" t="s">
        <v>43</v>
      </c>
      <c r="D29" s="4" t="s">
        <v>27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24">
        <f t="shared" si="2"/>
        <v>0</v>
      </c>
    </row>
    <row r="30" ht="14.5" spans="2:14">
      <c r="B30" s="10"/>
      <c r="C30" s="11" t="s">
        <v>44</v>
      </c>
      <c r="D30" s="4" t="s">
        <v>29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24">
        <f t="shared" si="2"/>
        <v>0</v>
      </c>
    </row>
    <row r="31" ht="14.5" spans="2:14">
      <c r="B31" s="14"/>
      <c r="C31" s="11" t="s">
        <v>45</v>
      </c>
      <c r="D31" s="4" t="s">
        <v>31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24">
        <f t="shared" si="2"/>
        <v>0</v>
      </c>
    </row>
    <row r="32" customHeight="1" spans="2:14">
      <c r="B32" s="9" t="s">
        <v>46</v>
      </c>
      <c r="C32" s="9"/>
      <c r="D32" s="6"/>
      <c r="E32" s="7">
        <f>+E33+E48</f>
        <v>0</v>
      </c>
      <c r="F32" s="7">
        <f t="shared" ref="F32:M32" si="5">+F33+F48</f>
        <v>0</v>
      </c>
      <c r="G32" s="7">
        <f t="shared" si="5"/>
        <v>0</v>
      </c>
      <c r="H32" s="7">
        <f t="shared" si="5"/>
        <v>0</v>
      </c>
      <c r="I32" s="7">
        <f t="shared" si="5"/>
        <v>0</v>
      </c>
      <c r="J32" s="7">
        <f t="shared" si="5"/>
        <v>0</v>
      </c>
      <c r="K32" s="7">
        <f t="shared" si="5"/>
        <v>0</v>
      </c>
      <c r="L32" s="7">
        <f t="shared" si="5"/>
        <v>0</v>
      </c>
      <c r="M32" s="7">
        <f t="shared" si="5"/>
        <v>0</v>
      </c>
      <c r="N32" s="7">
        <f t="shared" si="2"/>
        <v>0</v>
      </c>
    </row>
    <row r="33" customHeight="1" spans="2:14">
      <c r="B33" s="9" t="s">
        <v>47</v>
      </c>
      <c r="C33" s="9"/>
      <c r="D33" s="6"/>
      <c r="E33" s="7">
        <f>+E34+E41</f>
        <v>0</v>
      </c>
      <c r="F33" s="7">
        <f t="shared" ref="F33:M33" si="6">+F34+F41</f>
        <v>0</v>
      </c>
      <c r="G33" s="7">
        <f t="shared" si="6"/>
        <v>0</v>
      </c>
      <c r="H33" s="7">
        <f t="shared" si="6"/>
        <v>0</v>
      </c>
      <c r="I33" s="7">
        <f t="shared" si="6"/>
        <v>0</v>
      </c>
      <c r="J33" s="7">
        <f t="shared" si="6"/>
        <v>0</v>
      </c>
      <c r="K33" s="7">
        <f t="shared" si="6"/>
        <v>0</v>
      </c>
      <c r="L33" s="7">
        <f t="shared" si="6"/>
        <v>0</v>
      </c>
      <c r="M33" s="7">
        <f t="shared" si="6"/>
        <v>0</v>
      </c>
      <c r="N33" s="7">
        <f t="shared" si="2"/>
        <v>0</v>
      </c>
    </row>
    <row r="34" ht="14.5" spans="2:14">
      <c r="B34" s="8">
        <v>2.1</v>
      </c>
      <c r="C34" s="9" t="s">
        <v>48</v>
      </c>
      <c r="D34" s="6" t="s">
        <v>19</v>
      </c>
      <c r="E34" s="7">
        <f>SUM(E35:E40)</f>
        <v>0</v>
      </c>
      <c r="F34" s="7">
        <f t="shared" ref="F34:M34" si="7">SUM(F35:F40)</f>
        <v>0</v>
      </c>
      <c r="G34" s="7">
        <f t="shared" si="7"/>
        <v>0</v>
      </c>
      <c r="H34" s="7">
        <f t="shared" si="7"/>
        <v>0</v>
      </c>
      <c r="I34" s="7">
        <f t="shared" si="7"/>
        <v>0</v>
      </c>
      <c r="J34" s="7">
        <f t="shared" si="7"/>
        <v>0</v>
      </c>
      <c r="K34" s="7">
        <f t="shared" si="7"/>
        <v>0</v>
      </c>
      <c r="L34" s="7">
        <f t="shared" si="7"/>
        <v>0</v>
      </c>
      <c r="M34" s="7">
        <f t="shared" si="7"/>
        <v>0</v>
      </c>
      <c r="N34" s="7">
        <f t="shared" si="2"/>
        <v>0</v>
      </c>
    </row>
    <row r="35" ht="14.5" spans="2:14">
      <c r="B35" s="10"/>
      <c r="C35" s="11" t="s">
        <v>49</v>
      </c>
      <c r="D35" s="4" t="s">
        <v>21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24">
        <f t="shared" si="2"/>
        <v>0</v>
      </c>
    </row>
    <row r="36" ht="14.5" spans="2:14">
      <c r="B36" s="10"/>
      <c r="C36" s="11" t="s">
        <v>50</v>
      </c>
      <c r="D36" s="4" t="s">
        <v>23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24">
        <f t="shared" si="2"/>
        <v>0</v>
      </c>
    </row>
    <row r="37" ht="14.5" spans="2:14">
      <c r="B37" s="10"/>
      <c r="C37" s="11" t="s">
        <v>51</v>
      </c>
      <c r="D37" s="4" t="s">
        <v>25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24">
        <f t="shared" si="2"/>
        <v>0</v>
      </c>
    </row>
    <row r="38" ht="14.5" spans="2:14">
      <c r="B38" s="10"/>
      <c r="C38" s="11" t="s">
        <v>52</v>
      </c>
      <c r="D38" s="4" t="s">
        <v>27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24">
        <f t="shared" si="2"/>
        <v>0</v>
      </c>
    </row>
    <row r="39" ht="14.5" spans="2:14">
      <c r="B39" s="10"/>
      <c r="C39" s="11" t="s">
        <v>53</v>
      </c>
      <c r="D39" s="4" t="s">
        <v>29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24">
        <f t="shared" si="2"/>
        <v>0</v>
      </c>
    </row>
    <row r="40" ht="14.5" spans="2:14">
      <c r="B40" s="10"/>
      <c r="C40" s="11" t="s">
        <v>54</v>
      </c>
      <c r="D40" s="4" t="s">
        <v>31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24">
        <f t="shared" si="2"/>
        <v>0</v>
      </c>
    </row>
    <row r="41" ht="14.5" spans="2:14">
      <c r="B41" s="13"/>
      <c r="C41" s="9" t="s">
        <v>55</v>
      </c>
      <c r="D41" s="6" t="s">
        <v>32</v>
      </c>
      <c r="E41" s="7">
        <f>SUM(E42:E47)</f>
        <v>0</v>
      </c>
      <c r="F41" s="7">
        <f t="shared" ref="F41:M41" si="8">SUM(F42:F47)</f>
        <v>0</v>
      </c>
      <c r="G41" s="7">
        <f t="shared" si="8"/>
        <v>0</v>
      </c>
      <c r="H41" s="7">
        <f t="shared" si="8"/>
        <v>0</v>
      </c>
      <c r="I41" s="7">
        <f t="shared" si="8"/>
        <v>0</v>
      </c>
      <c r="J41" s="7">
        <f t="shared" si="8"/>
        <v>0</v>
      </c>
      <c r="K41" s="7">
        <f t="shared" si="8"/>
        <v>0</v>
      </c>
      <c r="L41" s="7">
        <f t="shared" si="8"/>
        <v>0</v>
      </c>
      <c r="M41" s="7">
        <f t="shared" si="8"/>
        <v>0</v>
      </c>
      <c r="N41" s="7">
        <f t="shared" si="2"/>
        <v>0</v>
      </c>
    </row>
    <row r="42" ht="14.5" spans="2:14">
      <c r="B42" s="10"/>
      <c r="C42" s="11" t="s">
        <v>56</v>
      </c>
      <c r="D42" s="4" t="s">
        <v>21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24">
        <f t="shared" si="2"/>
        <v>0</v>
      </c>
    </row>
    <row r="43" ht="14.5" spans="2:14">
      <c r="B43" s="10"/>
      <c r="C43" s="11" t="s">
        <v>57</v>
      </c>
      <c r="D43" s="4" t="s">
        <v>23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24">
        <f t="shared" si="2"/>
        <v>0</v>
      </c>
    </row>
    <row r="44" ht="14.5" spans="2:14">
      <c r="B44" s="10"/>
      <c r="C44" s="11" t="s">
        <v>58</v>
      </c>
      <c r="D44" s="4" t="s">
        <v>25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24">
        <f t="shared" si="2"/>
        <v>0</v>
      </c>
    </row>
    <row r="45" ht="14.5" spans="2:14">
      <c r="B45" s="10"/>
      <c r="C45" s="11" t="s">
        <v>59</v>
      </c>
      <c r="D45" s="4" t="s">
        <v>27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24">
        <f t="shared" si="2"/>
        <v>0</v>
      </c>
    </row>
    <row r="46" ht="14.5" spans="2:14">
      <c r="B46" s="10"/>
      <c r="C46" s="11" t="s">
        <v>60</v>
      </c>
      <c r="D46" s="4" t="s">
        <v>29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24">
        <f t="shared" si="2"/>
        <v>0</v>
      </c>
    </row>
    <row r="47" ht="14.5" spans="2:14">
      <c r="B47" s="14"/>
      <c r="C47" s="11" t="s">
        <v>61</v>
      </c>
      <c r="D47" s="4" t="s">
        <v>31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24">
        <f t="shared" si="2"/>
        <v>0</v>
      </c>
    </row>
    <row r="48" customHeight="1" spans="2:14">
      <c r="B48" s="9" t="s">
        <v>62</v>
      </c>
      <c r="C48" s="9"/>
      <c r="D48" s="6"/>
      <c r="E48" s="7">
        <f>SUM(E49:E54)</f>
        <v>0</v>
      </c>
      <c r="F48" s="7">
        <f t="shared" ref="F48:M48" si="9">SUM(F49:F54)</f>
        <v>0</v>
      </c>
      <c r="G48" s="7">
        <f t="shared" si="9"/>
        <v>0</v>
      </c>
      <c r="H48" s="7">
        <f t="shared" si="9"/>
        <v>0</v>
      </c>
      <c r="I48" s="7">
        <f t="shared" si="9"/>
        <v>0</v>
      </c>
      <c r="J48" s="7">
        <f t="shared" si="9"/>
        <v>0</v>
      </c>
      <c r="K48" s="7">
        <f t="shared" si="9"/>
        <v>0</v>
      </c>
      <c r="L48" s="7">
        <f t="shared" si="9"/>
        <v>0</v>
      </c>
      <c r="M48" s="7">
        <f t="shared" si="9"/>
        <v>0</v>
      </c>
      <c r="N48" s="7">
        <f t="shared" si="2"/>
        <v>0</v>
      </c>
    </row>
    <row r="49" ht="14.5" spans="2:14">
      <c r="B49" s="15">
        <v>2.2</v>
      </c>
      <c r="C49" s="11" t="s">
        <v>63</v>
      </c>
      <c r="D49" s="4" t="s">
        <v>21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24">
        <f t="shared" si="2"/>
        <v>0</v>
      </c>
    </row>
    <row r="50" ht="14.5" spans="2:14">
      <c r="B50" s="16"/>
      <c r="C50" s="11" t="s">
        <v>64</v>
      </c>
      <c r="D50" s="4" t="s">
        <v>23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24">
        <f t="shared" si="2"/>
        <v>0</v>
      </c>
    </row>
    <row r="51" ht="14.5" spans="2:14">
      <c r="B51" s="16"/>
      <c r="C51" s="11" t="s">
        <v>65</v>
      </c>
      <c r="D51" s="4" t="s">
        <v>25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24">
        <f t="shared" si="2"/>
        <v>0</v>
      </c>
    </row>
    <row r="52" ht="14.5" spans="2:14">
      <c r="B52" s="16"/>
      <c r="C52" s="11" t="s">
        <v>66</v>
      </c>
      <c r="D52" s="4" t="s">
        <v>27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24">
        <f t="shared" si="2"/>
        <v>0</v>
      </c>
    </row>
    <row r="53" ht="14.5" spans="2:14">
      <c r="B53" s="16"/>
      <c r="C53" s="11" t="s">
        <v>67</v>
      </c>
      <c r="D53" s="4" t="s">
        <v>29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24">
        <f t="shared" si="2"/>
        <v>0</v>
      </c>
    </row>
    <row r="54" ht="14.5" spans="2:14">
      <c r="B54" s="17"/>
      <c r="C54" s="11" t="s">
        <v>68</v>
      </c>
      <c r="D54" s="4" t="s">
        <v>31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24">
        <f t="shared" si="2"/>
        <v>0</v>
      </c>
    </row>
    <row r="55" customHeight="1" spans="2:14">
      <c r="B55" s="9" t="s">
        <v>69</v>
      </c>
      <c r="C55" s="9"/>
      <c r="D55" s="6"/>
      <c r="E55" s="7">
        <f>+E56+E63</f>
        <v>0</v>
      </c>
      <c r="F55" s="7">
        <f t="shared" ref="F55:M55" si="10">+F56+F63</f>
        <v>0</v>
      </c>
      <c r="G55" s="7">
        <f t="shared" si="10"/>
        <v>0</v>
      </c>
      <c r="H55" s="7">
        <f t="shared" si="10"/>
        <v>0</v>
      </c>
      <c r="I55" s="7">
        <f t="shared" si="10"/>
        <v>0</v>
      </c>
      <c r="J55" s="7">
        <f t="shared" si="10"/>
        <v>0</v>
      </c>
      <c r="K55" s="7">
        <f t="shared" si="10"/>
        <v>0</v>
      </c>
      <c r="L55" s="7">
        <f t="shared" si="10"/>
        <v>0</v>
      </c>
      <c r="M55" s="7">
        <f t="shared" si="10"/>
        <v>0</v>
      </c>
      <c r="N55" s="7">
        <f t="shared" si="2"/>
        <v>0</v>
      </c>
    </row>
    <row r="56" ht="14.5" spans="2:14">
      <c r="B56" s="18">
        <v>3</v>
      </c>
      <c r="C56" s="9">
        <v>3.1</v>
      </c>
      <c r="D56" s="6" t="s">
        <v>70</v>
      </c>
      <c r="E56" s="7">
        <f>SUM(E57:E62)</f>
        <v>0</v>
      </c>
      <c r="F56" s="7">
        <f t="shared" ref="F56:M56" si="11">SUM(F57:F62)</f>
        <v>0</v>
      </c>
      <c r="G56" s="7">
        <f t="shared" si="11"/>
        <v>0</v>
      </c>
      <c r="H56" s="7">
        <f t="shared" si="11"/>
        <v>0</v>
      </c>
      <c r="I56" s="7">
        <f t="shared" si="11"/>
        <v>0</v>
      </c>
      <c r="J56" s="7">
        <f t="shared" si="11"/>
        <v>0</v>
      </c>
      <c r="K56" s="7">
        <f t="shared" si="11"/>
        <v>0</v>
      </c>
      <c r="L56" s="7">
        <f t="shared" si="11"/>
        <v>0</v>
      </c>
      <c r="M56" s="7">
        <f t="shared" si="11"/>
        <v>0</v>
      </c>
      <c r="N56" s="7">
        <f t="shared" si="2"/>
        <v>0</v>
      </c>
    </row>
    <row r="57" ht="14.5" spans="2:14">
      <c r="B57" s="19"/>
      <c r="C57" s="11" t="s">
        <v>71</v>
      </c>
      <c r="D57" s="4" t="s">
        <v>21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24">
        <f t="shared" si="2"/>
        <v>0</v>
      </c>
    </row>
    <row r="58" ht="14.5" spans="2:14">
      <c r="B58" s="19"/>
      <c r="C58" s="11" t="s">
        <v>72</v>
      </c>
      <c r="D58" s="4" t="s">
        <v>23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24">
        <f t="shared" si="2"/>
        <v>0</v>
      </c>
    </row>
    <row r="59" ht="14.5" spans="2:14">
      <c r="B59" s="19"/>
      <c r="C59" s="11" t="s">
        <v>73</v>
      </c>
      <c r="D59" s="4" t="s">
        <v>25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24">
        <f t="shared" si="2"/>
        <v>0</v>
      </c>
    </row>
    <row r="60" ht="14.5" spans="2:14">
      <c r="B60" s="19"/>
      <c r="C60" s="11" t="s">
        <v>74</v>
      </c>
      <c r="D60" s="4" t="s">
        <v>27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24">
        <f t="shared" si="2"/>
        <v>0</v>
      </c>
    </row>
    <row r="61" ht="14.5" spans="2:14">
      <c r="B61" s="19"/>
      <c r="C61" s="11" t="s">
        <v>75</v>
      </c>
      <c r="D61" s="4" t="s">
        <v>29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24">
        <f t="shared" si="2"/>
        <v>0</v>
      </c>
    </row>
    <row r="62" ht="14.5" spans="2:14">
      <c r="B62" s="19"/>
      <c r="C62" s="11" t="s">
        <v>76</v>
      </c>
      <c r="D62" s="4" t="s">
        <v>31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24">
        <f t="shared" si="2"/>
        <v>0</v>
      </c>
    </row>
    <row r="63" ht="14.5" spans="2:14">
      <c r="B63" s="20"/>
      <c r="C63" s="9">
        <v>3.2</v>
      </c>
      <c r="D63" s="6" t="s">
        <v>77</v>
      </c>
      <c r="E63" s="7">
        <f>SUM(E64:E69)</f>
        <v>0</v>
      </c>
      <c r="F63" s="7">
        <f t="shared" ref="F63:M63" si="12">SUM(F64:F69)</f>
        <v>0</v>
      </c>
      <c r="G63" s="7">
        <f t="shared" si="12"/>
        <v>0</v>
      </c>
      <c r="H63" s="7">
        <f t="shared" si="12"/>
        <v>0</v>
      </c>
      <c r="I63" s="7">
        <f t="shared" si="12"/>
        <v>0</v>
      </c>
      <c r="J63" s="7">
        <f t="shared" si="12"/>
        <v>0</v>
      </c>
      <c r="K63" s="7">
        <f t="shared" si="12"/>
        <v>0</v>
      </c>
      <c r="L63" s="7">
        <f t="shared" si="12"/>
        <v>0</v>
      </c>
      <c r="M63" s="7">
        <f t="shared" si="12"/>
        <v>0</v>
      </c>
      <c r="N63" s="7">
        <f t="shared" si="2"/>
        <v>0</v>
      </c>
    </row>
    <row r="64" ht="14.5" spans="2:14">
      <c r="B64" s="19"/>
      <c r="C64" s="11" t="s">
        <v>78</v>
      </c>
      <c r="D64" s="4" t="s">
        <v>21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24">
        <f t="shared" si="2"/>
        <v>0</v>
      </c>
    </row>
    <row r="65" ht="14.5" spans="2:14">
      <c r="B65" s="19"/>
      <c r="C65" s="11" t="s">
        <v>79</v>
      </c>
      <c r="D65" s="4" t="s">
        <v>23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24">
        <f t="shared" si="2"/>
        <v>0</v>
      </c>
    </row>
    <row r="66" ht="14.5" spans="2:14">
      <c r="B66" s="19"/>
      <c r="C66" s="11" t="s">
        <v>80</v>
      </c>
      <c r="D66" s="4" t="s">
        <v>25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24">
        <f t="shared" si="2"/>
        <v>0</v>
      </c>
    </row>
    <row r="67" ht="14.5" spans="2:14">
      <c r="B67" s="19"/>
      <c r="C67" s="11" t="s">
        <v>81</v>
      </c>
      <c r="D67" s="4" t="s">
        <v>27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24">
        <f t="shared" si="2"/>
        <v>0</v>
      </c>
    </row>
    <row r="68" ht="14.5" spans="2:14">
      <c r="B68" s="19"/>
      <c r="C68" s="11" t="s">
        <v>82</v>
      </c>
      <c r="D68" s="4" t="s">
        <v>29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24">
        <f t="shared" si="2"/>
        <v>0</v>
      </c>
    </row>
    <row r="69" ht="14.5" spans="2:14">
      <c r="B69" s="25"/>
      <c r="C69" s="11" t="s">
        <v>83</v>
      </c>
      <c r="D69" s="4" t="s">
        <v>31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24">
        <f t="shared" si="2"/>
        <v>0</v>
      </c>
    </row>
    <row r="70" ht="14.5" spans="2:14">
      <c r="B70" s="26" t="s">
        <v>84</v>
      </c>
      <c r="C70" s="26"/>
      <c r="D70" s="26"/>
      <c r="E70" s="27">
        <f>+E10+E32+E55</f>
        <v>0</v>
      </c>
      <c r="F70" s="27">
        <f t="shared" ref="F70:M70" si="13">+F10+F32+F55</f>
        <v>0</v>
      </c>
      <c r="G70" s="27">
        <f t="shared" si="13"/>
        <v>0</v>
      </c>
      <c r="H70" s="27">
        <f t="shared" si="13"/>
        <v>0</v>
      </c>
      <c r="I70" s="27">
        <f t="shared" si="13"/>
        <v>0</v>
      </c>
      <c r="J70" s="27">
        <f t="shared" si="13"/>
        <v>0</v>
      </c>
      <c r="K70" s="27">
        <f t="shared" si="13"/>
        <v>0</v>
      </c>
      <c r="L70" s="27">
        <f t="shared" si="13"/>
        <v>0</v>
      </c>
      <c r="M70" s="27">
        <f t="shared" si="13"/>
        <v>0</v>
      </c>
      <c r="N70" s="27">
        <f t="shared" si="2"/>
        <v>0</v>
      </c>
    </row>
    <row r="71" ht="14.5" spans="2:14">
      <c r="B71" s="28" t="s">
        <v>85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1"/>
    </row>
    <row r="72" ht="14.5" spans="2:14">
      <c r="B72" s="30" t="s">
        <v>86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ht="14.5"/>
    <row r="74" ht="14.5" hidden="1"/>
  </sheetData>
  <mergeCells count="21">
    <mergeCell ref="B2:N2"/>
    <mergeCell ref="C3:D3"/>
    <mergeCell ref="C4:D4"/>
    <mergeCell ref="C5:D5"/>
    <mergeCell ref="B6:N6"/>
    <mergeCell ref="B7:N7"/>
    <mergeCell ref="J8:M8"/>
    <mergeCell ref="B10:D10"/>
    <mergeCell ref="B70:D70"/>
    <mergeCell ref="B71:N71"/>
    <mergeCell ref="B72:D72"/>
    <mergeCell ref="E72:N72"/>
    <mergeCell ref="D8:D9"/>
    <mergeCell ref="E8:E9"/>
    <mergeCell ref="F8:F9"/>
    <mergeCell ref="G8:G9"/>
    <mergeCell ref="H8:H9"/>
    <mergeCell ref="I8:I9"/>
    <mergeCell ref="N8:N9"/>
    <mergeCell ref="B8:C9"/>
    <mergeCell ref="E3:N5"/>
  </mergeCells>
  <dataValidations count="1">
    <dataValidation type="whole" operator="between" allowBlank="1" showInputMessage="1" showErrorMessage="1" sqref="E12:M17 E42:M47 E19:M24 E49:M54 E26:M31 E35:M40 E57:M62 E64:M69">
      <formula1>-1000000000</formula1>
      <formula2>1000000000</formula2>
    </dataValidation>
  </dataValidations>
  <pageMargins left="0.7" right="0.7" top="0.75" bottom="0.75" header="0.3" footer="0.3"/>
  <pageSetup paperSize="9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206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2019-12-25T07:02:28Z</dcterms:created>
  <dcterms:modified xsi:type="dcterms:W3CDTF">2024-02-22T05:44:13Z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2021-04-22T08:30:42Z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9d9cfe31-1918-4d14-a811-8389d05d01a9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20F6C46F27034B699DB0268E1E9FB27B_13</vt:lpwstr>
  </property>
  <property fmtid="{D5CDD505-2E9C-101B-9397-08002B2CF9AE}" pid="10" name="KSOProductBuildVer">
    <vt:lpwstr>1033-12.2.0.13431</vt:lpwstr>
  </property>
</Properties>
</file>