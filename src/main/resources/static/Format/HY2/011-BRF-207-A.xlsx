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950"/>
  </bookViews>
  <sheets>
    <sheet name="BRF207" sheetId="1" r:id="rId1"/>
  </sheets>
  <definedNames>
    <definedName name="_xlnm.Print_Area" localSheetId="0">BRF207!$B$2:$N$91</definedName>
  </definedNames>
  <calcPr calcId="144525"/>
</workbook>
</file>

<file path=xl/sharedStrings.xml><?xml version="1.0" encoding="utf-8"?>
<sst xmlns="http://schemas.openxmlformats.org/spreadsheetml/2006/main" count="125" uniqueCount="120">
  <si>
    <t>BANKING AND MONETARY STATISTICS - CONSOLIDATED BALANCE SHEET - ASSETS - BRF 207   (AED IN 000s)</t>
  </si>
  <si>
    <t>ID:</t>
  </si>
  <si>
    <t>12-207-1-0</t>
  </si>
  <si>
    <t>BANK</t>
  </si>
  <si>
    <t>Bank of Baroda</t>
  </si>
  <si>
    <t>As On</t>
  </si>
  <si>
    <t>Is Form Valid</t>
  </si>
  <si>
    <t>No</t>
  </si>
  <si>
    <t>Assets</t>
  </si>
  <si>
    <t xml:space="preserve">Bank Operations (including international branches and banking subsidiaries - Outside UAE)
</t>
  </si>
  <si>
    <t>Banking Subsidiaries in UAE</t>
  </si>
  <si>
    <t>Financial Subsidiaries excluding Banking Subsidiaries (whether inside UAE or outside) (Examples of Financial Subsidiaries:  Finance Companies, Investment Companies, Leasing, Insurance, Financial Intermediaries (e.g. Brokers)) 
(UAE)</t>
  </si>
  <si>
    <t>Financial Subsidiaries excluding Banking Subsidiaries (whether inside UAE or outside) (Examples of Financial Subsidiaries:  Finance Companies, Investment Companies, Leasing, Insurance, Financial Intermediaries (e.g. Brokers)) 
(Outside UAE)</t>
  </si>
  <si>
    <t>All other Subsidiaries other than Banking and Financial Subsidiaries (UAE)</t>
  </si>
  <si>
    <t>All other subsidiaries other than Banking and Financial Subsidiary (Outside UAE)</t>
  </si>
  <si>
    <t>Gross Assets</t>
  </si>
  <si>
    <t>Elimination</t>
  </si>
  <si>
    <t>Reclassification</t>
  </si>
  <si>
    <t>Consolidated Assets</t>
  </si>
  <si>
    <t>CASH &amp; BALANCES  WITH CENTRAL BANK</t>
  </si>
  <si>
    <t xml:space="preserve">Cash in hand </t>
  </si>
  <si>
    <t>Statutory reserve with CB</t>
  </si>
  <si>
    <t>Free deposits (30% of Dirham lending to non residents)</t>
  </si>
  <si>
    <t>Other balances</t>
  </si>
  <si>
    <t>Central Bank CDs held</t>
  </si>
  <si>
    <t>1.5.1</t>
  </si>
  <si>
    <t>Repoed to UAE Central Bank (gross)</t>
  </si>
  <si>
    <t>1.5.2</t>
  </si>
  <si>
    <t>Others- unencumbered</t>
  </si>
  <si>
    <t>DUE FROM HEAD OFFICE /OWN BRANCHES/ BANKING SUBS. (GROSS)</t>
  </si>
  <si>
    <t>Due from Head Office of foreign banks &amp; their banking subs.</t>
  </si>
  <si>
    <t>Due from overseas BR of national banks/ Banking Subs.</t>
  </si>
  <si>
    <t xml:space="preserve">Bills discounted on own branches, subsidiaries, etc  without recourse </t>
  </si>
  <si>
    <t xml:space="preserve"> </t>
  </si>
  <si>
    <t>BALANCES DUE FROM OTHER BANKS (GROSS)</t>
  </si>
  <si>
    <t>Money at call and short notice, placements on demand and remaining balances</t>
  </si>
  <si>
    <t>Interbank placements</t>
  </si>
  <si>
    <t>Other term placements (loans)</t>
  </si>
  <si>
    <t>Cheques in the course of collection</t>
  </si>
  <si>
    <t>Banks' bills purchased  without recourse</t>
  </si>
  <si>
    <t>Lending covered by repurchase agreements</t>
  </si>
  <si>
    <t>NON BANKING FINANCIAL INSTITUTIONS</t>
  </si>
  <si>
    <t>Loans and advances</t>
  </si>
  <si>
    <t>Placements</t>
  </si>
  <si>
    <t>INVESTMENTS AND FINANCIAL ASSETS</t>
  </si>
  <si>
    <t>Investments at FVTPL</t>
  </si>
  <si>
    <t>5.1.1</t>
  </si>
  <si>
    <t>Debt securities</t>
  </si>
  <si>
    <t>5.1.2</t>
  </si>
  <si>
    <t>Equities</t>
  </si>
  <si>
    <t>5.1.3</t>
  </si>
  <si>
    <t>Commodities</t>
  </si>
  <si>
    <t>Banking Book</t>
  </si>
  <si>
    <t>5.2.1</t>
  </si>
  <si>
    <t>Investments at FVOCI</t>
  </si>
  <si>
    <t>5.2.1.1</t>
  </si>
  <si>
    <t>5.2.1.2</t>
  </si>
  <si>
    <t>5.2.2</t>
  </si>
  <si>
    <t>Investments at Amortized cost</t>
  </si>
  <si>
    <t>OTHER INVESTMENTS</t>
  </si>
  <si>
    <t>Investment in subsidiaries (Cost or fair value)</t>
  </si>
  <si>
    <r>
      <t xml:space="preserve">Investment in affiliates </t>
    </r>
    <r>
      <rPr>
        <sz val="8"/>
        <rFont val="Ariel"/>
        <charset val="0"/>
      </rPr>
      <t>equity method</t>
    </r>
  </si>
  <si>
    <t>TRADE BILLS DISCOUNTED</t>
  </si>
  <si>
    <t>TRADE BILLS DISCOUNTED- Gov &amp; Public Sector</t>
  </si>
  <si>
    <t>7.1.1</t>
  </si>
  <si>
    <t>Inland trade bills/ PDCs</t>
  </si>
  <si>
    <t>7.1.2</t>
  </si>
  <si>
    <t>Foreign trade bills (Import and export)</t>
  </si>
  <si>
    <t>TRADE BILLS DISCOUNTED- Private</t>
  </si>
  <si>
    <t>7.2.1</t>
  </si>
  <si>
    <t>7.2.2</t>
  </si>
  <si>
    <t>LOANS &amp; ADVANCES (GROSS)</t>
  </si>
  <si>
    <t>Government &amp; Public Sector</t>
  </si>
  <si>
    <t>8.1.1</t>
  </si>
  <si>
    <t xml:space="preserve">Federal Govt </t>
  </si>
  <si>
    <t>8.1.2</t>
  </si>
  <si>
    <t>Non Commercial entities (Federal Govt)</t>
  </si>
  <si>
    <t>8.1.3</t>
  </si>
  <si>
    <t>Emirates Governments</t>
  </si>
  <si>
    <t>8.1.4</t>
  </si>
  <si>
    <t>Non-commercial entities (Emirates Govt)</t>
  </si>
  <si>
    <t>8.1.5</t>
  </si>
  <si>
    <t xml:space="preserve">GREs (Govt ownership more than 50%) </t>
  </si>
  <si>
    <t>Private Sector (corporate)</t>
  </si>
  <si>
    <t>8.2.1</t>
  </si>
  <si>
    <t>Corporates with Govt ownership of less than 50%</t>
  </si>
  <si>
    <t>8.2.2</t>
  </si>
  <si>
    <t>Other corporates</t>
  </si>
  <si>
    <t>8.2.3</t>
  </si>
  <si>
    <t>High Networth Individuals (HNI)</t>
  </si>
  <si>
    <t>8.2.4</t>
  </si>
  <si>
    <t>Small &amp; Medium Enterprises (SMEs)</t>
  </si>
  <si>
    <t>Individuals</t>
  </si>
  <si>
    <t>NET FIXED ASSETS</t>
  </si>
  <si>
    <t>Business premises including staff premises</t>
  </si>
  <si>
    <t>Premises acquired towards loan settlement</t>
  </si>
  <si>
    <t>Furniture &amp; fixtures</t>
  </si>
  <si>
    <t>Capital funds for overseas offices of local banks</t>
  </si>
  <si>
    <t>Capital Work in progress</t>
  </si>
  <si>
    <t>NET INTER BRANCH TRANS (excl 2.1 &amp; 2.2)</t>
  </si>
  <si>
    <t>OTHER ASSETS</t>
  </si>
  <si>
    <t>Interest receivable</t>
  </si>
  <si>
    <t>Prepaid expenses</t>
  </si>
  <si>
    <t>Goodwill</t>
  </si>
  <si>
    <t>Other Intangible assets</t>
  </si>
  <si>
    <t>Capitalized expenditure</t>
  </si>
  <si>
    <t xml:space="preserve">Dividend receivables/Others </t>
  </si>
  <si>
    <t>Acceptances</t>
  </si>
  <si>
    <t>Investment Properties</t>
  </si>
  <si>
    <t>Development Properties</t>
  </si>
  <si>
    <t>POSITIVE FAIR VALUE OF DERIVATIVES</t>
  </si>
  <si>
    <t>Market value Forward contracts (including FX swaps)</t>
  </si>
  <si>
    <t>Market value FX options</t>
  </si>
  <si>
    <t>Market value interest rate derivatives (swaps, options, FRAs, etc..)</t>
  </si>
  <si>
    <t>Market value Financial Futures</t>
  </si>
  <si>
    <t>Market value Credit derivatives</t>
  </si>
  <si>
    <t>Market value Equity derivatives</t>
  </si>
  <si>
    <t>Market value Commodity derivatives</t>
  </si>
  <si>
    <t>TOTAL ASSETS</t>
  </si>
  <si>
    <t>Form No: BRF 207 -CONS. BALANCESHEET/DEC 2020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</si>
</sst>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2">
    <font>
      <sz val="11"/>
      <color theme="1"/>
      <name val="Calibri"/>
      <family val="2"/>
      <charset val="0"/>
      <scheme val="minor"/>
    </font>
    <font>
      <b/>
      <sz val="8"/>
      <color indexed="8"/>
      <name val="Ariel"/>
      <charset val="0"/>
    </font>
    <font>
      <sz val="8"/>
      <color indexed="8"/>
      <name val="Arial"/>
      <family val="2"/>
      <charset val="0"/>
    </font>
    <font>
      <sz val="8"/>
      <color indexed="8"/>
      <name val="Ariel"/>
      <charset val="0"/>
    </font>
    <font>
      <sz val="8"/>
      <color theme="1"/>
      <name val="Ariel"/>
      <charset val="0"/>
    </font>
    <font>
      <b/>
      <sz val="8"/>
      <color theme="0"/>
      <name val="Arial"/>
      <family val="2"/>
      <charset val="0"/>
    </font>
    <font>
      <sz val="11"/>
      <color theme="0"/>
      <name val="Calibri"/>
      <family val="2"/>
      <charset val="0"/>
      <scheme val="minor"/>
    </font>
    <font>
      <sz val="8"/>
      <color theme="0"/>
      <name val="Arial"/>
      <family val="2"/>
      <charset val="0"/>
    </font>
    <font>
      <b/>
      <sz val="8"/>
      <name val="Ariel"/>
      <charset val="0"/>
    </font>
    <font>
      <sz val="8"/>
      <name val="Ariel"/>
      <charset val="0"/>
    </font>
    <font>
      <b/>
      <sz val="8"/>
      <color theme="1"/>
      <name val="Ariel"/>
      <charset val="0"/>
    </font>
    <font>
      <b/>
      <sz val="8"/>
      <name val="Arial"/>
      <family val="2"/>
      <charset val="0"/>
    </font>
    <font>
      <u/>
      <sz val="11"/>
      <color theme="10"/>
      <name val="Calibri"/>
      <family val="2"/>
      <charset val="0"/>
      <scheme val="minor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  <font>
      <sz val="11"/>
      <color indexed="8"/>
      <name val="Calibri"/>
      <family val="2"/>
      <charset val="0"/>
    </font>
  </fonts>
  <fills count="3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0" fillId="5" borderId="12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13" applyNumberFormat="0" applyFill="0" applyAlignment="0" applyProtection="0"/>
    <xf numFmtId="0" fontId="18" fillId="0" borderId="14" applyNumberFormat="0" applyFill="0" applyAlignment="0" applyProtection="0"/>
    <xf numFmtId="0" fontId="19" fillId="0" borderId="15" applyNumberFormat="0" applyFill="0" applyAlignment="0" applyProtection="0"/>
    <xf numFmtId="0" fontId="19" fillId="0" borderId="0" applyNumberFormat="0" applyFill="0" applyBorder="0" applyAlignment="0" applyProtection="0"/>
    <xf numFmtId="0" fontId="20" fillId="6" borderId="16" applyNumberFormat="0" applyAlignment="0" applyProtection="0"/>
    <xf numFmtId="0" fontId="21" fillId="7" borderId="17" applyNumberFormat="0" applyAlignment="0" applyProtection="0"/>
    <xf numFmtId="0" fontId="22" fillId="7" borderId="16" applyNumberFormat="0" applyAlignment="0" applyProtection="0"/>
    <xf numFmtId="0" fontId="23" fillId="8" borderId="18" applyNumberFormat="0" applyAlignment="0" applyProtection="0"/>
    <xf numFmtId="0" fontId="24" fillId="0" borderId="19" applyNumberFormat="0" applyFill="0" applyAlignment="0" applyProtection="0"/>
    <xf numFmtId="0" fontId="25" fillId="0" borderId="20" applyNumberFormat="0" applyFill="0" applyAlignment="0" applyProtection="0"/>
    <xf numFmtId="0" fontId="26" fillId="9" borderId="0" applyNumberFormat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6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6" fillId="35" borderId="0" applyNumberFormat="0" applyBorder="0" applyAlignment="0" applyProtection="0"/>
    <xf numFmtId="0" fontId="29" fillId="0" borderId="0"/>
    <xf numFmtId="0" fontId="29" fillId="0" borderId="0"/>
    <xf numFmtId="0" fontId="30" fillId="0" borderId="0">
      <alignment vertical="center"/>
    </xf>
    <xf numFmtId="0" fontId="31" fillId="0" borderId="0"/>
  </cellStyleXfs>
  <cellXfs count="79">
    <xf numFmtId="0" fontId="0" fillId="0" borderId="0" xfId="0"/>
    <xf numFmtId="0" fontId="0" fillId="0" borderId="0" xfId="0" applyProtection="1"/>
    <xf numFmtId="0" fontId="1" fillId="2" borderId="1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wrapText="1"/>
    </xf>
    <xf numFmtId="0" fontId="4" fillId="0" borderId="1" xfId="0" applyFont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 vertical="center" wrapText="1"/>
    </xf>
    <xf numFmtId="0" fontId="4" fillId="0" borderId="2" xfId="0" applyFont="1" applyBorder="1" applyAlignment="1" applyProtection="1">
      <alignment horizontal="center"/>
    </xf>
    <xf numFmtId="0" fontId="3" fillId="3" borderId="2" xfId="0" applyFont="1" applyFill="1" applyBorder="1" applyAlignment="1" applyProtection="1">
      <alignment horizontal="center" wrapText="1"/>
    </xf>
    <xf numFmtId="0" fontId="5" fillId="4" borderId="2" xfId="49" applyFont="1" applyFill="1" applyBorder="1" applyProtection="1"/>
    <xf numFmtId="0" fontId="6" fillId="4" borderId="2" xfId="0" applyFont="1" applyFill="1" applyBorder="1" applyProtection="1"/>
    <xf numFmtId="0" fontId="7" fillId="0" borderId="3" xfId="51" applyFont="1" applyBorder="1" applyAlignment="1" applyProtection="1">
      <alignment vertical="center" wrapText="1"/>
    </xf>
    <xf numFmtId="0" fontId="3" fillId="3" borderId="3" xfId="0" applyFont="1" applyFill="1" applyBorder="1" applyAlignment="1" applyProtection="1">
      <alignment horizontal="center" wrapText="1"/>
    </xf>
    <xf numFmtId="0" fontId="3" fillId="3" borderId="4" xfId="0" applyFont="1" applyFill="1" applyBorder="1" applyAlignment="1" applyProtection="1">
      <alignment horizontal="center" wrapText="1"/>
    </xf>
    <xf numFmtId="0" fontId="5" fillId="4" borderId="5" xfId="49" applyFont="1" applyFill="1" applyBorder="1" applyProtection="1"/>
    <xf numFmtId="0" fontId="6" fillId="4" borderId="6" xfId="0" applyFont="1" applyFill="1" applyBorder="1" applyProtection="1"/>
    <xf numFmtId="0" fontId="7" fillId="0" borderId="6" xfId="51" applyFont="1" applyBorder="1" applyAlignment="1" applyProtection="1">
      <alignment vertical="center" wrapText="1"/>
    </xf>
    <xf numFmtId="0" fontId="3" fillId="3" borderId="6" xfId="0" applyFont="1" applyFill="1" applyBorder="1" applyAlignment="1" applyProtection="1">
      <alignment horizont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8" fillId="2" borderId="7" xfId="0" applyFont="1" applyFill="1" applyBorder="1" applyAlignment="1" applyProtection="1">
      <alignment horizontal="center" vertical="center" wrapText="1"/>
    </xf>
    <xf numFmtId="0" fontId="8" fillId="2" borderId="1" xfId="49" applyNumberFormat="1" applyFont="1" applyFill="1" applyBorder="1" applyAlignment="1" applyProtection="1">
      <alignment horizontal="center" vertical="center" wrapText="1"/>
    </xf>
    <xf numFmtId="0" fontId="8" fillId="2" borderId="1" xfId="49" applyNumberFormat="1" applyFont="1" applyFill="1" applyBorder="1" applyAlignment="1" applyProtection="1">
      <alignment horizontal="center" wrapText="1"/>
    </xf>
    <xf numFmtId="0" fontId="8" fillId="2" borderId="1" xfId="49" applyFont="1" applyFill="1" applyBorder="1" applyAlignment="1" applyProtection="1">
      <alignment vertical="center" wrapText="1"/>
    </xf>
    <xf numFmtId="3" fontId="3" fillId="2" borderId="1" xfId="1" applyNumberFormat="1" applyFont="1" applyFill="1" applyBorder="1" applyAlignment="1" applyProtection="1">
      <alignment horizontal="right" wrapText="1"/>
    </xf>
    <xf numFmtId="0" fontId="9" fillId="0" borderId="1" xfId="49" applyNumberFormat="1" applyFont="1" applyFill="1" applyBorder="1" applyAlignment="1" applyProtection="1">
      <alignment horizontal="center" vertical="center" wrapText="1"/>
    </xf>
    <xf numFmtId="0" fontId="9" fillId="0" borderId="1" xfId="49" applyNumberFormat="1" applyFont="1" applyFill="1" applyBorder="1" applyAlignment="1" applyProtection="1">
      <alignment horizontal="center" wrapText="1"/>
    </xf>
    <xf numFmtId="0" fontId="9" fillId="0" borderId="1" xfId="49" applyFont="1" applyFill="1" applyBorder="1" applyAlignment="1" applyProtection="1">
      <alignment vertical="center" wrapText="1"/>
    </xf>
    <xf numFmtId="3" fontId="3" fillId="0" borderId="1" xfId="1" applyNumberFormat="1" applyFont="1" applyFill="1" applyBorder="1" applyAlignment="1" applyProtection="1">
      <alignment horizontal="right" wrapText="1"/>
      <protection locked="0"/>
    </xf>
    <xf numFmtId="0" fontId="9" fillId="2" borderId="1" xfId="49" applyNumberFormat="1" applyFont="1" applyFill="1" applyBorder="1" applyAlignment="1" applyProtection="1">
      <alignment horizontal="center" vertical="center" wrapText="1"/>
    </xf>
    <xf numFmtId="0" fontId="9" fillId="2" borderId="1" xfId="49" applyNumberFormat="1" applyFont="1" applyFill="1" applyBorder="1" applyAlignment="1" applyProtection="1">
      <alignment horizontal="center" wrapText="1"/>
    </xf>
    <xf numFmtId="0" fontId="8" fillId="0" borderId="1" xfId="49" applyNumberFormat="1" applyFont="1" applyFill="1" applyBorder="1" applyAlignment="1" applyProtection="1">
      <alignment horizontal="center" vertical="center" wrapText="1"/>
    </xf>
    <xf numFmtId="0" fontId="9" fillId="0" borderId="1" xfId="49" applyFont="1" applyFill="1" applyBorder="1" applyAlignment="1" applyProtection="1">
      <alignment horizontal="left" vertical="center" wrapText="1"/>
    </xf>
    <xf numFmtId="0" fontId="9" fillId="4" borderId="1" xfId="49" applyFont="1" applyFill="1" applyBorder="1" applyAlignment="1" applyProtection="1">
      <alignment vertical="center" wrapText="1"/>
    </xf>
    <xf numFmtId="0" fontId="9" fillId="4" borderId="1" xfId="49" applyFont="1" applyFill="1" applyBorder="1" applyAlignment="1" applyProtection="1">
      <alignment vertical="center"/>
    </xf>
    <xf numFmtId="0" fontId="9" fillId="0" borderId="1" xfId="49" applyFont="1" applyFill="1" applyBorder="1" applyAlignment="1" applyProtection="1">
      <alignment vertical="center"/>
    </xf>
    <xf numFmtId="0" fontId="8" fillId="2" borderId="1" xfId="49" applyFont="1" applyFill="1" applyBorder="1" applyAlignment="1" applyProtection="1">
      <alignment vertical="center"/>
    </xf>
    <xf numFmtId="0" fontId="9" fillId="0" borderId="1" xfId="50" applyNumberFormat="1" applyFont="1" applyFill="1" applyBorder="1" applyAlignment="1" applyProtection="1">
      <alignment horizontal="center" wrapText="1"/>
    </xf>
    <xf numFmtId="0" fontId="9" fillId="0" borderId="1" xfId="50" applyFont="1" applyFill="1" applyBorder="1" applyAlignment="1" applyProtection="1">
      <alignment vertical="center" wrapText="1"/>
    </xf>
    <xf numFmtId="0" fontId="8" fillId="2" borderId="1" xfId="50" applyNumberFormat="1" applyFont="1" applyFill="1" applyBorder="1" applyAlignment="1" applyProtection="1">
      <alignment horizontal="center" wrapText="1"/>
    </xf>
    <xf numFmtId="0" fontId="8" fillId="2" borderId="1" xfId="50" applyFont="1" applyFill="1" applyBorder="1" applyAlignment="1" applyProtection="1">
      <alignment horizontal="left" vertical="center" wrapText="1"/>
    </xf>
    <xf numFmtId="0" fontId="8" fillId="0" borderId="1" xfId="50" applyNumberFormat="1" applyFont="1" applyFill="1" applyBorder="1" applyAlignment="1" applyProtection="1">
      <alignment horizontal="center" wrapText="1"/>
    </xf>
    <xf numFmtId="0" fontId="8" fillId="0" borderId="1" xfId="50" applyFont="1" applyFill="1" applyBorder="1" applyAlignment="1" applyProtection="1">
      <alignment vertical="center" wrapText="1"/>
    </xf>
    <xf numFmtId="0" fontId="8" fillId="2" borderId="1" xfId="50" applyFont="1" applyFill="1" applyBorder="1" applyAlignment="1" applyProtection="1">
      <alignment vertical="center" wrapText="1"/>
    </xf>
    <xf numFmtId="0" fontId="9" fillId="2" borderId="1" xfId="50" applyNumberFormat="1" applyFont="1" applyFill="1" applyBorder="1" applyAlignment="1" applyProtection="1">
      <alignment horizontal="center" wrapText="1"/>
    </xf>
    <xf numFmtId="0" fontId="9" fillId="2" borderId="1" xfId="49" applyNumberFormat="1" applyFont="1" applyFill="1" applyBorder="1" applyAlignment="1" applyProtection="1">
      <alignment horizontal="center" vertical="center"/>
    </xf>
    <xf numFmtId="0" fontId="8" fillId="2" borderId="1" xfId="49" applyFont="1" applyFill="1" applyBorder="1" applyAlignment="1" applyProtection="1">
      <alignment horizontal="left" vertical="center"/>
    </xf>
    <xf numFmtId="0" fontId="8" fillId="2" borderId="1" xfId="49" applyNumberFormat="1" applyFont="1" applyFill="1" applyBorder="1" applyAlignment="1" applyProtection="1">
      <alignment horizontal="center" vertical="center"/>
    </xf>
    <xf numFmtId="0" fontId="8" fillId="0" borderId="1" xfId="49" applyNumberFormat="1" applyFont="1" applyFill="1" applyBorder="1" applyAlignment="1" applyProtection="1">
      <alignment horizontal="center" vertical="center"/>
    </xf>
    <xf numFmtId="0" fontId="9" fillId="0" borderId="1" xfId="52" applyFont="1" applyFill="1" applyBorder="1" applyAlignment="1" applyProtection="1">
      <alignment horizontal="left" vertical="center" wrapText="1"/>
    </xf>
    <xf numFmtId="0" fontId="9" fillId="4" borderId="1" xfId="52" applyFont="1" applyFill="1" applyBorder="1" applyAlignment="1" applyProtection="1">
      <alignment horizontal="left" vertical="center" wrapText="1"/>
    </xf>
    <xf numFmtId="0" fontId="8" fillId="2" borderId="1" xfId="49" applyNumberFormat="1" applyFont="1" applyFill="1" applyBorder="1" applyAlignment="1" applyProtection="1">
      <alignment horizontal="center"/>
    </xf>
    <xf numFmtId="0" fontId="9" fillId="0" borderId="1" xfId="49" applyNumberFormat="1" applyFont="1" applyFill="1" applyBorder="1" applyAlignment="1" applyProtection="1">
      <alignment horizontal="center"/>
    </xf>
    <xf numFmtId="0" fontId="9" fillId="0" borderId="1" xfId="49" applyFont="1" applyFill="1" applyBorder="1" applyAlignment="1" applyProtection="1">
      <alignment horizontal="left" vertical="center"/>
    </xf>
    <xf numFmtId="0" fontId="9" fillId="0" borderId="1" xfId="49" applyNumberFormat="1" applyFont="1" applyFill="1" applyBorder="1" applyAlignment="1" applyProtection="1">
      <alignment horizontal="center" vertical="center"/>
    </xf>
    <xf numFmtId="0" fontId="8" fillId="0" borderId="1" xfId="49" applyNumberFormat="1" applyFont="1" applyFill="1" applyBorder="1" applyAlignment="1" applyProtection="1">
      <alignment horizontal="center" wrapText="1"/>
    </xf>
    <xf numFmtId="0" fontId="8" fillId="0" borderId="1" xfId="49" applyFont="1" applyFill="1" applyBorder="1" applyAlignment="1" applyProtection="1">
      <alignment vertical="center" wrapText="1"/>
    </xf>
    <xf numFmtId="0" fontId="0" fillId="0" borderId="8" xfId="0" applyBorder="1" applyProtection="1"/>
    <xf numFmtId="0" fontId="0" fillId="0" borderId="9" xfId="0" applyBorder="1" applyProtection="1"/>
    <xf numFmtId="0" fontId="3" fillId="4" borderId="4" xfId="0" applyFont="1" applyFill="1" applyBorder="1" applyAlignment="1" applyProtection="1">
      <alignment horizontal="center" wrapText="1"/>
    </xf>
    <xf numFmtId="0" fontId="3" fillId="3" borderId="8" xfId="0" applyFont="1" applyFill="1" applyBorder="1" applyAlignment="1" applyProtection="1">
      <alignment horizontal="center" wrapText="1"/>
    </xf>
    <xf numFmtId="0" fontId="3" fillId="4" borderId="6" xfId="0" applyFont="1" applyFill="1" applyBorder="1" applyAlignment="1" applyProtection="1">
      <alignment horizontal="center" wrapText="1"/>
    </xf>
    <xf numFmtId="0" fontId="3" fillId="3" borderId="10" xfId="0" applyFont="1" applyFill="1" applyBorder="1" applyAlignment="1" applyProtection="1">
      <alignment horizontal="center" wrapText="1"/>
    </xf>
    <xf numFmtId="3" fontId="3" fillId="4" borderId="1" xfId="1" applyNumberFormat="1" applyFont="1" applyFill="1" applyBorder="1" applyAlignment="1" applyProtection="1">
      <alignment horizontal="right" wrapText="1"/>
      <protection locked="0"/>
    </xf>
    <xf numFmtId="0" fontId="0" fillId="0" borderId="1" xfId="0" applyBorder="1" applyProtection="1"/>
    <xf numFmtId="0" fontId="8" fillId="0" borderId="1" xfId="52" applyNumberFormat="1" applyFont="1" applyFill="1" applyBorder="1" applyAlignment="1" applyProtection="1">
      <alignment horizontal="center" vertical="center"/>
    </xf>
    <xf numFmtId="0" fontId="8" fillId="2" borderId="1" xfId="52" applyNumberFormat="1" applyFont="1" applyFill="1" applyBorder="1" applyAlignment="1" applyProtection="1">
      <alignment horizontal="center" vertical="center"/>
    </xf>
    <xf numFmtId="0" fontId="9" fillId="0" borderId="1" xfId="52" applyNumberFormat="1" applyFont="1" applyFill="1" applyBorder="1" applyAlignment="1" applyProtection="1">
      <alignment horizontal="center" vertical="center"/>
    </xf>
    <xf numFmtId="0" fontId="9" fillId="0" borderId="1" xfId="52" applyNumberFormat="1" applyFont="1" applyFill="1" applyBorder="1" applyAlignment="1" applyProtection="1">
      <alignment horizontal="center"/>
    </xf>
    <xf numFmtId="0" fontId="10" fillId="0" borderId="1" xfId="0" applyNumberFormat="1" applyFont="1" applyFill="1" applyBorder="1" applyAlignment="1" applyProtection="1">
      <alignment horizontal="center"/>
    </xf>
    <xf numFmtId="0" fontId="10" fillId="0" borderId="1" xfId="0" applyFont="1" applyFill="1" applyBorder="1" applyAlignment="1" applyProtection="1">
      <alignment vertical="center"/>
    </xf>
    <xf numFmtId="0" fontId="8" fillId="2" borderId="1" xfId="52" applyNumberFormat="1" applyFont="1" applyFill="1" applyBorder="1" applyAlignment="1" applyProtection="1">
      <alignment horizontal="center"/>
    </xf>
    <xf numFmtId="0" fontId="11" fillId="2" borderId="1" xfId="52" applyNumberFormat="1" applyFont="1" applyFill="1" applyBorder="1" applyAlignment="1" applyProtection="1">
      <alignment horizontal="center" vertical="center"/>
    </xf>
    <xf numFmtId="0" fontId="11" fillId="2" borderId="1" xfId="52" applyNumberFormat="1" applyFont="1" applyFill="1" applyBorder="1" applyAlignment="1" applyProtection="1">
      <alignment horizontal="center"/>
    </xf>
    <xf numFmtId="0" fontId="11" fillId="2" borderId="1" xfId="49" applyFont="1" applyFill="1" applyBorder="1" applyAlignment="1" applyProtection="1">
      <alignment vertical="center" wrapText="1"/>
    </xf>
    <xf numFmtId="0" fontId="4" fillId="0" borderId="1" xfId="0" applyNumberFormat="1" applyFont="1" applyBorder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 wrapText="1"/>
    </xf>
    <xf numFmtId="0" fontId="3" fillId="3" borderId="1" xfId="0" applyFont="1" applyFill="1" applyBorder="1" applyAlignment="1" applyProtection="1">
      <alignment horizontal="left" vertical="center"/>
    </xf>
    <xf numFmtId="0" fontId="3" fillId="3" borderId="1" xfId="0" applyFont="1" applyFill="1" applyBorder="1" applyAlignment="1" applyProtection="1">
      <alignment horizontal="left" wrapText="1"/>
    </xf>
    <xf numFmtId="0" fontId="0" fillId="0" borderId="11" xfId="0" applyBorder="1" applyProtection="1"/>
  </cellXfs>
  <cellStyles count="53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  <cellStyle name="Normal 5" xfId="50"/>
    <cellStyle name="Normal 6" xfId="51"/>
    <cellStyle name="Normal_Sheet1" xfId="52"/>
  </cellStyles>
  <tableStyles count="0" defaultTableStyle="TableStyleMedium2" defaultPivotStyle="PivotStyleLight16"/>
  <colors>
    <mruColors>
      <color rgb="00FFFFFF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B1:O93"/>
  <sheetViews>
    <sheetView showGridLines="0" tabSelected="1" zoomScale="90" zoomScaleNormal="90" zoomScaleSheetLayoutView="60" topLeftCell="A16" workbookViewId="0">
      <selection activeCell="M72" sqref="M72"/>
    </sheetView>
  </sheetViews>
  <sheetFormatPr defaultColWidth="0" defaultRowHeight="15" zeroHeight="1"/>
  <cols>
    <col min="1" max="1" width="1.70909090909091" style="1" customWidth="1"/>
    <col min="2" max="2" width="5.57272727272727" style="1"/>
    <col min="3" max="3" width="6" style="1"/>
    <col min="4" max="4" width="59.8545454545455" style="1" customWidth="1"/>
    <col min="5" max="14" width="16.7090909090909" style="1" customWidth="1"/>
    <col min="15" max="15" width="5.42727272727273" style="1"/>
    <col min="16" max="16" width="9.13636363636364" style="1" customWidth="1"/>
    <col min="17" max="16384" width="9.13636363636364" style="1" hidden="1"/>
  </cols>
  <sheetData>
    <row r="1" ht="9" customHeight="1"/>
    <row r="2" ht="14.5" spans="2:1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56"/>
    </row>
    <row r="3" ht="14.5" spans="2:15">
      <c r="B3" s="3" t="s">
        <v>1</v>
      </c>
      <c r="C3" s="4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57"/>
    </row>
    <row r="4" ht="14.5" spans="2:15">
      <c r="B4" s="3" t="s">
        <v>3</v>
      </c>
      <c r="C4" s="5" t="s">
        <v>4</v>
      </c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57"/>
    </row>
    <row r="5" ht="14.5" spans="2:15">
      <c r="B5" s="6" t="s">
        <v>5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57"/>
    </row>
    <row r="6" ht="14.5" spans="2:15">
      <c r="B6" s="9" t="s">
        <v>6</v>
      </c>
      <c r="C6" s="10" t="b">
        <v>1</v>
      </c>
      <c r="D6" s="11">
        <v>1</v>
      </c>
      <c r="E6" s="12"/>
      <c r="F6" s="13"/>
      <c r="G6" s="13"/>
      <c r="H6" s="13"/>
      <c r="I6" s="13"/>
      <c r="J6" s="13"/>
      <c r="K6" s="13"/>
      <c r="L6" s="58"/>
      <c r="M6" s="58"/>
      <c r="N6" s="59"/>
      <c r="O6" s="57"/>
    </row>
    <row r="7" ht="14.5" spans="2:15">
      <c r="B7" s="14"/>
      <c r="C7" s="15"/>
      <c r="D7" s="16"/>
      <c r="E7" s="17"/>
      <c r="F7" s="17"/>
      <c r="G7" s="17"/>
      <c r="H7" s="17"/>
      <c r="I7" s="17"/>
      <c r="J7" s="17"/>
      <c r="K7" s="17"/>
      <c r="L7" s="60"/>
      <c r="M7" s="60"/>
      <c r="N7" s="61"/>
      <c r="O7" s="57"/>
    </row>
    <row r="8" ht="225.75" customHeight="1" spans="2:15">
      <c r="B8" s="18" t="s">
        <v>7</v>
      </c>
      <c r="C8" s="18"/>
      <c r="D8" s="18" t="s">
        <v>8</v>
      </c>
      <c r="E8" s="18" t="s">
        <v>9</v>
      </c>
      <c r="F8" s="19" t="s">
        <v>10</v>
      </c>
      <c r="G8" s="18" t="s">
        <v>11</v>
      </c>
      <c r="H8" s="18" t="s">
        <v>12</v>
      </c>
      <c r="I8" s="18" t="s">
        <v>13</v>
      </c>
      <c r="J8" s="18" t="s">
        <v>14</v>
      </c>
      <c r="K8" s="18" t="s">
        <v>15</v>
      </c>
      <c r="L8" s="18" t="s">
        <v>16</v>
      </c>
      <c r="M8" s="18" t="s">
        <v>17</v>
      </c>
      <c r="N8" s="18" t="s">
        <v>18</v>
      </c>
      <c r="O8" s="57"/>
    </row>
    <row r="9" ht="14.5" spans="2:15">
      <c r="B9" s="20">
        <v>1</v>
      </c>
      <c r="C9" s="21"/>
      <c r="D9" s="22" t="s">
        <v>19</v>
      </c>
      <c r="E9" s="23">
        <f t="shared" ref="E9:J9" si="0">SUM(E10:E14)</f>
        <v>0</v>
      </c>
      <c r="F9" s="23">
        <f t="shared" si="0"/>
        <v>0</v>
      </c>
      <c r="G9" s="23">
        <f t="shared" si="0"/>
        <v>0</v>
      </c>
      <c r="H9" s="23">
        <f t="shared" si="0"/>
        <v>0</v>
      </c>
      <c r="I9" s="23">
        <f t="shared" si="0"/>
        <v>0</v>
      </c>
      <c r="J9" s="23">
        <f t="shared" si="0"/>
        <v>0</v>
      </c>
      <c r="K9" s="23">
        <f>SUM(E9:J9)</f>
        <v>0</v>
      </c>
      <c r="L9" s="23">
        <f>SUM(L10:L14)</f>
        <v>0</v>
      </c>
      <c r="M9" s="23">
        <f>SUM(M10:M14)</f>
        <v>0</v>
      </c>
      <c r="N9" s="23">
        <f>SUM(K9:M9)</f>
        <v>0</v>
      </c>
      <c r="O9" s="57"/>
    </row>
    <row r="10" ht="14.5" spans="2:15">
      <c r="B10" s="24"/>
      <c r="C10" s="25">
        <v>1.1</v>
      </c>
      <c r="D10" s="26" t="s">
        <v>20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3">
        <f>SUM(E10:J10)</f>
        <v>0</v>
      </c>
      <c r="L10" s="62">
        <v>0</v>
      </c>
      <c r="M10" s="62">
        <v>0</v>
      </c>
      <c r="N10" s="23">
        <f>SUM(K10:M10)</f>
        <v>0</v>
      </c>
      <c r="O10" s="57"/>
    </row>
    <row r="11" ht="14.5" spans="2:15">
      <c r="B11" s="24"/>
      <c r="C11" s="25">
        <v>1.2</v>
      </c>
      <c r="D11" s="26" t="s">
        <v>21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3">
        <f t="shared" ref="K11:K71" si="1">SUM(E11:J11)</f>
        <v>0</v>
      </c>
      <c r="L11" s="62">
        <v>0</v>
      </c>
      <c r="M11" s="62">
        <v>0</v>
      </c>
      <c r="N11" s="23">
        <f t="shared" ref="N11:N71" si="2">SUM(K11:M11)</f>
        <v>0</v>
      </c>
      <c r="O11" s="57"/>
    </row>
    <row r="12" ht="14.5" spans="2:15">
      <c r="B12" s="24"/>
      <c r="C12" s="25">
        <v>1.3</v>
      </c>
      <c r="D12" s="26" t="s">
        <v>22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3">
        <f t="shared" si="1"/>
        <v>0</v>
      </c>
      <c r="L12" s="62">
        <v>0</v>
      </c>
      <c r="M12" s="62">
        <v>0</v>
      </c>
      <c r="N12" s="23">
        <f t="shared" si="2"/>
        <v>0</v>
      </c>
      <c r="O12" s="57"/>
    </row>
    <row r="13" ht="14.5" spans="2:15">
      <c r="B13" s="24"/>
      <c r="C13" s="25">
        <v>1.4</v>
      </c>
      <c r="D13" s="26" t="s">
        <v>23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v>0</v>
      </c>
      <c r="K13" s="23">
        <f t="shared" si="1"/>
        <v>0</v>
      </c>
      <c r="L13" s="62">
        <v>0</v>
      </c>
      <c r="M13" s="62">
        <v>0</v>
      </c>
      <c r="N13" s="23">
        <f t="shared" si="2"/>
        <v>0</v>
      </c>
      <c r="O13" s="57"/>
    </row>
    <row r="14" ht="14.5" spans="2:15">
      <c r="B14" s="28"/>
      <c r="C14" s="29">
        <v>1.5</v>
      </c>
      <c r="D14" s="22" t="s">
        <v>24</v>
      </c>
      <c r="E14" s="23">
        <f t="shared" ref="E14:J14" si="3">SUM(E15:E16)</f>
        <v>0</v>
      </c>
      <c r="F14" s="23">
        <f t="shared" si="3"/>
        <v>0</v>
      </c>
      <c r="G14" s="23">
        <f t="shared" si="3"/>
        <v>0</v>
      </c>
      <c r="H14" s="23">
        <f t="shared" si="3"/>
        <v>0</v>
      </c>
      <c r="I14" s="23">
        <f t="shared" si="3"/>
        <v>0</v>
      </c>
      <c r="J14" s="23">
        <f t="shared" si="3"/>
        <v>0</v>
      </c>
      <c r="K14" s="23">
        <f t="shared" si="1"/>
        <v>0</v>
      </c>
      <c r="L14" s="23">
        <f>SUM(L15:L16)</f>
        <v>0</v>
      </c>
      <c r="M14" s="23">
        <f>SUM(M15:M16)</f>
        <v>0</v>
      </c>
      <c r="N14" s="23">
        <f t="shared" si="2"/>
        <v>0</v>
      </c>
      <c r="O14" s="57"/>
    </row>
    <row r="15" ht="14.5" spans="2:15">
      <c r="B15" s="24"/>
      <c r="C15" s="25" t="s">
        <v>25</v>
      </c>
      <c r="D15" s="26" t="s">
        <v>26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3">
        <f t="shared" si="1"/>
        <v>0</v>
      </c>
      <c r="L15" s="62">
        <v>0</v>
      </c>
      <c r="M15" s="62">
        <v>0</v>
      </c>
      <c r="N15" s="23">
        <f t="shared" si="2"/>
        <v>0</v>
      </c>
      <c r="O15" s="57"/>
    </row>
    <row r="16" ht="14.5" spans="2:15">
      <c r="B16" s="24"/>
      <c r="C16" s="25" t="s">
        <v>27</v>
      </c>
      <c r="D16" s="26" t="s">
        <v>28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3">
        <f t="shared" si="1"/>
        <v>0</v>
      </c>
      <c r="L16" s="62">
        <v>0</v>
      </c>
      <c r="M16" s="62">
        <v>0</v>
      </c>
      <c r="N16" s="23">
        <f t="shared" si="2"/>
        <v>0</v>
      </c>
      <c r="O16" s="57"/>
    </row>
    <row r="17" ht="14.5" spans="2:15">
      <c r="B17" s="20">
        <v>2</v>
      </c>
      <c r="C17" s="21"/>
      <c r="D17" s="22" t="s">
        <v>29</v>
      </c>
      <c r="E17" s="23">
        <f t="shared" ref="E17:J17" si="4">SUM(E18:E20)</f>
        <v>0</v>
      </c>
      <c r="F17" s="23">
        <f t="shared" si="4"/>
        <v>0</v>
      </c>
      <c r="G17" s="23">
        <f t="shared" si="4"/>
        <v>0</v>
      </c>
      <c r="H17" s="23">
        <f t="shared" si="4"/>
        <v>0</v>
      </c>
      <c r="I17" s="23">
        <f t="shared" si="4"/>
        <v>0</v>
      </c>
      <c r="J17" s="23">
        <f t="shared" si="4"/>
        <v>0</v>
      </c>
      <c r="K17" s="23">
        <f t="shared" si="1"/>
        <v>0</v>
      </c>
      <c r="L17" s="23">
        <f>SUM(L18:L20)</f>
        <v>0</v>
      </c>
      <c r="M17" s="23">
        <f>SUM(M18:M20)</f>
        <v>0</v>
      </c>
      <c r="N17" s="23">
        <f t="shared" si="2"/>
        <v>0</v>
      </c>
      <c r="O17" s="63" t="str">
        <f>IF(N17=0,"TRUE","FALSE")</f>
        <v>TRUE</v>
      </c>
    </row>
    <row r="18" ht="14.5" spans="2:15">
      <c r="B18" s="30"/>
      <c r="C18" s="25">
        <v>2.1</v>
      </c>
      <c r="D18" s="26" t="s">
        <v>30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3">
        <f t="shared" si="1"/>
        <v>0</v>
      </c>
      <c r="L18" s="62">
        <v>0</v>
      </c>
      <c r="M18" s="62">
        <v>0</v>
      </c>
      <c r="N18" s="23">
        <f t="shared" si="2"/>
        <v>0</v>
      </c>
      <c r="O18" s="63" t="str">
        <f>IF(N18=0,"TRUE","FALSE")</f>
        <v>TRUE</v>
      </c>
    </row>
    <row r="19" ht="14.5" spans="2:15">
      <c r="B19" s="30"/>
      <c r="C19" s="25">
        <v>2.2</v>
      </c>
      <c r="D19" s="26" t="s">
        <v>31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3">
        <f t="shared" si="1"/>
        <v>0</v>
      </c>
      <c r="L19" s="62">
        <v>0</v>
      </c>
      <c r="M19" s="62">
        <v>0</v>
      </c>
      <c r="N19" s="23">
        <f t="shared" si="2"/>
        <v>0</v>
      </c>
      <c r="O19" s="63" t="str">
        <f>IF(N19=0,"TRUE","FALSE")</f>
        <v>TRUE</v>
      </c>
    </row>
    <row r="20" ht="14.5" spans="2:15">
      <c r="B20" s="30"/>
      <c r="C20" s="25">
        <v>2.3</v>
      </c>
      <c r="D20" s="31" t="s">
        <v>32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3">
        <f t="shared" si="1"/>
        <v>0</v>
      </c>
      <c r="L20" s="62">
        <v>0</v>
      </c>
      <c r="M20" s="62">
        <v>0</v>
      </c>
      <c r="N20" s="23">
        <f t="shared" si="2"/>
        <v>0</v>
      </c>
      <c r="O20" s="63" t="str">
        <f>IF(N20=0,"TRUE","FALSE")</f>
        <v>TRUE</v>
      </c>
    </row>
    <row r="21" ht="14.5" spans="2:15">
      <c r="B21" s="20">
        <v>3</v>
      </c>
      <c r="C21" s="21" t="s">
        <v>33</v>
      </c>
      <c r="D21" s="22" t="s">
        <v>34</v>
      </c>
      <c r="E21" s="23">
        <f t="shared" ref="E21:J21" si="5">SUM(E22:E27)</f>
        <v>0</v>
      </c>
      <c r="F21" s="23">
        <f t="shared" si="5"/>
        <v>0</v>
      </c>
      <c r="G21" s="23">
        <f t="shared" si="5"/>
        <v>0</v>
      </c>
      <c r="H21" s="23">
        <f t="shared" si="5"/>
        <v>0</v>
      </c>
      <c r="I21" s="23">
        <f t="shared" si="5"/>
        <v>0</v>
      </c>
      <c r="J21" s="23">
        <f t="shared" si="5"/>
        <v>0</v>
      </c>
      <c r="K21" s="23">
        <f t="shared" si="1"/>
        <v>0</v>
      </c>
      <c r="L21" s="23">
        <f>SUM(L22:L27)</f>
        <v>0</v>
      </c>
      <c r="M21" s="23">
        <f>SUM(M22:M27)</f>
        <v>0</v>
      </c>
      <c r="N21" s="23">
        <f t="shared" si="2"/>
        <v>0</v>
      </c>
      <c r="O21" s="57"/>
    </row>
    <row r="22" ht="14.5" spans="2:15">
      <c r="B22" s="24"/>
      <c r="C22" s="25">
        <v>3.1</v>
      </c>
      <c r="D22" s="32" t="s">
        <v>35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3">
        <f t="shared" si="1"/>
        <v>0</v>
      </c>
      <c r="L22" s="62">
        <v>0</v>
      </c>
      <c r="M22" s="62">
        <v>0</v>
      </c>
      <c r="N22" s="23">
        <f t="shared" si="2"/>
        <v>0</v>
      </c>
      <c r="O22" s="57"/>
    </row>
    <row r="23" ht="14.5" spans="2:15">
      <c r="B23" s="24"/>
      <c r="C23" s="25">
        <v>3.2</v>
      </c>
      <c r="D23" s="32" t="s">
        <v>36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3">
        <f t="shared" si="1"/>
        <v>0</v>
      </c>
      <c r="L23" s="62">
        <v>0</v>
      </c>
      <c r="M23" s="62">
        <v>0</v>
      </c>
      <c r="N23" s="23">
        <f t="shared" si="2"/>
        <v>0</v>
      </c>
      <c r="O23" s="57"/>
    </row>
    <row r="24" ht="14.5" spans="2:15">
      <c r="B24" s="24"/>
      <c r="C24" s="25">
        <v>3.3</v>
      </c>
      <c r="D24" s="32" t="s">
        <v>37</v>
      </c>
      <c r="E24" s="27">
        <v>0</v>
      </c>
      <c r="F24" s="27">
        <v>0</v>
      </c>
      <c r="G24" s="27">
        <v>0</v>
      </c>
      <c r="H24" s="27">
        <v>0</v>
      </c>
      <c r="I24" s="27">
        <v>0</v>
      </c>
      <c r="J24" s="27">
        <v>0</v>
      </c>
      <c r="K24" s="23">
        <f t="shared" si="1"/>
        <v>0</v>
      </c>
      <c r="L24" s="62">
        <v>0</v>
      </c>
      <c r="M24" s="62">
        <v>0</v>
      </c>
      <c r="N24" s="23">
        <f t="shared" si="2"/>
        <v>0</v>
      </c>
      <c r="O24" s="57"/>
    </row>
    <row r="25" ht="14.5" spans="2:15">
      <c r="B25" s="24"/>
      <c r="C25" s="25">
        <v>3.4</v>
      </c>
      <c r="D25" s="32" t="s">
        <v>38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3">
        <f t="shared" si="1"/>
        <v>0</v>
      </c>
      <c r="L25" s="62">
        <v>0</v>
      </c>
      <c r="M25" s="62">
        <v>0</v>
      </c>
      <c r="N25" s="23">
        <f t="shared" si="2"/>
        <v>0</v>
      </c>
      <c r="O25" s="57"/>
    </row>
    <row r="26" ht="14.5" spans="2:15">
      <c r="B26" s="24"/>
      <c r="C26" s="25">
        <v>3.5</v>
      </c>
      <c r="D26" s="32" t="s">
        <v>39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3">
        <f t="shared" si="1"/>
        <v>0</v>
      </c>
      <c r="L26" s="62">
        <v>0</v>
      </c>
      <c r="M26" s="62">
        <v>0</v>
      </c>
      <c r="N26" s="23">
        <f t="shared" si="2"/>
        <v>0</v>
      </c>
      <c r="O26" s="57"/>
    </row>
    <row r="27" ht="14.5" spans="2:15">
      <c r="B27" s="24"/>
      <c r="C27" s="25">
        <v>3.6</v>
      </c>
      <c r="D27" s="33" t="s">
        <v>40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3">
        <f t="shared" si="1"/>
        <v>0</v>
      </c>
      <c r="L27" s="62">
        <v>0</v>
      </c>
      <c r="M27" s="62">
        <v>0</v>
      </c>
      <c r="N27" s="23">
        <f t="shared" si="2"/>
        <v>0</v>
      </c>
      <c r="O27" s="57"/>
    </row>
    <row r="28" ht="14.5" spans="2:15">
      <c r="B28" s="20">
        <v>4</v>
      </c>
      <c r="C28" s="29"/>
      <c r="D28" s="22" t="s">
        <v>41</v>
      </c>
      <c r="E28" s="23">
        <f t="shared" ref="E28:J28" si="6">SUM(E29:E31)</f>
        <v>0</v>
      </c>
      <c r="F28" s="23">
        <f t="shared" si="6"/>
        <v>0</v>
      </c>
      <c r="G28" s="23">
        <f t="shared" si="6"/>
        <v>0</v>
      </c>
      <c r="H28" s="23">
        <f t="shared" si="6"/>
        <v>0</v>
      </c>
      <c r="I28" s="23">
        <f t="shared" si="6"/>
        <v>0</v>
      </c>
      <c r="J28" s="23">
        <f t="shared" si="6"/>
        <v>0</v>
      </c>
      <c r="K28" s="23">
        <f t="shared" si="1"/>
        <v>0</v>
      </c>
      <c r="L28" s="23">
        <f>SUM(L29:L31)</f>
        <v>0</v>
      </c>
      <c r="M28" s="23">
        <f>SUM(M29:M31)</f>
        <v>0</v>
      </c>
      <c r="N28" s="23">
        <f t="shared" si="2"/>
        <v>0</v>
      </c>
      <c r="O28" s="57"/>
    </row>
    <row r="29" ht="14.5" spans="2:15">
      <c r="B29" s="30"/>
      <c r="C29" s="25">
        <v>4.1</v>
      </c>
      <c r="D29" s="26" t="s">
        <v>42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3">
        <f t="shared" si="1"/>
        <v>0</v>
      </c>
      <c r="L29" s="62">
        <v>0</v>
      </c>
      <c r="M29" s="62">
        <v>0</v>
      </c>
      <c r="N29" s="23">
        <f t="shared" si="2"/>
        <v>0</v>
      </c>
      <c r="O29" s="57"/>
    </row>
    <row r="30" ht="14.5" spans="2:15">
      <c r="B30" s="30"/>
      <c r="C30" s="25">
        <v>4.2</v>
      </c>
      <c r="D30" s="26" t="s">
        <v>43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3">
        <f t="shared" si="1"/>
        <v>0</v>
      </c>
      <c r="L30" s="62">
        <v>0</v>
      </c>
      <c r="M30" s="62">
        <v>0</v>
      </c>
      <c r="N30" s="23">
        <f t="shared" si="2"/>
        <v>0</v>
      </c>
      <c r="O30" s="57"/>
    </row>
    <row r="31" ht="14.5" spans="2:15">
      <c r="B31" s="30"/>
      <c r="C31" s="25">
        <v>4.3</v>
      </c>
      <c r="D31" s="34" t="s">
        <v>40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3">
        <f t="shared" si="1"/>
        <v>0</v>
      </c>
      <c r="L31" s="62">
        <v>0</v>
      </c>
      <c r="M31" s="62">
        <v>0</v>
      </c>
      <c r="N31" s="23">
        <f t="shared" si="2"/>
        <v>0</v>
      </c>
      <c r="O31" s="57"/>
    </row>
    <row r="32" ht="14.5" spans="2:15">
      <c r="B32" s="20">
        <v>5</v>
      </c>
      <c r="C32" s="29"/>
      <c r="D32" s="22" t="s">
        <v>44</v>
      </c>
      <c r="E32" s="23">
        <f t="shared" ref="E32:J32" si="7">E33+E37</f>
        <v>0</v>
      </c>
      <c r="F32" s="23">
        <f t="shared" si="7"/>
        <v>0</v>
      </c>
      <c r="G32" s="23">
        <f t="shared" si="7"/>
        <v>0</v>
      </c>
      <c r="H32" s="23">
        <f t="shared" si="7"/>
        <v>0</v>
      </c>
      <c r="I32" s="23">
        <f t="shared" si="7"/>
        <v>0</v>
      </c>
      <c r="J32" s="23">
        <f t="shared" si="7"/>
        <v>0</v>
      </c>
      <c r="K32" s="23">
        <f t="shared" si="1"/>
        <v>0</v>
      </c>
      <c r="L32" s="23">
        <f>L33+L37</f>
        <v>0</v>
      </c>
      <c r="M32" s="23">
        <f>M33+M37</f>
        <v>0</v>
      </c>
      <c r="N32" s="23">
        <f t="shared" si="2"/>
        <v>0</v>
      </c>
      <c r="O32" s="57"/>
    </row>
    <row r="33" ht="14.5" spans="2:15">
      <c r="B33" s="20"/>
      <c r="C33" s="21">
        <v>5.1</v>
      </c>
      <c r="D33" s="35" t="s">
        <v>45</v>
      </c>
      <c r="E33" s="23">
        <f t="shared" ref="E33:J33" si="8">SUM(E34:E36)</f>
        <v>0</v>
      </c>
      <c r="F33" s="23">
        <f t="shared" si="8"/>
        <v>0</v>
      </c>
      <c r="G33" s="23">
        <f t="shared" si="8"/>
        <v>0</v>
      </c>
      <c r="H33" s="23">
        <f t="shared" si="8"/>
        <v>0</v>
      </c>
      <c r="I33" s="23">
        <f t="shared" si="8"/>
        <v>0</v>
      </c>
      <c r="J33" s="23">
        <f t="shared" si="8"/>
        <v>0</v>
      </c>
      <c r="K33" s="23">
        <f t="shared" si="1"/>
        <v>0</v>
      </c>
      <c r="L33" s="23">
        <f>SUM(L34:L36)</f>
        <v>0</v>
      </c>
      <c r="M33" s="23">
        <f>SUM(M34:M36)</f>
        <v>0</v>
      </c>
      <c r="N33" s="23">
        <f t="shared" si="2"/>
        <v>0</v>
      </c>
      <c r="O33" s="57"/>
    </row>
    <row r="34" ht="14.5" spans="2:15">
      <c r="B34" s="30"/>
      <c r="C34" s="36" t="s">
        <v>46</v>
      </c>
      <c r="D34" s="37" t="s">
        <v>47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3">
        <f t="shared" si="1"/>
        <v>0</v>
      </c>
      <c r="L34" s="62">
        <v>0</v>
      </c>
      <c r="M34" s="62">
        <v>0</v>
      </c>
      <c r="N34" s="23">
        <f t="shared" si="2"/>
        <v>0</v>
      </c>
      <c r="O34" s="57"/>
    </row>
    <row r="35" ht="14.5" spans="2:15">
      <c r="B35" s="30"/>
      <c r="C35" s="36" t="s">
        <v>48</v>
      </c>
      <c r="D35" s="37" t="s">
        <v>49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3">
        <f t="shared" si="1"/>
        <v>0</v>
      </c>
      <c r="L35" s="62">
        <v>0</v>
      </c>
      <c r="M35" s="62">
        <v>0</v>
      </c>
      <c r="N35" s="23">
        <f t="shared" si="2"/>
        <v>0</v>
      </c>
      <c r="O35" s="57"/>
    </row>
    <row r="36" ht="14.5" spans="2:15">
      <c r="B36" s="30"/>
      <c r="C36" s="36" t="s">
        <v>50</v>
      </c>
      <c r="D36" s="37" t="s">
        <v>51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3">
        <f t="shared" si="1"/>
        <v>0</v>
      </c>
      <c r="L36" s="62">
        <v>0</v>
      </c>
      <c r="M36" s="62">
        <v>0</v>
      </c>
      <c r="N36" s="23">
        <f t="shared" si="2"/>
        <v>0</v>
      </c>
      <c r="O36" s="57"/>
    </row>
    <row r="37" ht="14.5" spans="2:15">
      <c r="B37" s="20"/>
      <c r="C37" s="21">
        <v>5.2</v>
      </c>
      <c r="D37" s="22" t="s">
        <v>52</v>
      </c>
      <c r="E37" s="23">
        <f t="shared" ref="E37:J37" si="9">E38+E41</f>
        <v>0</v>
      </c>
      <c r="F37" s="23">
        <f t="shared" si="9"/>
        <v>0</v>
      </c>
      <c r="G37" s="23">
        <f t="shared" si="9"/>
        <v>0</v>
      </c>
      <c r="H37" s="23">
        <f t="shared" si="9"/>
        <v>0</v>
      </c>
      <c r="I37" s="23">
        <f t="shared" si="9"/>
        <v>0</v>
      </c>
      <c r="J37" s="23">
        <f t="shared" si="9"/>
        <v>0</v>
      </c>
      <c r="K37" s="23">
        <f t="shared" si="1"/>
        <v>0</v>
      </c>
      <c r="L37" s="23">
        <f>L38+L41</f>
        <v>0</v>
      </c>
      <c r="M37" s="23">
        <f>M38+M41</f>
        <v>0</v>
      </c>
      <c r="N37" s="23">
        <f t="shared" si="2"/>
        <v>0</v>
      </c>
      <c r="O37" s="57"/>
    </row>
    <row r="38" ht="14.5" spans="2:15">
      <c r="B38" s="20"/>
      <c r="C38" s="38" t="s">
        <v>53</v>
      </c>
      <c r="D38" s="39" t="s">
        <v>54</v>
      </c>
      <c r="E38" s="23">
        <f t="shared" ref="E38:J38" si="10">SUM(E39:E40)</f>
        <v>0</v>
      </c>
      <c r="F38" s="23">
        <f t="shared" si="10"/>
        <v>0</v>
      </c>
      <c r="G38" s="23">
        <f t="shared" si="10"/>
        <v>0</v>
      </c>
      <c r="H38" s="23">
        <f t="shared" si="10"/>
        <v>0</v>
      </c>
      <c r="I38" s="23">
        <f t="shared" si="10"/>
        <v>0</v>
      </c>
      <c r="J38" s="23">
        <f t="shared" si="10"/>
        <v>0</v>
      </c>
      <c r="K38" s="23">
        <f t="shared" si="1"/>
        <v>0</v>
      </c>
      <c r="L38" s="23">
        <f>SUM(L39:L40)</f>
        <v>0</v>
      </c>
      <c r="M38" s="23">
        <f>SUM(M39:M40)</f>
        <v>0</v>
      </c>
      <c r="N38" s="23">
        <f t="shared" si="2"/>
        <v>0</v>
      </c>
      <c r="O38" s="57"/>
    </row>
    <row r="39" ht="14.5" spans="2:15">
      <c r="B39" s="30"/>
      <c r="C39" s="36" t="s">
        <v>55</v>
      </c>
      <c r="D39" s="37" t="s">
        <v>47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3">
        <f t="shared" si="1"/>
        <v>0</v>
      </c>
      <c r="L39" s="62">
        <v>0</v>
      </c>
      <c r="M39" s="62">
        <v>0</v>
      </c>
      <c r="N39" s="23">
        <f t="shared" si="2"/>
        <v>0</v>
      </c>
      <c r="O39" s="57"/>
    </row>
    <row r="40" ht="14.5" spans="2:15">
      <c r="B40" s="30"/>
      <c r="C40" s="36" t="s">
        <v>56</v>
      </c>
      <c r="D40" s="37" t="s">
        <v>49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3">
        <f t="shared" si="1"/>
        <v>0</v>
      </c>
      <c r="L40" s="62">
        <v>0</v>
      </c>
      <c r="M40" s="62">
        <v>0</v>
      </c>
      <c r="N40" s="23">
        <f t="shared" si="2"/>
        <v>0</v>
      </c>
      <c r="O40" s="57"/>
    </row>
    <row r="41" ht="14.5" spans="2:15">
      <c r="B41" s="30"/>
      <c r="C41" s="40" t="s">
        <v>57</v>
      </c>
      <c r="D41" s="41" t="s">
        <v>58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3">
        <f t="shared" si="1"/>
        <v>0</v>
      </c>
      <c r="L41" s="27">
        <v>0</v>
      </c>
      <c r="M41" s="27">
        <v>0</v>
      </c>
      <c r="N41" s="23">
        <f t="shared" si="2"/>
        <v>0</v>
      </c>
      <c r="O41" s="57"/>
    </row>
    <row r="42" ht="14.5" spans="2:15">
      <c r="B42" s="20">
        <v>6</v>
      </c>
      <c r="C42" s="38"/>
      <c r="D42" s="42" t="s">
        <v>59</v>
      </c>
      <c r="E42" s="23">
        <f t="shared" ref="E42:J42" si="11">SUM(E43:E44)</f>
        <v>0</v>
      </c>
      <c r="F42" s="23">
        <f t="shared" si="11"/>
        <v>0</v>
      </c>
      <c r="G42" s="23">
        <f t="shared" si="11"/>
        <v>0</v>
      </c>
      <c r="H42" s="23">
        <f t="shared" si="11"/>
        <v>0</v>
      </c>
      <c r="I42" s="23">
        <f t="shared" si="11"/>
        <v>0</v>
      </c>
      <c r="J42" s="23">
        <f t="shared" si="11"/>
        <v>0</v>
      </c>
      <c r="K42" s="23">
        <f t="shared" si="1"/>
        <v>0</v>
      </c>
      <c r="L42" s="23">
        <f>SUM(L43:L44)</f>
        <v>0</v>
      </c>
      <c r="M42" s="23">
        <f>SUM(M43:M44)</f>
        <v>0</v>
      </c>
      <c r="N42" s="23">
        <f t="shared" si="2"/>
        <v>0</v>
      </c>
      <c r="O42" s="57"/>
    </row>
    <row r="43" ht="14.5" spans="2:15">
      <c r="B43" s="30"/>
      <c r="C43" s="36">
        <v>6.1</v>
      </c>
      <c r="D43" s="37" t="s">
        <v>60</v>
      </c>
      <c r="E43" s="27">
        <v>0</v>
      </c>
      <c r="F43" s="27">
        <v>0</v>
      </c>
      <c r="G43" s="27">
        <v>0</v>
      </c>
      <c r="H43" s="27">
        <v>0</v>
      </c>
      <c r="I43" s="27">
        <v>0</v>
      </c>
      <c r="J43" s="27">
        <v>0</v>
      </c>
      <c r="K43" s="23">
        <f t="shared" si="1"/>
        <v>0</v>
      </c>
      <c r="L43" s="62">
        <v>0</v>
      </c>
      <c r="M43" s="62">
        <v>0</v>
      </c>
      <c r="N43" s="23">
        <f t="shared" si="2"/>
        <v>0</v>
      </c>
      <c r="O43" s="63" t="str">
        <f>IF(N43=0,"TRUE","FALSE")</f>
        <v>TRUE</v>
      </c>
    </row>
    <row r="44" ht="14.5" spans="2:15">
      <c r="B44" s="30"/>
      <c r="C44" s="36">
        <v>6.2</v>
      </c>
      <c r="D44" s="37" t="s">
        <v>61</v>
      </c>
      <c r="E44" s="27">
        <v>0</v>
      </c>
      <c r="F44" s="27">
        <v>0</v>
      </c>
      <c r="G44" s="27">
        <v>0</v>
      </c>
      <c r="H44" s="27">
        <v>0</v>
      </c>
      <c r="I44" s="27">
        <v>0</v>
      </c>
      <c r="J44" s="27">
        <v>0</v>
      </c>
      <c r="K44" s="23">
        <f t="shared" si="1"/>
        <v>0</v>
      </c>
      <c r="L44" s="62">
        <v>0</v>
      </c>
      <c r="M44" s="62">
        <v>0</v>
      </c>
      <c r="N44" s="23">
        <f t="shared" si="2"/>
        <v>0</v>
      </c>
      <c r="O44" s="57"/>
    </row>
    <row r="45" ht="14.5" spans="2:15">
      <c r="B45" s="20">
        <v>7</v>
      </c>
      <c r="C45" s="43"/>
      <c r="D45" s="42" t="s">
        <v>62</v>
      </c>
      <c r="E45" s="23">
        <f t="shared" ref="E45:J45" si="12">E46+E49</f>
        <v>0</v>
      </c>
      <c r="F45" s="23">
        <f t="shared" si="12"/>
        <v>0</v>
      </c>
      <c r="G45" s="23">
        <f t="shared" si="12"/>
        <v>0</v>
      </c>
      <c r="H45" s="23">
        <f t="shared" si="12"/>
        <v>0</v>
      </c>
      <c r="I45" s="23">
        <f t="shared" si="12"/>
        <v>0</v>
      </c>
      <c r="J45" s="23">
        <f t="shared" si="12"/>
        <v>0</v>
      </c>
      <c r="K45" s="23">
        <f t="shared" si="1"/>
        <v>0</v>
      </c>
      <c r="L45" s="23">
        <f>L46+L49</f>
        <v>0</v>
      </c>
      <c r="M45" s="23">
        <f>M46+M49</f>
        <v>0</v>
      </c>
      <c r="N45" s="23">
        <f t="shared" si="2"/>
        <v>0</v>
      </c>
      <c r="O45" s="57"/>
    </row>
    <row r="46" ht="14.5" spans="2:15">
      <c r="B46" s="44"/>
      <c r="C46" s="38">
        <v>7.1</v>
      </c>
      <c r="D46" s="42" t="s">
        <v>63</v>
      </c>
      <c r="E46" s="23">
        <f t="shared" ref="E46:J46" si="13">SUM(E47:E48)</f>
        <v>0</v>
      </c>
      <c r="F46" s="23">
        <f t="shared" si="13"/>
        <v>0</v>
      </c>
      <c r="G46" s="23">
        <f t="shared" si="13"/>
        <v>0</v>
      </c>
      <c r="H46" s="23">
        <f t="shared" si="13"/>
        <v>0</v>
      </c>
      <c r="I46" s="23">
        <f t="shared" si="13"/>
        <v>0</v>
      </c>
      <c r="J46" s="23">
        <f t="shared" si="13"/>
        <v>0</v>
      </c>
      <c r="K46" s="23">
        <f t="shared" si="1"/>
        <v>0</v>
      </c>
      <c r="L46" s="23">
        <f>SUM(L47:L48)</f>
        <v>0</v>
      </c>
      <c r="M46" s="23">
        <f>SUM(M47:M48)</f>
        <v>0</v>
      </c>
      <c r="N46" s="23">
        <f t="shared" si="2"/>
        <v>0</v>
      </c>
      <c r="O46" s="57"/>
    </row>
    <row r="47" ht="14.5" spans="2:15">
      <c r="B47" s="30"/>
      <c r="C47" s="36" t="s">
        <v>64</v>
      </c>
      <c r="D47" s="37" t="s">
        <v>65</v>
      </c>
      <c r="E47" s="27">
        <v>0</v>
      </c>
      <c r="F47" s="27">
        <v>0</v>
      </c>
      <c r="G47" s="27">
        <v>0</v>
      </c>
      <c r="H47" s="27">
        <v>0</v>
      </c>
      <c r="I47" s="27">
        <v>0</v>
      </c>
      <c r="J47" s="27">
        <v>0</v>
      </c>
      <c r="K47" s="23">
        <f t="shared" si="1"/>
        <v>0</v>
      </c>
      <c r="L47" s="62">
        <v>0</v>
      </c>
      <c r="M47" s="62">
        <v>0</v>
      </c>
      <c r="N47" s="23">
        <f t="shared" si="2"/>
        <v>0</v>
      </c>
      <c r="O47" s="57"/>
    </row>
    <row r="48" ht="14.5" spans="2:15">
      <c r="B48" s="30"/>
      <c r="C48" s="36" t="s">
        <v>66</v>
      </c>
      <c r="D48" s="37" t="s">
        <v>67</v>
      </c>
      <c r="E48" s="27">
        <v>0</v>
      </c>
      <c r="F48" s="27">
        <v>0</v>
      </c>
      <c r="G48" s="27">
        <v>0</v>
      </c>
      <c r="H48" s="27">
        <v>0</v>
      </c>
      <c r="I48" s="27">
        <v>0</v>
      </c>
      <c r="J48" s="27">
        <v>0</v>
      </c>
      <c r="K48" s="23">
        <f t="shared" si="1"/>
        <v>0</v>
      </c>
      <c r="L48" s="62">
        <v>0</v>
      </c>
      <c r="M48" s="62">
        <v>0</v>
      </c>
      <c r="N48" s="23">
        <f t="shared" si="2"/>
        <v>0</v>
      </c>
      <c r="O48" s="57"/>
    </row>
    <row r="49" ht="14.5" spans="2:15">
      <c r="B49" s="20"/>
      <c r="C49" s="38">
        <v>7.2</v>
      </c>
      <c r="D49" s="42" t="s">
        <v>68</v>
      </c>
      <c r="E49" s="23">
        <f t="shared" ref="E49:J49" si="14">SUM(E50:E51)</f>
        <v>0</v>
      </c>
      <c r="F49" s="23">
        <f t="shared" si="14"/>
        <v>0</v>
      </c>
      <c r="G49" s="23">
        <f t="shared" si="14"/>
        <v>0</v>
      </c>
      <c r="H49" s="23">
        <f t="shared" si="14"/>
        <v>0</v>
      </c>
      <c r="I49" s="23">
        <f t="shared" si="14"/>
        <v>0</v>
      </c>
      <c r="J49" s="23">
        <f t="shared" si="14"/>
        <v>0</v>
      </c>
      <c r="K49" s="23">
        <f t="shared" si="1"/>
        <v>0</v>
      </c>
      <c r="L49" s="23">
        <f>SUM(L50:L51)</f>
        <v>0</v>
      </c>
      <c r="M49" s="23">
        <f>SUM(M50:M51)</f>
        <v>0</v>
      </c>
      <c r="N49" s="23">
        <f t="shared" si="2"/>
        <v>0</v>
      </c>
      <c r="O49" s="57"/>
    </row>
    <row r="50" ht="14.5" spans="2:15">
      <c r="B50" s="30"/>
      <c r="C50" s="36" t="s">
        <v>69</v>
      </c>
      <c r="D50" s="37" t="s">
        <v>65</v>
      </c>
      <c r="E50" s="27">
        <v>0</v>
      </c>
      <c r="F50" s="27">
        <v>0</v>
      </c>
      <c r="G50" s="27">
        <v>0</v>
      </c>
      <c r="H50" s="27">
        <v>0</v>
      </c>
      <c r="I50" s="27">
        <v>0</v>
      </c>
      <c r="J50" s="27">
        <v>0</v>
      </c>
      <c r="K50" s="23">
        <f t="shared" si="1"/>
        <v>0</v>
      </c>
      <c r="L50" s="62">
        <v>0</v>
      </c>
      <c r="M50" s="62">
        <v>0</v>
      </c>
      <c r="N50" s="23">
        <f t="shared" si="2"/>
        <v>0</v>
      </c>
      <c r="O50" s="57"/>
    </row>
    <row r="51" ht="14.5" spans="2:15">
      <c r="B51" s="30"/>
      <c r="C51" s="36" t="s">
        <v>70</v>
      </c>
      <c r="D51" s="37" t="s">
        <v>67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3">
        <f t="shared" si="1"/>
        <v>0</v>
      </c>
      <c r="L51" s="62">
        <v>0</v>
      </c>
      <c r="M51" s="62">
        <v>0</v>
      </c>
      <c r="N51" s="23">
        <f t="shared" si="2"/>
        <v>0</v>
      </c>
      <c r="O51" s="57"/>
    </row>
    <row r="52" ht="14.5" spans="2:15">
      <c r="B52" s="20">
        <v>8</v>
      </c>
      <c r="C52" s="21"/>
      <c r="D52" s="45" t="s">
        <v>71</v>
      </c>
      <c r="E52" s="23">
        <f t="shared" ref="E52:J52" si="15">E53+E59+E64</f>
        <v>0</v>
      </c>
      <c r="F52" s="23">
        <f t="shared" si="15"/>
        <v>0</v>
      </c>
      <c r="G52" s="23">
        <f t="shared" si="15"/>
        <v>0</v>
      </c>
      <c r="H52" s="23">
        <f t="shared" si="15"/>
        <v>0</v>
      </c>
      <c r="I52" s="23">
        <f t="shared" si="15"/>
        <v>0</v>
      </c>
      <c r="J52" s="23">
        <f t="shared" si="15"/>
        <v>0</v>
      </c>
      <c r="K52" s="23">
        <f t="shared" si="1"/>
        <v>0</v>
      </c>
      <c r="L52" s="23">
        <f>L53+L59+L64</f>
        <v>0</v>
      </c>
      <c r="M52" s="23">
        <f>M53+M59+M64</f>
        <v>0</v>
      </c>
      <c r="N52" s="23">
        <f t="shared" si="2"/>
        <v>0</v>
      </c>
      <c r="O52" s="57"/>
    </row>
    <row r="53" ht="14.5" spans="2:15">
      <c r="B53" s="46"/>
      <c r="C53" s="21">
        <v>8.1</v>
      </c>
      <c r="D53" s="45" t="s">
        <v>72</v>
      </c>
      <c r="E53" s="23">
        <f t="shared" ref="E53:J53" si="16">SUM(E54:E58)</f>
        <v>0</v>
      </c>
      <c r="F53" s="23">
        <f t="shared" si="16"/>
        <v>0</v>
      </c>
      <c r="G53" s="23">
        <f t="shared" si="16"/>
        <v>0</v>
      </c>
      <c r="H53" s="23">
        <f t="shared" si="16"/>
        <v>0</v>
      </c>
      <c r="I53" s="23">
        <f t="shared" si="16"/>
        <v>0</v>
      </c>
      <c r="J53" s="23">
        <f t="shared" si="16"/>
        <v>0</v>
      </c>
      <c r="K53" s="23">
        <f t="shared" si="1"/>
        <v>0</v>
      </c>
      <c r="L53" s="23">
        <f>SUM(L54:L58)</f>
        <v>0</v>
      </c>
      <c r="M53" s="23">
        <f>SUM(M54:M58)</f>
        <v>0</v>
      </c>
      <c r="N53" s="23">
        <f t="shared" si="2"/>
        <v>0</v>
      </c>
      <c r="O53" s="57"/>
    </row>
    <row r="54" ht="14.5" spans="2:15">
      <c r="B54" s="47"/>
      <c r="C54" s="25" t="s">
        <v>73</v>
      </c>
      <c r="D54" s="48" t="s">
        <v>74</v>
      </c>
      <c r="E54" s="27">
        <v>0</v>
      </c>
      <c r="F54" s="27">
        <v>0</v>
      </c>
      <c r="G54" s="27">
        <v>0</v>
      </c>
      <c r="H54" s="27">
        <v>0</v>
      </c>
      <c r="I54" s="27">
        <v>0</v>
      </c>
      <c r="J54" s="27">
        <v>0</v>
      </c>
      <c r="K54" s="23">
        <f t="shared" si="1"/>
        <v>0</v>
      </c>
      <c r="L54" s="62">
        <v>0</v>
      </c>
      <c r="M54" s="62">
        <v>0</v>
      </c>
      <c r="N54" s="23">
        <f t="shared" si="2"/>
        <v>0</v>
      </c>
      <c r="O54" s="57"/>
    </row>
    <row r="55" ht="14.5" spans="2:15">
      <c r="B55" s="47"/>
      <c r="C55" s="25" t="s">
        <v>75</v>
      </c>
      <c r="D55" s="48" t="s">
        <v>76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3">
        <f t="shared" si="1"/>
        <v>0</v>
      </c>
      <c r="L55" s="62">
        <v>0</v>
      </c>
      <c r="M55" s="62">
        <v>0</v>
      </c>
      <c r="N55" s="23">
        <f t="shared" si="2"/>
        <v>0</v>
      </c>
      <c r="O55" s="57"/>
    </row>
    <row r="56" ht="14.5" spans="2:15">
      <c r="B56" s="47"/>
      <c r="C56" s="25" t="s">
        <v>77</v>
      </c>
      <c r="D56" s="48" t="s">
        <v>78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3">
        <f t="shared" si="1"/>
        <v>0</v>
      </c>
      <c r="L56" s="62">
        <v>0</v>
      </c>
      <c r="M56" s="62">
        <v>0</v>
      </c>
      <c r="N56" s="23">
        <f t="shared" si="2"/>
        <v>0</v>
      </c>
      <c r="O56" s="57"/>
    </row>
    <row r="57" ht="14.5" spans="2:15">
      <c r="B57" s="47"/>
      <c r="C57" s="25" t="s">
        <v>79</v>
      </c>
      <c r="D57" s="48" t="s">
        <v>80</v>
      </c>
      <c r="E57" s="27">
        <v>0</v>
      </c>
      <c r="F57" s="27">
        <v>0</v>
      </c>
      <c r="G57" s="27">
        <v>0</v>
      </c>
      <c r="H57" s="27">
        <v>0</v>
      </c>
      <c r="I57" s="27">
        <v>0</v>
      </c>
      <c r="J57" s="27">
        <v>0</v>
      </c>
      <c r="K57" s="23">
        <f t="shared" si="1"/>
        <v>0</v>
      </c>
      <c r="L57" s="62">
        <v>0</v>
      </c>
      <c r="M57" s="62">
        <v>0</v>
      </c>
      <c r="N57" s="23">
        <f t="shared" si="2"/>
        <v>0</v>
      </c>
      <c r="O57" s="57"/>
    </row>
    <row r="58" ht="14.5" spans="2:15">
      <c r="B58" s="47"/>
      <c r="C58" s="25" t="s">
        <v>81</v>
      </c>
      <c r="D58" s="49" t="s">
        <v>82</v>
      </c>
      <c r="E58" s="27">
        <v>0</v>
      </c>
      <c r="F58" s="27">
        <v>0</v>
      </c>
      <c r="G58" s="27">
        <v>0</v>
      </c>
      <c r="H58" s="27">
        <v>0</v>
      </c>
      <c r="I58" s="27">
        <v>0</v>
      </c>
      <c r="J58" s="27">
        <v>0</v>
      </c>
      <c r="K58" s="23">
        <f t="shared" si="1"/>
        <v>0</v>
      </c>
      <c r="L58" s="62">
        <v>0</v>
      </c>
      <c r="M58" s="62">
        <v>0</v>
      </c>
      <c r="N58" s="23">
        <f t="shared" si="2"/>
        <v>0</v>
      </c>
      <c r="O58" s="57"/>
    </row>
    <row r="59" ht="14.5" spans="2:15">
      <c r="B59" s="46"/>
      <c r="C59" s="50">
        <v>8.2</v>
      </c>
      <c r="D59" s="45" t="s">
        <v>83</v>
      </c>
      <c r="E59" s="23">
        <f t="shared" ref="E59:J59" si="17">SUM(E60:E63)</f>
        <v>0</v>
      </c>
      <c r="F59" s="23">
        <f t="shared" si="17"/>
        <v>0</v>
      </c>
      <c r="G59" s="23">
        <f t="shared" si="17"/>
        <v>0</v>
      </c>
      <c r="H59" s="23">
        <f t="shared" si="17"/>
        <v>0</v>
      </c>
      <c r="I59" s="23">
        <f t="shared" si="17"/>
        <v>0</v>
      </c>
      <c r="J59" s="23">
        <f t="shared" si="17"/>
        <v>0</v>
      </c>
      <c r="K59" s="23">
        <f t="shared" si="1"/>
        <v>0</v>
      </c>
      <c r="L59" s="23">
        <f>SUM(L60:L63)</f>
        <v>0</v>
      </c>
      <c r="M59" s="23">
        <f>SUM(M60:M63)</f>
        <v>0</v>
      </c>
      <c r="N59" s="23">
        <f t="shared" si="2"/>
        <v>0</v>
      </c>
      <c r="O59" s="57"/>
    </row>
    <row r="60" ht="14.5" spans="2:15">
      <c r="B60" s="47"/>
      <c r="C60" s="51" t="s">
        <v>84</v>
      </c>
      <c r="D60" s="52" t="s">
        <v>85</v>
      </c>
      <c r="E60" s="27">
        <v>0</v>
      </c>
      <c r="F60" s="27">
        <v>0</v>
      </c>
      <c r="G60" s="27">
        <v>0</v>
      </c>
      <c r="H60" s="27">
        <v>0</v>
      </c>
      <c r="I60" s="27">
        <v>0</v>
      </c>
      <c r="J60" s="27">
        <v>0</v>
      </c>
      <c r="K60" s="23">
        <f t="shared" si="1"/>
        <v>0</v>
      </c>
      <c r="L60" s="62">
        <v>0</v>
      </c>
      <c r="M60" s="62">
        <v>0</v>
      </c>
      <c r="N60" s="23">
        <f t="shared" si="2"/>
        <v>0</v>
      </c>
      <c r="O60" s="57"/>
    </row>
    <row r="61" ht="14.5" spans="2:15">
      <c r="B61" s="30"/>
      <c r="C61" s="51" t="s">
        <v>86</v>
      </c>
      <c r="D61" s="52" t="s">
        <v>87</v>
      </c>
      <c r="E61" s="27">
        <v>0</v>
      </c>
      <c r="F61" s="27">
        <v>0</v>
      </c>
      <c r="G61" s="27">
        <v>0</v>
      </c>
      <c r="H61" s="27">
        <v>0</v>
      </c>
      <c r="I61" s="27">
        <v>0</v>
      </c>
      <c r="J61" s="27">
        <v>0</v>
      </c>
      <c r="K61" s="23">
        <f t="shared" si="1"/>
        <v>0</v>
      </c>
      <c r="L61" s="62">
        <v>0</v>
      </c>
      <c r="M61" s="62">
        <v>0</v>
      </c>
      <c r="N61" s="23">
        <f t="shared" si="2"/>
        <v>0</v>
      </c>
      <c r="O61" s="57"/>
    </row>
    <row r="62" ht="14.5" spans="2:15">
      <c r="B62" s="53"/>
      <c r="C62" s="51" t="s">
        <v>88</v>
      </c>
      <c r="D62" s="52" t="s">
        <v>89</v>
      </c>
      <c r="E62" s="27">
        <v>0</v>
      </c>
      <c r="F62" s="27">
        <v>0</v>
      </c>
      <c r="G62" s="27">
        <v>0</v>
      </c>
      <c r="H62" s="27">
        <v>0</v>
      </c>
      <c r="I62" s="27">
        <v>0</v>
      </c>
      <c r="J62" s="27">
        <v>0</v>
      </c>
      <c r="K62" s="23">
        <f t="shared" si="1"/>
        <v>0</v>
      </c>
      <c r="L62" s="62">
        <v>0</v>
      </c>
      <c r="M62" s="62">
        <v>0</v>
      </c>
      <c r="N62" s="23">
        <f t="shared" si="2"/>
        <v>0</v>
      </c>
      <c r="O62" s="57"/>
    </row>
    <row r="63" ht="14.5" spans="2:15">
      <c r="B63" s="53"/>
      <c r="C63" s="51" t="s">
        <v>90</v>
      </c>
      <c r="D63" s="26" t="s">
        <v>91</v>
      </c>
      <c r="E63" s="27">
        <v>0</v>
      </c>
      <c r="F63" s="27">
        <v>0</v>
      </c>
      <c r="G63" s="27">
        <v>0</v>
      </c>
      <c r="H63" s="27">
        <v>0</v>
      </c>
      <c r="I63" s="27">
        <v>0</v>
      </c>
      <c r="J63" s="27">
        <v>0</v>
      </c>
      <c r="K63" s="23">
        <f t="shared" si="1"/>
        <v>0</v>
      </c>
      <c r="L63" s="62">
        <v>0</v>
      </c>
      <c r="M63" s="62">
        <v>0</v>
      </c>
      <c r="N63" s="23">
        <f t="shared" si="2"/>
        <v>0</v>
      </c>
      <c r="O63" s="57"/>
    </row>
    <row r="64" ht="14.5" spans="2:15">
      <c r="B64" s="53"/>
      <c r="C64" s="54">
        <v>8.3</v>
      </c>
      <c r="D64" s="55" t="s">
        <v>92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3">
        <f t="shared" si="1"/>
        <v>0</v>
      </c>
      <c r="L64" s="62">
        <v>0</v>
      </c>
      <c r="M64" s="62">
        <v>0</v>
      </c>
      <c r="N64" s="23">
        <f t="shared" si="2"/>
        <v>0</v>
      </c>
      <c r="O64" s="57"/>
    </row>
    <row r="65" ht="14.5" spans="2:15">
      <c r="B65" s="20">
        <v>9</v>
      </c>
      <c r="C65" s="21"/>
      <c r="D65" s="22" t="s">
        <v>93</v>
      </c>
      <c r="E65" s="23">
        <f t="shared" ref="E65:J65" si="18">SUM(E66:E70)</f>
        <v>0</v>
      </c>
      <c r="F65" s="23">
        <f t="shared" si="18"/>
        <v>0</v>
      </c>
      <c r="G65" s="23">
        <f t="shared" si="18"/>
        <v>0</v>
      </c>
      <c r="H65" s="23">
        <f t="shared" si="18"/>
        <v>0</v>
      </c>
      <c r="I65" s="23">
        <f t="shared" si="18"/>
        <v>0</v>
      </c>
      <c r="J65" s="23">
        <f t="shared" si="18"/>
        <v>0</v>
      </c>
      <c r="K65" s="23">
        <f t="shared" si="1"/>
        <v>0</v>
      </c>
      <c r="L65" s="23">
        <f>SUM(L66:L70)</f>
        <v>0</v>
      </c>
      <c r="M65" s="23">
        <f>SUM(M66:M70)</f>
        <v>0</v>
      </c>
      <c r="N65" s="23">
        <f t="shared" si="2"/>
        <v>0</v>
      </c>
      <c r="O65" s="57"/>
    </row>
    <row r="66" ht="14.5" spans="2:15">
      <c r="B66" s="24"/>
      <c r="C66" s="25">
        <v>9.1</v>
      </c>
      <c r="D66" s="26" t="s">
        <v>94</v>
      </c>
      <c r="E66" s="27">
        <v>0</v>
      </c>
      <c r="F66" s="27">
        <v>0</v>
      </c>
      <c r="G66" s="27">
        <v>0</v>
      </c>
      <c r="H66" s="27">
        <v>0</v>
      </c>
      <c r="I66" s="27">
        <v>0</v>
      </c>
      <c r="J66" s="27">
        <v>0</v>
      </c>
      <c r="K66" s="23">
        <f t="shared" si="1"/>
        <v>0</v>
      </c>
      <c r="L66" s="62">
        <v>0</v>
      </c>
      <c r="M66" s="62">
        <v>0</v>
      </c>
      <c r="N66" s="23">
        <f t="shared" si="2"/>
        <v>0</v>
      </c>
      <c r="O66" s="57"/>
    </row>
    <row r="67" ht="14.5" spans="2:15">
      <c r="B67" s="24"/>
      <c r="C67" s="25">
        <v>9.2</v>
      </c>
      <c r="D67" s="26" t="s">
        <v>95</v>
      </c>
      <c r="E67" s="27">
        <v>0</v>
      </c>
      <c r="F67" s="27">
        <v>0</v>
      </c>
      <c r="G67" s="27">
        <v>0</v>
      </c>
      <c r="H67" s="27">
        <v>0</v>
      </c>
      <c r="I67" s="27">
        <v>0</v>
      </c>
      <c r="J67" s="27">
        <v>0</v>
      </c>
      <c r="K67" s="23">
        <f t="shared" si="1"/>
        <v>0</v>
      </c>
      <c r="L67" s="62">
        <v>0</v>
      </c>
      <c r="M67" s="62">
        <v>0</v>
      </c>
      <c r="N67" s="23">
        <f t="shared" si="2"/>
        <v>0</v>
      </c>
      <c r="O67" s="57"/>
    </row>
    <row r="68" ht="14.5" spans="2:15">
      <c r="B68" s="30"/>
      <c r="C68" s="25">
        <v>9.3</v>
      </c>
      <c r="D68" s="26" t="s">
        <v>96</v>
      </c>
      <c r="E68" s="27">
        <v>0</v>
      </c>
      <c r="F68" s="27">
        <v>0</v>
      </c>
      <c r="G68" s="27">
        <v>0</v>
      </c>
      <c r="H68" s="27">
        <v>0</v>
      </c>
      <c r="I68" s="27">
        <v>0</v>
      </c>
      <c r="J68" s="27">
        <v>0</v>
      </c>
      <c r="K68" s="23">
        <f t="shared" si="1"/>
        <v>0</v>
      </c>
      <c r="L68" s="62">
        <v>0</v>
      </c>
      <c r="M68" s="62">
        <v>0</v>
      </c>
      <c r="N68" s="23">
        <f t="shared" si="2"/>
        <v>0</v>
      </c>
      <c r="O68" s="57"/>
    </row>
    <row r="69" ht="14.5" spans="2:15">
      <c r="B69" s="30"/>
      <c r="C69" s="25">
        <v>9.4</v>
      </c>
      <c r="D69" s="26" t="s">
        <v>97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3">
        <f t="shared" si="1"/>
        <v>0</v>
      </c>
      <c r="L69" s="62">
        <v>0</v>
      </c>
      <c r="M69" s="62">
        <v>0</v>
      </c>
      <c r="N69" s="23">
        <f t="shared" si="2"/>
        <v>0</v>
      </c>
      <c r="O69" s="57"/>
    </row>
    <row r="70" ht="14.5" spans="2:15">
      <c r="B70" s="30"/>
      <c r="C70" s="25">
        <v>9.5</v>
      </c>
      <c r="D70" s="26" t="s">
        <v>98</v>
      </c>
      <c r="E70" s="27">
        <v>0</v>
      </c>
      <c r="F70" s="27">
        <v>0</v>
      </c>
      <c r="G70" s="27">
        <v>0</v>
      </c>
      <c r="H70" s="27">
        <v>0</v>
      </c>
      <c r="I70" s="27">
        <v>0</v>
      </c>
      <c r="J70" s="27">
        <v>0</v>
      </c>
      <c r="K70" s="23">
        <f t="shared" si="1"/>
        <v>0</v>
      </c>
      <c r="L70" s="62">
        <v>0</v>
      </c>
      <c r="M70" s="62">
        <v>0</v>
      </c>
      <c r="N70" s="23">
        <f t="shared" si="2"/>
        <v>0</v>
      </c>
      <c r="O70" s="57"/>
    </row>
    <row r="71" ht="14.5" spans="2:15">
      <c r="B71" s="64">
        <v>10</v>
      </c>
      <c r="C71" s="54"/>
      <c r="D71" s="55" t="s">
        <v>99</v>
      </c>
      <c r="E71" s="27">
        <v>0</v>
      </c>
      <c r="F71" s="27">
        <v>0</v>
      </c>
      <c r="G71" s="27">
        <v>0</v>
      </c>
      <c r="H71" s="27">
        <v>0</v>
      </c>
      <c r="I71" s="27">
        <v>0</v>
      </c>
      <c r="J71" s="27">
        <v>0</v>
      </c>
      <c r="K71" s="23">
        <f t="shared" si="1"/>
        <v>0</v>
      </c>
      <c r="L71" s="62">
        <v>0</v>
      </c>
      <c r="M71" s="62">
        <v>0</v>
      </c>
      <c r="N71" s="23">
        <f t="shared" si="2"/>
        <v>0</v>
      </c>
      <c r="O71" s="57"/>
    </row>
    <row r="72" ht="14.5" spans="2:15">
      <c r="B72" s="65">
        <v>11</v>
      </c>
      <c r="C72" s="21"/>
      <c r="D72" s="22" t="s">
        <v>100</v>
      </c>
      <c r="E72" s="23">
        <f t="shared" ref="E72:J72" si="19">SUM(E73:E79)</f>
        <v>0</v>
      </c>
      <c r="F72" s="23">
        <f t="shared" si="19"/>
        <v>0</v>
      </c>
      <c r="G72" s="23">
        <f t="shared" si="19"/>
        <v>0</v>
      </c>
      <c r="H72" s="23">
        <f t="shared" si="19"/>
        <v>0</v>
      </c>
      <c r="I72" s="23">
        <f t="shared" si="19"/>
        <v>0</v>
      </c>
      <c r="J72" s="23">
        <f t="shared" si="19"/>
        <v>0</v>
      </c>
      <c r="K72" s="23">
        <f t="shared" ref="K72:K89" si="20">SUM(E72:J72)</f>
        <v>0</v>
      </c>
      <c r="L72" s="23">
        <f>SUM(L73:L79)</f>
        <v>0</v>
      </c>
      <c r="M72" s="23">
        <f>SUM(M73:M79)</f>
        <v>0</v>
      </c>
      <c r="N72" s="23">
        <f t="shared" ref="N72:N90" si="21">SUM(K72:M72)</f>
        <v>0</v>
      </c>
      <c r="O72" s="57"/>
    </row>
    <row r="73" ht="14.5" spans="2:15">
      <c r="B73" s="66"/>
      <c r="C73" s="25">
        <v>11.1</v>
      </c>
      <c r="D73" s="26" t="s">
        <v>101</v>
      </c>
      <c r="E73" s="27">
        <v>0</v>
      </c>
      <c r="F73" s="27">
        <v>0</v>
      </c>
      <c r="G73" s="27">
        <v>0</v>
      </c>
      <c r="H73" s="27">
        <v>0</v>
      </c>
      <c r="I73" s="27">
        <v>0</v>
      </c>
      <c r="J73" s="27">
        <v>0</v>
      </c>
      <c r="K73" s="23">
        <f t="shared" si="20"/>
        <v>0</v>
      </c>
      <c r="L73" s="62">
        <v>0</v>
      </c>
      <c r="M73" s="62">
        <v>0</v>
      </c>
      <c r="N73" s="23">
        <f t="shared" si="21"/>
        <v>0</v>
      </c>
      <c r="O73" s="57"/>
    </row>
    <row r="74" ht="14.5" spans="2:15">
      <c r="B74" s="66"/>
      <c r="C74" s="67">
        <v>11.2</v>
      </c>
      <c r="D74" s="26" t="s">
        <v>102</v>
      </c>
      <c r="E74" s="27">
        <v>0</v>
      </c>
      <c r="F74" s="27">
        <v>0</v>
      </c>
      <c r="G74" s="27">
        <v>0</v>
      </c>
      <c r="H74" s="27">
        <v>0</v>
      </c>
      <c r="I74" s="27">
        <v>0</v>
      </c>
      <c r="J74" s="27">
        <v>0</v>
      </c>
      <c r="K74" s="23">
        <f t="shared" si="20"/>
        <v>0</v>
      </c>
      <c r="L74" s="62">
        <v>0</v>
      </c>
      <c r="M74" s="62">
        <v>0</v>
      </c>
      <c r="N74" s="23">
        <f t="shared" si="21"/>
        <v>0</v>
      </c>
      <c r="O74" s="57"/>
    </row>
    <row r="75" ht="14.5" spans="2:15">
      <c r="B75" s="66"/>
      <c r="C75" s="25">
        <v>11.3</v>
      </c>
      <c r="D75" s="26" t="s">
        <v>103</v>
      </c>
      <c r="E75" s="27">
        <v>0</v>
      </c>
      <c r="F75" s="27">
        <v>0</v>
      </c>
      <c r="G75" s="27">
        <v>0</v>
      </c>
      <c r="H75" s="27">
        <v>0</v>
      </c>
      <c r="I75" s="27">
        <v>0</v>
      </c>
      <c r="J75" s="27">
        <v>0</v>
      </c>
      <c r="K75" s="23">
        <f t="shared" si="20"/>
        <v>0</v>
      </c>
      <c r="L75" s="62">
        <v>0</v>
      </c>
      <c r="M75" s="62">
        <v>0</v>
      </c>
      <c r="N75" s="23">
        <f t="shared" si="21"/>
        <v>0</v>
      </c>
      <c r="O75" s="57"/>
    </row>
    <row r="76" ht="14.5" spans="2:15">
      <c r="B76" s="66"/>
      <c r="C76" s="25">
        <v>11.4</v>
      </c>
      <c r="D76" s="26" t="s">
        <v>104</v>
      </c>
      <c r="E76" s="27">
        <v>0</v>
      </c>
      <c r="F76" s="27">
        <v>0</v>
      </c>
      <c r="G76" s="27">
        <v>0</v>
      </c>
      <c r="H76" s="27">
        <v>0</v>
      </c>
      <c r="I76" s="27">
        <v>0</v>
      </c>
      <c r="J76" s="27">
        <v>0</v>
      </c>
      <c r="K76" s="23">
        <f t="shared" si="20"/>
        <v>0</v>
      </c>
      <c r="L76" s="62">
        <v>0</v>
      </c>
      <c r="M76" s="62">
        <v>0</v>
      </c>
      <c r="N76" s="23">
        <f t="shared" si="21"/>
        <v>0</v>
      </c>
      <c r="O76" s="57"/>
    </row>
    <row r="77" ht="14.5" spans="2:15">
      <c r="B77" s="53"/>
      <c r="C77" s="67">
        <v>11.5</v>
      </c>
      <c r="D77" s="26" t="s">
        <v>105</v>
      </c>
      <c r="E77" s="27">
        <v>0</v>
      </c>
      <c r="F77" s="27">
        <v>0</v>
      </c>
      <c r="G77" s="27">
        <v>0</v>
      </c>
      <c r="H77" s="27">
        <v>0</v>
      </c>
      <c r="I77" s="27">
        <v>0</v>
      </c>
      <c r="J77" s="27">
        <v>0</v>
      </c>
      <c r="K77" s="23">
        <f t="shared" si="20"/>
        <v>0</v>
      </c>
      <c r="L77" s="62">
        <v>0</v>
      </c>
      <c r="M77" s="62">
        <v>0</v>
      </c>
      <c r="N77" s="23">
        <f t="shared" si="21"/>
        <v>0</v>
      </c>
      <c r="O77" s="57"/>
    </row>
    <row r="78" ht="14.5" spans="2:15">
      <c r="B78" s="66"/>
      <c r="C78" s="25">
        <v>11.7</v>
      </c>
      <c r="D78" s="26" t="s">
        <v>106</v>
      </c>
      <c r="E78" s="27">
        <v>0</v>
      </c>
      <c r="F78" s="27">
        <v>0</v>
      </c>
      <c r="G78" s="27">
        <v>0</v>
      </c>
      <c r="H78" s="27">
        <v>0</v>
      </c>
      <c r="I78" s="27">
        <v>0</v>
      </c>
      <c r="J78" s="27">
        <v>0</v>
      </c>
      <c r="K78" s="23">
        <f t="shared" si="20"/>
        <v>0</v>
      </c>
      <c r="L78" s="62">
        <v>0</v>
      </c>
      <c r="M78" s="62">
        <v>0</v>
      </c>
      <c r="N78" s="23">
        <f t="shared" si="21"/>
        <v>0</v>
      </c>
      <c r="O78" s="57"/>
    </row>
    <row r="79" ht="14.5" spans="2:15">
      <c r="B79" s="66"/>
      <c r="C79" s="25">
        <v>11.8</v>
      </c>
      <c r="D79" s="26" t="s">
        <v>107</v>
      </c>
      <c r="E79" s="27">
        <v>0</v>
      </c>
      <c r="F79" s="27">
        <v>0</v>
      </c>
      <c r="G79" s="27">
        <v>0</v>
      </c>
      <c r="H79" s="27">
        <v>0</v>
      </c>
      <c r="I79" s="27">
        <v>0</v>
      </c>
      <c r="J79" s="27">
        <v>0</v>
      </c>
      <c r="K79" s="23">
        <f t="shared" si="20"/>
        <v>0</v>
      </c>
      <c r="L79" s="62">
        <v>0</v>
      </c>
      <c r="M79" s="62">
        <v>0</v>
      </c>
      <c r="N79" s="23">
        <f t="shared" si="21"/>
        <v>0</v>
      </c>
      <c r="O79" s="57"/>
    </row>
    <row r="80" ht="14.5" spans="2:15">
      <c r="B80" s="64">
        <v>12</v>
      </c>
      <c r="C80" s="68"/>
      <c r="D80" s="69" t="s">
        <v>108</v>
      </c>
      <c r="E80" s="62">
        <v>0</v>
      </c>
      <c r="F80" s="62">
        <v>0</v>
      </c>
      <c r="G80" s="62">
        <v>0</v>
      </c>
      <c r="H80" s="62">
        <v>0</v>
      </c>
      <c r="I80" s="62">
        <v>0</v>
      </c>
      <c r="J80" s="62">
        <v>0</v>
      </c>
      <c r="K80" s="23">
        <f t="shared" si="20"/>
        <v>0</v>
      </c>
      <c r="L80" s="62">
        <v>0</v>
      </c>
      <c r="M80" s="62">
        <v>0</v>
      </c>
      <c r="N80" s="23">
        <f t="shared" si="21"/>
        <v>0</v>
      </c>
      <c r="O80" s="57"/>
    </row>
    <row r="81" ht="14.5" spans="2:15">
      <c r="B81" s="64">
        <v>13</v>
      </c>
      <c r="C81" s="54"/>
      <c r="D81" s="55" t="s">
        <v>109</v>
      </c>
      <c r="E81" s="62">
        <v>0</v>
      </c>
      <c r="F81" s="62">
        <v>0</v>
      </c>
      <c r="G81" s="62">
        <v>0</v>
      </c>
      <c r="H81" s="62">
        <v>0</v>
      </c>
      <c r="I81" s="62">
        <v>0</v>
      </c>
      <c r="J81" s="62">
        <v>0</v>
      </c>
      <c r="K81" s="23">
        <f t="shared" si="20"/>
        <v>0</v>
      </c>
      <c r="L81" s="62">
        <v>0</v>
      </c>
      <c r="M81" s="62">
        <v>0</v>
      </c>
      <c r="N81" s="23">
        <f t="shared" si="21"/>
        <v>0</v>
      </c>
      <c r="O81" s="57"/>
    </row>
    <row r="82" ht="14.5" spans="2:15">
      <c r="B82" s="65">
        <v>14</v>
      </c>
      <c r="C82" s="70"/>
      <c r="D82" s="22" t="s">
        <v>110</v>
      </c>
      <c r="E82" s="23">
        <f t="shared" ref="E82:J82" si="22">SUM(E83:E89)</f>
        <v>0</v>
      </c>
      <c r="F82" s="23">
        <f t="shared" si="22"/>
        <v>0</v>
      </c>
      <c r="G82" s="23">
        <f t="shared" si="22"/>
        <v>0</v>
      </c>
      <c r="H82" s="23">
        <f t="shared" si="22"/>
        <v>0</v>
      </c>
      <c r="I82" s="23">
        <f t="shared" si="22"/>
        <v>0</v>
      </c>
      <c r="J82" s="23">
        <f t="shared" si="22"/>
        <v>0</v>
      </c>
      <c r="K82" s="23">
        <f t="shared" si="20"/>
        <v>0</v>
      </c>
      <c r="L82" s="23">
        <f>SUM(L83:L89)</f>
        <v>0</v>
      </c>
      <c r="M82" s="23">
        <f>SUM(M83:M89)</f>
        <v>0</v>
      </c>
      <c r="N82" s="23">
        <f t="shared" si="21"/>
        <v>0</v>
      </c>
      <c r="O82" s="57"/>
    </row>
    <row r="83" ht="14.5" spans="2:15">
      <c r="B83" s="66"/>
      <c r="C83" s="67">
        <v>14.1</v>
      </c>
      <c r="D83" s="26" t="s">
        <v>111</v>
      </c>
      <c r="E83" s="27">
        <v>0</v>
      </c>
      <c r="F83" s="27">
        <v>0</v>
      </c>
      <c r="G83" s="27">
        <v>0</v>
      </c>
      <c r="H83" s="27">
        <v>0</v>
      </c>
      <c r="I83" s="27">
        <v>0</v>
      </c>
      <c r="J83" s="27">
        <v>0</v>
      </c>
      <c r="K83" s="23">
        <f t="shared" si="20"/>
        <v>0</v>
      </c>
      <c r="L83" s="62">
        <v>0</v>
      </c>
      <c r="M83" s="62">
        <v>0</v>
      </c>
      <c r="N83" s="23">
        <f t="shared" si="21"/>
        <v>0</v>
      </c>
      <c r="O83" s="57"/>
    </row>
    <row r="84" ht="14.5" spans="2:15">
      <c r="B84" s="66"/>
      <c r="C84" s="67">
        <v>14.2</v>
      </c>
      <c r="D84" s="26" t="s">
        <v>112</v>
      </c>
      <c r="E84" s="27">
        <v>0</v>
      </c>
      <c r="F84" s="27">
        <v>0</v>
      </c>
      <c r="G84" s="27">
        <v>0</v>
      </c>
      <c r="H84" s="27">
        <v>0</v>
      </c>
      <c r="I84" s="27">
        <v>0</v>
      </c>
      <c r="J84" s="27">
        <v>0</v>
      </c>
      <c r="K84" s="23">
        <f t="shared" si="20"/>
        <v>0</v>
      </c>
      <c r="L84" s="62">
        <v>0</v>
      </c>
      <c r="M84" s="62">
        <v>0</v>
      </c>
      <c r="N84" s="23">
        <f t="shared" si="21"/>
        <v>0</v>
      </c>
      <c r="O84" s="57"/>
    </row>
    <row r="85" ht="14.5" spans="2:15">
      <c r="B85" s="66"/>
      <c r="C85" s="67">
        <v>14.3</v>
      </c>
      <c r="D85" s="26" t="s">
        <v>113</v>
      </c>
      <c r="E85" s="27">
        <v>0</v>
      </c>
      <c r="F85" s="27">
        <v>0</v>
      </c>
      <c r="G85" s="27">
        <v>0</v>
      </c>
      <c r="H85" s="27">
        <v>0</v>
      </c>
      <c r="I85" s="27">
        <v>0</v>
      </c>
      <c r="J85" s="27">
        <v>0</v>
      </c>
      <c r="K85" s="23">
        <f t="shared" si="20"/>
        <v>0</v>
      </c>
      <c r="L85" s="62">
        <v>0</v>
      </c>
      <c r="M85" s="62">
        <v>0</v>
      </c>
      <c r="N85" s="23">
        <f t="shared" si="21"/>
        <v>0</v>
      </c>
      <c r="O85" s="57"/>
    </row>
    <row r="86" ht="14.5" spans="2:15">
      <c r="B86" s="66"/>
      <c r="C86" s="67">
        <v>14.4</v>
      </c>
      <c r="D86" s="26" t="s">
        <v>114</v>
      </c>
      <c r="E86" s="27">
        <v>0</v>
      </c>
      <c r="F86" s="27">
        <v>0</v>
      </c>
      <c r="G86" s="27">
        <v>0</v>
      </c>
      <c r="H86" s="27">
        <v>0</v>
      </c>
      <c r="I86" s="27">
        <v>0</v>
      </c>
      <c r="J86" s="27">
        <v>0</v>
      </c>
      <c r="K86" s="23">
        <f t="shared" si="20"/>
        <v>0</v>
      </c>
      <c r="L86" s="62">
        <v>0</v>
      </c>
      <c r="M86" s="62">
        <v>0</v>
      </c>
      <c r="N86" s="23">
        <f t="shared" si="21"/>
        <v>0</v>
      </c>
      <c r="O86" s="57"/>
    </row>
    <row r="87" ht="14.5" spans="2:15">
      <c r="B87" s="53"/>
      <c r="C87" s="67">
        <v>14.5</v>
      </c>
      <c r="D87" s="26" t="s">
        <v>115</v>
      </c>
      <c r="E87" s="27">
        <v>0</v>
      </c>
      <c r="F87" s="27">
        <v>0</v>
      </c>
      <c r="G87" s="27">
        <v>0</v>
      </c>
      <c r="H87" s="27">
        <v>0</v>
      </c>
      <c r="I87" s="27">
        <v>0</v>
      </c>
      <c r="J87" s="27">
        <v>0</v>
      </c>
      <c r="K87" s="23">
        <f t="shared" si="20"/>
        <v>0</v>
      </c>
      <c r="L87" s="62">
        <v>0</v>
      </c>
      <c r="M87" s="62">
        <v>0</v>
      </c>
      <c r="N87" s="23">
        <f t="shared" si="21"/>
        <v>0</v>
      </c>
      <c r="O87" s="57"/>
    </row>
    <row r="88" ht="14.5" spans="2:15">
      <c r="B88" s="53"/>
      <c r="C88" s="67">
        <v>14.6</v>
      </c>
      <c r="D88" s="26" t="s">
        <v>116</v>
      </c>
      <c r="E88" s="27">
        <v>0</v>
      </c>
      <c r="F88" s="27">
        <v>0</v>
      </c>
      <c r="G88" s="27">
        <v>0</v>
      </c>
      <c r="H88" s="27">
        <v>0</v>
      </c>
      <c r="I88" s="27">
        <v>0</v>
      </c>
      <c r="J88" s="27">
        <v>0</v>
      </c>
      <c r="K88" s="23">
        <f t="shared" si="20"/>
        <v>0</v>
      </c>
      <c r="L88" s="62">
        <v>0</v>
      </c>
      <c r="M88" s="62">
        <v>0</v>
      </c>
      <c r="N88" s="23">
        <f t="shared" si="21"/>
        <v>0</v>
      </c>
      <c r="O88" s="57"/>
    </row>
    <row r="89" ht="14.5" spans="2:15">
      <c r="B89" s="53"/>
      <c r="C89" s="67">
        <v>14.7</v>
      </c>
      <c r="D89" s="26" t="s">
        <v>117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7">
        <v>0</v>
      </c>
      <c r="K89" s="23">
        <f t="shared" si="20"/>
        <v>0</v>
      </c>
      <c r="L89" s="62">
        <v>0</v>
      </c>
      <c r="M89" s="62">
        <v>0</v>
      </c>
      <c r="N89" s="23">
        <f t="shared" si="21"/>
        <v>0</v>
      </c>
      <c r="O89" s="57"/>
    </row>
    <row r="90" ht="14.5" spans="2:15">
      <c r="B90" s="71">
        <v>15</v>
      </c>
      <c r="C90" s="72"/>
      <c r="D90" s="73" t="s">
        <v>118</v>
      </c>
      <c r="E90" s="23">
        <f t="shared" ref="E90:M90" si="23">E9+E17+E21+E28+E32+E42+E45+E52+E65+E71+E72+E81+E80+E82</f>
        <v>0</v>
      </c>
      <c r="F90" s="23">
        <f t="shared" si="23"/>
        <v>0</v>
      </c>
      <c r="G90" s="23">
        <f t="shared" si="23"/>
        <v>0</v>
      </c>
      <c r="H90" s="23">
        <f t="shared" si="23"/>
        <v>0</v>
      </c>
      <c r="I90" s="23">
        <f t="shared" si="23"/>
        <v>0</v>
      </c>
      <c r="J90" s="23">
        <f t="shared" si="23"/>
        <v>0</v>
      </c>
      <c r="K90" s="23">
        <f t="shared" si="23"/>
        <v>0</v>
      </c>
      <c r="L90" s="23">
        <f t="shared" si="23"/>
        <v>0</v>
      </c>
      <c r="M90" s="23">
        <f t="shared" si="23"/>
        <v>0</v>
      </c>
      <c r="N90" s="23">
        <f t="shared" si="21"/>
        <v>0</v>
      </c>
      <c r="O90" s="57"/>
    </row>
    <row r="91" ht="14.5" spans="2:15">
      <c r="B91" s="74"/>
      <c r="C91" s="75"/>
      <c r="D91" s="76" t="s">
        <v>119</v>
      </c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8"/>
    </row>
    <row r="92" ht="14.5"/>
    <row r="93" ht="14.5" hidden="1"/>
  </sheetData>
  <sheetProtection password="DE1B" sheet="1" objects="1" scenarios="1"/>
  <mergeCells count="6">
    <mergeCell ref="B2:N2"/>
    <mergeCell ref="C3:D3"/>
    <mergeCell ref="C4:D4"/>
    <mergeCell ref="C5:D5"/>
    <mergeCell ref="E91:N91"/>
    <mergeCell ref="E3:N5"/>
  </mergeCells>
  <dataValidations count="1">
    <dataValidation type="whole" operator="between" allowBlank="1" showInputMessage="1" showErrorMessage="1" sqref="E9:N90">
      <formula1>-1000000000</formula1>
      <formula2>1000000000</formula2>
    </dataValidation>
  </dataValidations>
  <pageMargins left="0.7" right="0.7" top="0.75" bottom="0.75" header="0.3" footer="0.3"/>
  <pageSetup paperSize="9" scale="37" fitToHeight="0" orientation="portrait" horizontalDpi="600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BRF207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2021-01-03T08:16:10Z</dcterms:created>
  <dcterms:modified xsi:type="dcterms:W3CDTF">2024-02-22T05:44:52Z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etDate">
    <vt:lpwstr>2021-08-11T11:29:04Z</vt:lpwstr>
  </property>
  <property fmtid="{D5CDD505-2E9C-101B-9397-08002B2CF9AE}" pid="4" name="MSIP_Label_1d9e9404-3739-4dbf-9fa8-b6ae9df09a7a_Method">
    <vt:lpwstr>Standard</vt:lpwstr>
  </property>
  <property fmtid="{D5CDD505-2E9C-101B-9397-08002B2CF9AE}" pid="5" name="MSIP_Label_1d9e9404-3739-4dbf-9fa8-b6ae9df09a7a_Name">
    <vt:lpwstr>Personal</vt:lpwstr>
  </property>
  <property fmtid="{D5CDD505-2E9C-101B-9397-08002B2CF9AE}" pid="6" name="MSIP_Label_1d9e9404-3739-4dbf-9fa8-b6ae9df09a7a_SiteId">
    <vt:lpwstr>fba6ee03-9647-4c58-86a3-db85ac6de45e</vt:lpwstr>
  </property>
  <property fmtid="{D5CDD505-2E9C-101B-9397-08002B2CF9AE}" pid="7" name="MSIP_Label_1d9e9404-3739-4dbf-9fa8-b6ae9df09a7a_ActionId">
    <vt:lpwstr>3a2dab49-402c-4bee-914d-7441da1b35e1</vt:lpwstr>
  </property>
  <property fmtid="{D5CDD505-2E9C-101B-9397-08002B2CF9AE}" pid="8" name="MSIP_Label_1d9e9404-3739-4dbf-9fa8-b6ae9df09a7a_ContentBits">
    <vt:lpwstr>1</vt:lpwstr>
  </property>
  <property fmtid="{D5CDD505-2E9C-101B-9397-08002B2CF9AE}" pid="9" name="ICV">
    <vt:lpwstr>7215C53CDAF8408AA8D2C601D63F1159_13</vt:lpwstr>
  </property>
  <property fmtid="{D5CDD505-2E9C-101B-9397-08002B2CF9AE}" pid="10" name="KSOProductBuildVer">
    <vt:lpwstr>1033-12.2.0.13431</vt:lpwstr>
  </property>
</Properties>
</file>