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56- EMIRATESASSETS" sheetId="1" r:id="rId1"/>
  </sheets>
  <externalReferences>
    <externalReference r:id="rId2"/>
  </externalReferences>
  <definedNames>
    <definedName name="_8.1.1">#REF!</definedName>
    <definedName name="_xlnm.Print_Area" localSheetId="0">'BRF 56- EMIRATESASSETS'!$B$7:$AM$79</definedName>
    <definedName name="_xlnm.Print_Titles" localSheetId="0">'BRF 56- EMIRATESASSETS'!$7:$9</definedName>
  </definedNames>
  <calcPr calcId="144525" fullCalcOnLoad="1"/>
</workbook>
</file>

<file path=xl/sharedStrings.xml><?xml version="1.0" encoding="utf-8"?>
<sst xmlns="http://schemas.openxmlformats.org/spreadsheetml/2006/main" count="143" uniqueCount="95">
  <si>
    <t xml:space="preserve">          BANKING AND MONETARY STATISTICS-  EMIRATE- WISE CLASSIFICATION OF LOANS &amp; ADVANCES- BRF 56  (AED IN 000)</t>
  </si>
  <si>
    <t>Template ID:</t>
  </si>
  <si>
    <t>4-56-1-0</t>
  </si>
  <si>
    <t xml:space="preserve">Name of Bank : </t>
  </si>
  <si>
    <t>Bank of Baroda</t>
  </si>
  <si>
    <t>Month End:</t>
  </si>
  <si>
    <t>BRF item Nos</t>
  </si>
  <si>
    <t>Number of customers</t>
  </si>
  <si>
    <t xml:space="preserve">TOTAL </t>
  </si>
  <si>
    <t>ABU DHABI</t>
  </si>
  <si>
    <t>DUBAI</t>
  </si>
  <si>
    <t>SHARJAH</t>
  </si>
  <si>
    <t>AJMAN</t>
  </si>
  <si>
    <t>RAS AL KHAIMA</t>
  </si>
  <si>
    <t>UMM AL QWAIN</t>
  </si>
  <si>
    <t>FUJAIRAH</t>
  </si>
  <si>
    <t>Number of Accounts</t>
  </si>
  <si>
    <t>Amount</t>
  </si>
  <si>
    <t xml:space="preserve">         RESIDENT</t>
  </si>
  <si>
    <t xml:space="preserve"> NON-RESIDENT</t>
  </si>
  <si>
    <t>No</t>
  </si>
  <si>
    <t>ASSETS</t>
  </si>
  <si>
    <t>Male</t>
  </si>
  <si>
    <t>Female</t>
  </si>
  <si>
    <t>Entities</t>
  </si>
  <si>
    <t>Total</t>
  </si>
  <si>
    <t>Nos</t>
  </si>
  <si>
    <t>NON BANKING FINANCIAL INSTITUTIONS</t>
  </si>
  <si>
    <t>Loans and advances</t>
  </si>
  <si>
    <t>Placements</t>
  </si>
  <si>
    <t>Lending covered by repurchase agreements</t>
  </si>
  <si>
    <t>TRADE BILLS</t>
  </si>
  <si>
    <t xml:space="preserve">TRADE BILLS DISCOUNTED- Gov &amp; Public </t>
  </si>
  <si>
    <t>7.1.1</t>
  </si>
  <si>
    <t>Inland trade bills/ PDCs</t>
  </si>
  <si>
    <t>7.1.2</t>
  </si>
  <si>
    <t>Foreign trade bills (Import and export)</t>
  </si>
  <si>
    <t>TRADE BILLS DISCOUNTED- Private</t>
  </si>
  <si>
    <t>7.2.1</t>
  </si>
  <si>
    <t>7.2.2</t>
  </si>
  <si>
    <t>LOANS &amp; ADVANCES (GROSS) excl # 7</t>
  </si>
  <si>
    <t>Government &amp; Public Sector</t>
  </si>
  <si>
    <t>8.1.1</t>
  </si>
  <si>
    <t xml:space="preserve">Federal Govt </t>
  </si>
  <si>
    <t>8.1.2</t>
  </si>
  <si>
    <t>Non Commercial entities (Federal Govt)</t>
  </si>
  <si>
    <t>8.1.3</t>
  </si>
  <si>
    <t>Local Governments</t>
  </si>
  <si>
    <t>8.1.4</t>
  </si>
  <si>
    <t>Non-commercial entities (Emirates Govt)</t>
  </si>
  <si>
    <t>8.1.5</t>
  </si>
  <si>
    <t>GREs (Govt ownership more than 50%) (BRF 52 C)</t>
  </si>
  <si>
    <t>8.2</t>
  </si>
  <si>
    <t>Private Sector (corporate)</t>
  </si>
  <si>
    <t>8.2.1</t>
  </si>
  <si>
    <t>Corporates with Govt ownership of less than 50%</t>
  </si>
  <si>
    <t>8.2.2</t>
  </si>
  <si>
    <t>Other corporates</t>
  </si>
  <si>
    <t>8.2.3</t>
  </si>
  <si>
    <t>High Networth Individuals (HNI)</t>
  </si>
  <si>
    <t>8.2.4</t>
  </si>
  <si>
    <t>Small &amp; Medium Enterprises (SMEs)</t>
  </si>
  <si>
    <t>Individuals (BRF 31)</t>
  </si>
  <si>
    <t>8.3.1</t>
  </si>
  <si>
    <t>UAE Nationals</t>
  </si>
  <si>
    <t>8.3.1.1</t>
  </si>
  <si>
    <t>Personal consumer loans</t>
  </si>
  <si>
    <t>8.3.1.2</t>
  </si>
  <si>
    <t>Car loans</t>
  </si>
  <si>
    <t>8.3.1.3</t>
  </si>
  <si>
    <t>Overdraft</t>
  </si>
  <si>
    <t>8.3.1.4</t>
  </si>
  <si>
    <t>Credit card outstanding</t>
  </si>
  <si>
    <t>8.3.1.5</t>
  </si>
  <si>
    <t xml:space="preserve">Refinanced Government Housing Loans </t>
  </si>
  <si>
    <t>8.3.1.6</t>
  </si>
  <si>
    <t>Other Real Estate/ housing loans</t>
  </si>
  <si>
    <t>8.3.1.7</t>
  </si>
  <si>
    <t>Loans against shares to individuals</t>
  </si>
  <si>
    <t>8.3.1.8</t>
  </si>
  <si>
    <t>Other loans to individuals</t>
  </si>
  <si>
    <t>8.3.1.9</t>
  </si>
  <si>
    <t>Small business loans (upto AED 2 Million)</t>
  </si>
  <si>
    <t>8.3.2</t>
  </si>
  <si>
    <t>Non-  UAE Nationals</t>
  </si>
  <si>
    <t>8.3.2.1</t>
  </si>
  <si>
    <t>8.3.2.2</t>
  </si>
  <si>
    <t>8.3.2.3</t>
  </si>
  <si>
    <t>8.3.2.4</t>
  </si>
  <si>
    <t>8.3.2.5</t>
  </si>
  <si>
    <t>Real Estate/ housing loans</t>
  </si>
  <si>
    <t>8.3.2.6</t>
  </si>
  <si>
    <t>8.3.2.7</t>
  </si>
  <si>
    <t>8.3.2.8</t>
  </si>
  <si>
    <t xml:space="preserve">FORM NO: BSD/ BRF 56-EMIRATES ASSETS/JUN14          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</si>
</sst>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27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9" applyNumberFormat="0" applyAlignment="0" applyProtection="0"/>
    <xf numFmtId="0" fontId="16" fillId="9" borderId="10" applyNumberFormat="0" applyAlignment="0" applyProtection="0"/>
    <xf numFmtId="0" fontId="17" fillId="9" borderId="9" applyNumberFormat="0" applyAlignment="0" applyProtection="0"/>
    <xf numFmtId="0" fontId="18" fillId="10" borderId="11" applyNumberFormat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4" fillId="36" borderId="0" applyNumberFormat="0" applyBorder="0" applyAlignment="0" applyProtection="0"/>
    <xf numFmtId="43" fontId="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51" applyFont="1" applyFill="1" applyBorder="1" applyAlignment="1">
      <alignment wrapText="1"/>
    </xf>
    <xf numFmtId="0" fontId="1" fillId="0" borderId="0" xfId="51" applyFont="1" applyFill="1" applyBorder="1"/>
    <xf numFmtId="0" fontId="1" fillId="0" borderId="0" xfId="51" applyFont="1" applyFill="1" applyBorder="1" applyAlignment="1">
      <alignment horizontal="right"/>
    </xf>
    <xf numFmtId="0" fontId="2" fillId="2" borderId="1" xfId="54" applyFont="1" applyFill="1" applyBorder="1" applyAlignment="1" applyProtection="1">
      <alignment horizontal="center"/>
    </xf>
    <xf numFmtId="0" fontId="3" fillId="3" borderId="1" xfId="50" applyFont="1" applyFill="1" applyBorder="1" applyAlignment="1"/>
    <xf numFmtId="0" fontId="4" fillId="0" borderId="1" xfId="0" applyFont="1" applyBorder="1" applyAlignment="1">
      <alignment horizontal="center"/>
    </xf>
    <xf numFmtId="15" fontId="2" fillId="0" borderId="1" xfId="51" applyNumberFormat="1" applyFont="1" applyFill="1" applyBorder="1" applyAlignment="1" applyProtection="1">
      <alignment horizontal="center"/>
    </xf>
    <xf numFmtId="15" fontId="2" fillId="2" borderId="1" xfId="51" applyNumberFormat="1" applyFont="1" applyFill="1" applyBorder="1" applyAlignment="1">
      <alignment horizontal="left"/>
    </xf>
    <xf numFmtId="0" fontId="2" fillId="2" borderId="1" xfId="51" applyFont="1" applyFill="1" applyBorder="1"/>
    <xf numFmtId="0" fontId="1" fillId="0" borderId="2" xfId="51" applyFont="1" applyFill="1" applyBorder="1" applyAlignment="1">
      <alignment horizontal="center"/>
    </xf>
    <xf numFmtId="0" fontId="1" fillId="0" borderId="3" xfId="51" applyFont="1" applyFill="1" applyBorder="1" applyAlignment="1">
      <alignment horizontal="center"/>
    </xf>
    <xf numFmtId="15" fontId="2" fillId="4" borderId="1" xfId="51" applyNumberFormat="1" applyFont="1" applyFill="1" applyBorder="1" applyAlignment="1">
      <alignment horizontal="center"/>
    </xf>
    <xf numFmtId="0" fontId="2" fillId="4" borderId="1" xfId="51" applyFont="1" applyFill="1" applyBorder="1" applyAlignment="1">
      <alignment horizontal="center"/>
    </xf>
    <xf numFmtId="0" fontId="1" fillId="4" borderId="1" xfId="51" applyFont="1" applyFill="1" applyBorder="1"/>
    <xf numFmtId="15" fontId="1" fillId="4" borderId="1" xfId="51" applyNumberFormat="1" applyFont="1" applyFill="1" applyBorder="1" applyAlignment="1">
      <alignment horizontal="right"/>
    </xf>
    <xf numFmtId="0" fontId="2" fillId="4" borderId="1" xfId="51" applyFont="1" applyFill="1" applyBorder="1" applyAlignment="1">
      <alignment wrapText="1"/>
    </xf>
    <xf numFmtId="0" fontId="1" fillId="4" borderId="1" xfId="51" applyFont="1" applyFill="1" applyBorder="1" applyAlignment="1">
      <alignment horizontal="right" wrapText="1"/>
    </xf>
    <xf numFmtId="0" fontId="2" fillId="4" borderId="1" xfId="51" applyFont="1" applyFill="1" applyBorder="1" applyAlignment="1">
      <alignment horizontal="left" wrapText="1"/>
    </xf>
    <xf numFmtId="0" fontId="2" fillId="5" borderId="1" xfId="51" applyFont="1" applyFill="1" applyBorder="1" applyAlignment="1">
      <alignment horizontal="left" wrapText="1"/>
    </xf>
    <xf numFmtId="0" fontId="1" fillId="4" borderId="1" xfId="51" applyFont="1" applyFill="1" applyBorder="1" applyAlignment="1">
      <alignment wrapText="1"/>
    </xf>
    <xf numFmtId="0" fontId="2" fillId="2" borderId="1" xfId="51" applyFont="1" applyFill="1" applyBorder="1" applyAlignment="1">
      <alignment wrapText="1"/>
    </xf>
    <xf numFmtId="0" fontId="1" fillId="6" borderId="1" xfId="51" applyFont="1" applyFill="1" applyBorder="1" applyAlignment="1">
      <alignment wrapText="1"/>
    </xf>
    <xf numFmtId="0" fontId="1" fillId="0" borderId="1" xfId="51" applyFont="1" applyFill="1" applyBorder="1" applyAlignment="1">
      <alignment horizontal="right" wrapText="1"/>
    </xf>
    <xf numFmtId="0" fontId="1" fillId="0" borderId="1" xfId="51" applyFont="1" applyFill="1" applyBorder="1" applyAlignment="1">
      <alignment wrapText="1"/>
    </xf>
    <xf numFmtId="0" fontId="1" fillId="0" borderId="1" xfId="51" applyFont="1" applyFill="1" applyBorder="1" applyAlignment="1" applyProtection="1">
      <alignment wrapText="1"/>
      <protection locked="0"/>
    </xf>
    <xf numFmtId="0" fontId="1" fillId="0" borderId="1" xfId="51" applyFont="1" applyFill="1" applyBorder="1" applyAlignment="1"/>
    <xf numFmtId="0" fontId="1" fillId="4" borderId="1" xfId="51" applyFont="1" applyFill="1" applyBorder="1" applyAlignment="1"/>
    <xf numFmtId="0" fontId="2" fillId="6" borderId="1" xfId="51" applyFont="1" applyFill="1" applyBorder="1" applyAlignment="1">
      <alignment wrapText="1"/>
    </xf>
    <xf numFmtId="176" fontId="1" fillId="0" borderId="1" xfId="54" applyNumberFormat="1" applyFont="1" applyFill="1" applyBorder="1" applyAlignment="1">
      <alignment horizontal="right" wrapText="1"/>
    </xf>
    <xf numFmtId="0" fontId="1" fillId="0" borderId="1" xfId="54" applyFont="1" applyFill="1" applyBorder="1" applyAlignment="1">
      <alignment wrapText="1"/>
    </xf>
    <xf numFmtId="0" fontId="1" fillId="4" borderId="1" xfId="54" applyFont="1" applyFill="1" applyBorder="1" applyAlignment="1">
      <alignment wrapText="1"/>
    </xf>
    <xf numFmtId="0" fontId="1" fillId="2" borderId="1" xfId="51" applyFont="1" applyFill="1" applyBorder="1" applyAlignment="1">
      <alignment wrapText="1"/>
    </xf>
    <xf numFmtId="0" fontId="2" fillId="2" borderId="1" xfId="51" applyFont="1" applyFill="1" applyBorder="1" applyAlignment="1">
      <alignment horizontal="right" wrapText="1"/>
    </xf>
    <xf numFmtId="49" fontId="1" fillId="6" borderId="1" xfId="51" applyNumberFormat="1" applyFont="1" applyFill="1" applyBorder="1"/>
    <xf numFmtId="0" fontId="1" fillId="0" borderId="1" xfId="60" applyFont="1" applyFill="1" applyBorder="1" applyAlignment="1">
      <alignment horizontal="left" wrapText="1"/>
    </xf>
    <xf numFmtId="0" fontId="1" fillId="4" borderId="1" xfId="60" applyFont="1" applyFill="1" applyBorder="1" applyAlignment="1">
      <alignment horizontal="left" wrapText="1"/>
    </xf>
    <xf numFmtId="49" fontId="2" fillId="6" borderId="1" xfId="51" applyNumberFormat="1" applyFont="1" applyFill="1" applyBorder="1"/>
    <xf numFmtId="0" fontId="1" fillId="0" borderId="1" xfId="51" applyFont="1" applyFill="1" applyBorder="1" applyAlignment="1">
      <alignment horizontal="left" wrapText="1"/>
    </xf>
    <xf numFmtId="0" fontId="1" fillId="4" borderId="1" xfId="51" applyFont="1" applyFill="1" applyBorder="1" applyAlignment="1">
      <alignment horizontal="left" wrapText="1"/>
    </xf>
    <xf numFmtId="49" fontId="1" fillId="0" borderId="1" xfId="51" applyNumberFormat="1" applyFont="1" applyFill="1" applyBorder="1" applyAlignment="1">
      <alignment horizontal="right"/>
    </xf>
    <xf numFmtId="0" fontId="1" fillId="0" borderId="1" xfId="51" applyFont="1" applyFill="1" applyBorder="1" applyAlignment="1">
      <alignment horizontal="left"/>
    </xf>
    <xf numFmtId="0" fontId="2" fillId="4" borderId="1" xfId="51" applyFont="1" applyFill="1" applyBorder="1" applyAlignment="1">
      <alignment horizontal="right" wrapText="1"/>
    </xf>
    <xf numFmtId="0" fontId="1" fillId="4" borderId="1" xfId="51" applyFont="1" applyFill="1" applyBorder="1" applyAlignment="1">
      <alignment horizontal="left"/>
    </xf>
    <xf numFmtId="176" fontId="1" fillId="6" borderId="1" xfId="51" applyNumberFormat="1" applyFont="1" applyFill="1" applyBorder="1"/>
    <xf numFmtId="0" fontId="1" fillId="5" borderId="1" xfId="51" applyFont="1" applyFill="1" applyBorder="1" applyAlignment="1">
      <alignment horizontal="left"/>
    </xf>
    <xf numFmtId="0" fontId="1" fillId="0" borderId="1" xfId="51" applyFont="1" applyFill="1" applyBorder="1" applyAlignment="1" applyProtection="1">
      <protection locked="0"/>
    </xf>
    <xf numFmtId="0" fontId="1" fillId="5" borderId="1" xfId="51" applyFont="1" applyFill="1" applyBorder="1" applyAlignment="1">
      <alignment wrapText="1"/>
    </xf>
    <xf numFmtId="0" fontId="2" fillId="5" borderId="1" xfId="51" applyFont="1" applyFill="1" applyBorder="1" applyAlignment="1">
      <alignment wrapText="1"/>
    </xf>
    <xf numFmtId="0" fontId="5" fillId="5" borderId="1" xfId="51" applyFont="1" applyFill="1" applyBorder="1" applyAlignment="1">
      <alignment wrapText="1"/>
    </xf>
    <xf numFmtId="0" fontId="5" fillId="0" borderId="1" xfId="51" applyFont="1" applyFill="1" applyBorder="1" applyAlignment="1" applyProtection="1">
      <alignment wrapText="1"/>
      <protection locked="0"/>
    </xf>
    <xf numFmtId="0" fontId="5" fillId="5" borderId="1" xfId="54" applyFont="1" applyFill="1" applyBorder="1" applyAlignment="1">
      <alignment wrapText="1"/>
    </xf>
    <xf numFmtId="0" fontId="1" fillId="6" borderId="1" xfId="51" applyFont="1" applyFill="1" applyBorder="1"/>
    <xf numFmtId="0" fontId="1" fillId="4" borderId="1" xfId="51" applyFont="1" applyFill="1" applyBorder="1" applyAlignment="1">
      <alignment horizontal="right"/>
    </xf>
    <xf numFmtId="0" fontId="5" fillId="4" borderId="2" xfId="61" applyFont="1" applyFill="1" applyBorder="1" applyAlignment="1">
      <alignment horizontal="left" vertical="center"/>
    </xf>
    <xf numFmtId="0" fontId="5" fillId="4" borderId="3" xfId="61" applyFont="1" applyFill="1" applyBorder="1" applyAlignment="1">
      <alignment horizontal="left" vertical="center"/>
    </xf>
    <xf numFmtId="0" fontId="4" fillId="4" borderId="1" xfId="0" applyFont="1" applyFill="1" applyBorder="1" applyAlignment="1"/>
    <xf numFmtId="0" fontId="2" fillId="4" borderId="1" xfId="5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1" fillId="2" borderId="1" xfId="51" applyFont="1" applyFill="1" applyBorder="1"/>
    <xf numFmtId="0" fontId="1" fillId="0" borderId="4" xfId="51" applyFont="1" applyFill="1" applyBorder="1" applyAlignment="1">
      <alignment horizontal="center"/>
    </xf>
    <xf numFmtId="0" fontId="5" fillId="4" borderId="4" xfId="61" applyFont="1" applyFill="1" applyBorder="1" applyAlignment="1">
      <alignment horizontal="left" vertical="center"/>
    </xf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1" xfId="60"/>
    <cellStyle name="Normal_UNB KEY INFORMATION REPORT 2011 Template1_Central Bank Returns - 31 December 2011" xfId="61"/>
    <cellStyle name="Percent 2" xfId="62"/>
    <cellStyle name="Percent 3" xfId="63"/>
  </cellStyles>
  <tableStyles count="0" defaultTableStyle="TableStyleMedium9" defaultPivotStyle="PivotStyleLight16"/>
  <colors>
    <mruColors>
      <color rgb="00969696"/>
      <color rgb="00FFFF00"/>
      <color rgb="00FFFFFF"/>
      <color rgb="00808080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25092013%20Formula%20Batch%20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58- EMIRATEWISE A&amp;L"/>
      <sheetName val="BRF 59-RE EXPOSURE"/>
      <sheetName val="BRF 60- ECO ACTIVITY"/>
      <sheetName val="BRF 61- COUNTRY EXP"/>
      <sheetName val="BRF 62- SHARES LOANS 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39"/>
  </sheetPr>
  <dimension ref="B1:AM79"/>
  <sheetViews>
    <sheetView showGridLines="0" tabSelected="1" zoomScaleSheetLayoutView="60" topLeftCell="A34" workbookViewId="0">
      <selection activeCell="D53" sqref="D53:AM53"/>
    </sheetView>
  </sheetViews>
  <sheetFormatPr defaultColWidth="0" defaultRowHeight="15" customHeight="1" zeroHeight="1"/>
  <cols>
    <col min="1" max="1" width="3" style="2" customWidth="1"/>
    <col min="2" max="2" width="13.1363636363636" style="2"/>
    <col min="3" max="3" width="6.70909090909091" style="3" customWidth="1"/>
    <col min="4" max="4" width="38" style="2"/>
    <col min="5" max="6" width="5.70909090909091" style="2" customWidth="1"/>
    <col min="7" max="7" width="7.28181818181818" style="2" customWidth="1"/>
    <col min="8" max="9" width="5.70909090909091" style="2" customWidth="1"/>
    <col min="10" max="10" width="7.28181818181818" style="2"/>
    <col min="11" max="11" width="1.70909090909091" style="2" customWidth="1"/>
    <col min="12" max="39" width="5.70909090909091" style="2" customWidth="1"/>
    <col min="40" max="40" width="9.13636363636364" style="2" customWidth="1"/>
    <col min="41" max="16384" width="0" style="2" hidden="1"/>
  </cols>
  <sheetData>
    <row r="1" customHeight="1"/>
    <row r="2" customHeight="1" spans="2:39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customHeight="1" spans="2:39">
      <c r="B3" s="5" t="s">
        <v>1</v>
      </c>
      <c r="C3" s="6" t="s">
        <v>2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customHeight="1" spans="2:39">
      <c r="B4" s="8" t="s">
        <v>3</v>
      </c>
      <c r="C4" s="6" t="s">
        <v>4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customHeight="1" spans="2:39">
      <c r="B5" s="9" t="s">
        <v>5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customHeight="1" spans="2:39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60"/>
    </row>
    <row r="7" ht="20.1" customHeight="1" spans="2:39">
      <c r="B7" s="12" t="s">
        <v>6</v>
      </c>
      <c r="C7" s="12"/>
      <c r="D7" s="13"/>
      <c r="E7" s="13" t="s">
        <v>7</v>
      </c>
      <c r="F7" s="13"/>
      <c r="G7" s="13"/>
      <c r="H7" s="13"/>
      <c r="I7" s="13" t="s">
        <v>8</v>
      </c>
      <c r="J7" s="13"/>
      <c r="K7" s="13"/>
      <c r="L7" s="13" t="s">
        <v>9</v>
      </c>
      <c r="M7" s="13"/>
      <c r="N7" s="13"/>
      <c r="O7" s="56"/>
      <c r="P7" s="13" t="s">
        <v>10</v>
      </c>
      <c r="Q7" s="13"/>
      <c r="R7" s="13"/>
      <c r="S7" s="56"/>
      <c r="T7" s="13" t="s">
        <v>11</v>
      </c>
      <c r="U7" s="13"/>
      <c r="V7" s="13"/>
      <c r="W7" s="56"/>
      <c r="X7" s="13" t="s">
        <v>12</v>
      </c>
      <c r="Y7" s="13"/>
      <c r="Z7" s="13"/>
      <c r="AA7" s="56"/>
      <c r="AB7" s="13" t="s">
        <v>13</v>
      </c>
      <c r="AC7" s="13"/>
      <c r="AD7" s="13"/>
      <c r="AE7" s="56"/>
      <c r="AF7" s="13" t="s">
        <v>14</v>
      </c>
      <c r="AG7" s="13"/>
      <c r="AH7" s="13"/>
      <c r="AI7" s="56"/>
      <c r="AJ7" s="13" t="s">
        <v>15</v>
      </c>
      <c r="AK7" s="13"/>
      <c r="AL7" s="13"/>
      <c r="AM7" s="56"/>
    </row>
    <row r="8" ht="20.1" customHeight="1" spans="2:39">
      <c r="B8" s="14"/>
      <c r="C8" s="15"/>
      <c r="D8" s="14"/>
      <c r="E8" s="13"/>
      <c r="F8" s="13"/>
      <c r="G8" s="13"/>
      <c r="H8" s="13"/>
      <c r="I8" s="57" t="s">
        <v>16</v>
      </c>
      <c r="J8" s="13" t="s">
        <v>17</v>
      </c>
      <c r="K8" s="14"/>
      <c r="L8" s="13" t="s">
        <v>18</v>
      </c>
      <c r="M8" s="56"/>
      <c r="N8" s="13" t="s">
        <v>19</v>
      </c>
      <c r="O8" s="58"/>
      <c r="P8" s="13" t="s">
        <v>18</v>
      </c>
      <c r="Q8" s="56"/>
      <c r="R8" s="13" t="s">
        <v>19</v>
      </c>
      <c r="S8" s="58"/>
      <c r="T8" s="13" t="s">
        <v>18</v>
      </c>
      <c r="U8" s="56"/>
      <c r="V8" s="13" t="s">
        <v>19</v>
      </c>
      <c r="W8" s="58"/>
      <c r="X8" s="13" t="s">
        <v>18</v>
      </c>
      <c r="Y8" s="56"/>
      <c r="Z8" s="13" t="s">
        <v>19</v>
      </c>
      <c r="AA8" s="58"/>
      <c r="AB8" s="13" t="s">
        <v>18</v>
      </c>
      <c r="AC8" s="56"/>
      <c r="AD8" s="13" t="s">
        <v>19</v>
      </c>
      <c r="AE8" s="58"/>
      <c r="AF8" s="13" t="s">
        <v>18</v>
      </c>
      <c r="AG8" s="56"/>
      <c r="AH8" s="13" t="s">
        <v>19</v>
      </c>
      <c r="AI8" s="58"/>
      <c r="AJ8" s="13" t="s">
        <v>18</v>
      </c>
      <c r="AK8" s="56"/>
      <c r="AL8" s="13" t="s">
        <v>19</v>
      </c>
      <c r="AM8" s="58"/>
    </row>
    <row r="9" s="1" customFormat="1" ht="43.5" customHeight="1" spans="2:39">
      <c r="B9" s="16" t="s">
        <v>20</v>
      </c>
      <c r="C9" s="17"/>
      <c r="D9" s="18" t="s">
        <v>21</v>
      </c>
      <c r="E9" s="18" t="s">
        <v>22</v>
      </c>
      <c r="F9" s="18" t="s">
        <v>23</v>
      </c>
      <c r="G9" s="19" t="s">
        <v>24</v>
      </c>
      <c r="H9" s="18" t="s">
        <v>25</v>
      </c>
      <c r="I9" s="57"/>
      <c r="J9" s="13"/>
      <c r="K9" s="20"/>
      <c r="L9" s="18" t="s">
        <v>26</v>
      </c>
      <c r="M9" s="16" t="s">
        <v>17</v>
      </c>
      <c r="N9" s="57" t="s">
        <v>26</v>
      </c>
      <c r="O9" s="16" t="s">
        <v>17</v>
      </c>
      <c r="P9" s="18" t="s">
        <v>26</v>
      </c>
      <c r="Q9" s="16" t="s">
        <v>17</v>
      </c>
      <c r="R9" s="57" t="s">
        <v>26</v>
      </c>
      <c r="S9" s="16" t="s">
        <v>17</v>
      </c>
      <c r="T9" s="18" t="s">
        <v>26</v>
      </c>
      <c r="U9" s="16" t="s">
        <v>17</v>
      </c>
      <c r="V9" s="57" t="s">
        <v>26</v>
      </c>
      <c r="W9" s="16" t="s">
        <v>17</v>
      </c>
      <c r="X9" s="18" t="s">
        <v>26</v>
      </c>
      <c r="Y9" s="16" t="s">
        <v>17</v>
      </c>
      <c r="Z9" s="57" t="s">
        <v>26</v>
      </c>
      <c r="AA9" s="16" t="s">
        <v>17</v>
      </c>
      <c r="AB9" s="18" t="s">
        <v>26</v>
      </c>
      <c r="AC9" s="16" t="s">
        <v>17</v>
      </c>
      <c r="AD9" s="57" t="s">
        <v>26</v>
      </c>
      <c r="AE9" s="16" t="s">
        <v>17</v>
      </c>
      <c r="AF9" s="18" t="s">
        <v>26</v>
      </c>
      <c r="AG9" s="16" t="s">
        <v>17</v>
      </c>
      <c r="AH9" s="57" t="s">
        <v>26</v>
      </c>
      <c r="AI9" s="16" t="s">
        <v>17</v>
      </c>
      <c r="AJ9" s="18" t="s">
        <v>26</v>
      </c>
      <c r="AK9" s="16" t="s">
        <v>17</v>
      </c>
      <c r="AL9" s="57" t="s">
        <v>26</v>
      </c>
      <c r="AM9" s="16" t="s">
        <v>17</v>
      </c>
    </row>
    <row r="10" customHeight="1" spans="2:39">
      <c r="B10" s="20">
        <v>4</v>
      </c>
      <c r="C10" s="20"/>
      <c r="D10" s="16" t="s">
        <v>27</v>
      </c>
      <c r="E10" s="16"/>
      <c r="F10" s="16"/>
      <c r="G10" s="21">
        <f>SUM(G11:G13)</f>
        <v>0</v>
      </c>
      <c r="H10" s="21">
        <f>SUM(G10)</f>
        <v>0</v>
      </c>
      <c r="I10" s="21">
        <f>SUM(I11:I13)</f>
        <v>0</v>
      </c>
      <c r="J10" s="21">
        <f>SUM(J11:J13)</f>
        <v>0</v>
      </c>
      <c r="K10" s="21"/>
      <c r="L10" s="21">
        <f t="shared" ref="L10:AM10" si="0">SUM(L11:L13)</f>
        <v>0</v>
      </c>
      <c r="M10" s="21">
        <f t="shared" si="0"/>
        <v>0</v>
      </c>
      <c r="N10" s="21">
        <f t="shared" si="0"/>
        <v>0</v>
      </c>
      <c r="O10" s="21">
        <f t="shared" si="0"/>
        <v>0</v>
      </c>
      <c r="P10" s="21">
        <f t="shared" si="0"/>
        <v>0</v>
      </c>
      <c r="Q10" s="21">
        <f t="shared" si="0"/>
        <v>0</v>
      </c>
      <c r="R10" s="21">
        <f t="shared" si="0"/>
        <v>0</v>
      </c>
      <c r="S10" s="21">
        <f t="shared" si="0"/>
        <v>0</v>
      </c>
      <c r="T10" s="21">
        <f t="shared" si="0"/>
        <v>0</v>
      </c>
      <c r="U10" s="21">
        <f t="shared" si="0"/>
        <v>0</v>
      </c>
      <c r="V10" s="21">
        <f t="shared" si="0"/>
        <v>0</v>
      </c>
      <c r="W10" s="21">
        <f t="shared" si="0"/>
        <v>0</v>
      </c>
      <c r="X10" s="21">
        <f t="shared" si="0"/>
        <v>0</v>
      </c>
      <c r="Y10" s="21">
        <f t="shared" si="0"/>
        <v>0</v>
      </c>
      <c r="Z10" s="21">
        <f t="shared" si="0"/>
        <v>0</v>
      </c>
      <c r="AA10" s="21">
        <f t="shared" si="0"/>
        <v>0</v>
      </c>
      <c r="AB10" s="21">
        <f t="shared" si="0"/>
        <v>0</v>
      </c>
      <c r="AC10" s="21">
        <f t="shared" si="0"/>
        <v>0</v>
      </c>
      <c r="AD10" s="21">
        <f t="shared" si="0"/>
        <v>0</v>
      </c>
      <c r="AE10" s="21">
        <f t="shared" si="0"/>
        <v>0</v>
      </c>
      <c r="AF10" s="21">
        <f t="shared" si="0"/>
        <v>0</v>
      </c>
      <c r="AG10" s="21">
        <f t="shared" si="0"/>
        <v>0</v>
      </c>
      <c r="AH10" s="21">
        <f t="shared" si="0"/>
        <v>0</v>
      </c>
      <c r="AI10" s="21">
        <f t="shared" si="0"/>
        <v>0</v>
      </c>
      <c r="AJ10" s="21">
        <f t="shared" si="0"/>
        <v>0</v>
      </c>
      <c r="AK10" s="21">
        <f t="shared" si="0"/>
        <v>0</v>
      </c>
      <c r="AL10" s="21">
        <f t="shared" si="0"/>
        <v>0</v>
      </c>
      <c r="AM10" s="21">
        <f t="shared" si="0"/>
        <v>0</v>
      </c>
    </row>
    <row r="11" customHeight="1" spans="2:39">
      <c r="B11" s="22"/>
      <c r="C11" s="23">
        <v>4.1</v>
      </c>
      <c r="D11" s="24" t="s">
        <v>28</v>
      </c>
      <c r="E11" s="20"/>
      <c r="F11" s="20"/>
      <c r="G11" s="25">
        <v>0</v>
      </c>
      <c r="H11" s="21">
        <f t="shared" ref="H11:H30" si="1">SUM(G11)</f>
        <v>0</v>
      </c>
      <c r="I11" s="21">
        <f t="shared" ref="I11:J13" si="2">+L11+N11+P11+R11+T11+V11+X11+Z11+AB11+AD11+AF11+AH11+AJ11+AL11</f>
        <v>0</v>
      </c>
      <c r="J11" s="21">
        <f t="shared" si="2"/>
        <v>0</v>
      </c>
      <c r="K11" s="21"/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</row>
    <row r="12" customHeight="1" spans="2:39">
      <c r="B12" s="22"/>
      <c r="C12" s="23">
        <v>4.2</v>
      </c>
      <c r="D12" s="24" t="s">
        <v>29</v>
      </c>
      <c r="E12" s="20"/>
      <c r="F12" s="20"/>
      <c r="G12" s="25">
        <v>0</v>
      </c>
      <c r="H12" s="21">
        <f t="shared" si="1"/>
        <v>0</v>
      </c>
      <c r="I12" s="21">
        <f t="shared" si="2"/>
        <v>0</v>
      </c>
      <c r="J12" s="21">
        <f t="shared" si="2"/>
        <v>0</v>
      </c>
      <c r="K12" s="21"/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</row>
    <row r="13" customHeight="1" spans="2:39">
      <c r="B13" s="22"/>
      <c r="C13" s="23">
        <v>4.3</v>
      </c>
      <c r="D13" s="26" t="s">
        <v>30</v>
      </c>
      <c r="E13" s="27"/>
      <c r="F13" s="27"/>
      <c r="G13" s="25">
        <v>0</v>
      </c>
      <c r="H13" s="21">
        <f t="shared" si="1"/>
        <v>0</v>
      </c>
      <c r="I13" s="21">
        <f t="shared" si="2"/>
        <v>0</v>
      </c>
      <c r="J13" s="21">
        <f t="shared" si="2"/>
        <v>0</v>
      </c>
      <c r="K13" s="21"/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</row>
    <row r="14" customHeight="1" spans="2:39">
      <c r="B14" s="20">
        <v>7</v>
      </c>
      <c r="C14" s="20"/>
      <c r="D14" s="16" t="s">
        <v>31</v>
      </c>
      <c r="E14" s="16"/>
      <c r="F14" s="16"/>
      <c r="G14" s="21">
        <f>G15+G18</f>
        <v>0</v>
      </c>
      <c r="H14" s="21">
        <f t="shared" si="1"/>
        <v>0</v>
      </c>
      <c r="I14" s="21">
        <f>I15+I18</f>
        <v>0</v>
      </c>
      <c r="J14" s="21">
        <f>J15+J18</f>
        <v>0</v>
      </c>
      <c r="K14" s="21"/>
      <c r="L14" s="21">
        <f t="shared" ref="L14:AM14" si="3">L15+L18</f>
        <v>0</v>
      </c>
      <c r="M14" s="21">
        <f t="shared" si="3"/>
        <v>0</v>
      </c>
      <c r="N14" s="21">
        <f t="shared" si="3"/>
        <v>0</v>
      </c>
      <c r="O14" s="21">
        <f t="shared" si="3"/>
        <v>0</v>
      </c>
      <c r="P14" s="21">
        <f t="shared" si="3"/>
        <v>0</v>
      </c>
      <c r="Q14" s="21">
        <f t="shared" si="3"/>
        <v>0</v>
      </c>
      <c r="R14" s="21">
        <f t="shared" si="3"/>
        <v>0</v>
      </c>
      <c r="S14" s="21">
        <f t="shared" si="3"/>
        <v>0</v>
      </c>
      <c r="T14" s="21">
        <f t="shared" si="3"/>
        <v>0</v>
      </c>
      <c r="U14" s="21">
        <f t="shared" si="3"/>
        <v>0</v>
      </c>
      <c r="V14" s="21">
        <f t="shared" si="3"/>
        <v>0</v>
      </c>
      <c r="W14" s="21">
        <f t="shared" si="3"/>
        <v>0</v>
      </c>
      <c r="X14" s="21">
        <f t="shared" si="3"/>
        <v>0</v>
      </c>
      <c r="Y14" s="21">
        <f t="shared" si="3"/>
        <v>0</v>
      </c>
      <c r="Z14" s="21">
        <f t="shared" si="3"/>
        <v>0</v>
      </c>
      <c r="AA14" s="21">
        <f t="shared" si="3"/>
        <v>0</v>
      </c>
      <c r="AB14" s="21">
        <f t="shared" si="3"/>
        <v>0</v>
      </c>
      <c r="AC14" s="21">
        <f t="shared" si="3"/>
        <v>0</v>
      </c>
      <c r="AD14" s="21">
        <f t="shared" si="3"/>
        <v>0</v>
      </c>
      <c r="AE14" s="21">
        <f t="shared" si="3"/>
        <v>0</v>
      </c>
      <c r="AF14" s="21">
        <f t="shared" si="3"/>
        <v>0</v>
      </c>
      <c r="AG14" s="21">
        <f t="shared" si="3"/>
        <v>0</v>
      </c>
      <c r="AH14" s="21">
        <f t="shared" si="3"/>
        <v>0</v>
      </c>
      <c r="AI14" s="21">
        <f t="shared" si="3"/>
        <v>0</v>
      </c>
      <c r="AJ14" s="21">
        <f t="shared" si="3"/>
        <v>0</v>
      </c>
      <c r="AK14" s="21">
        <f t="shared" si="3"/>
        <v>0</v>
      </c>
      <c r="AL14" s="21">
        <f t="shared" si="3"/>
        <v>0</v>
      </c>
      <c r="AM14" s="21">
        <f t="shared" si="3"/>
        <v>0</v>
      </c>
    </row>
    <row r="15" customHeight="1" spans="2:39">
      <c r="B15" s="20"/>
      <c r="C15" s="20">
        <v>7.1</v>
      </c>
      <c r="D15" s="16" t="s">
        <v>32</v>
      </c>
      <c r="E15" s="16"/>
      <c r="F15" s="16"/>
      <c r="G15" s="21">
        <f>SUM(G16:G17)</f>
        <v>0</v>
      </c>
      <c r="H15" s="21">
        <f t="shared" si="1"/>
        <v>0</v>
      </c>
      <c r="I15" s="21">
        <f>SUM(I16:I17)</f>
        <v>0</v>
      </c>
      <c r="J15" s="21">
        <f>SUM(J16:J17)</f>
        <v>0</v>
      </c>
      <c r="K15" s="21"/>
      <c r="L15" s="21">
        <f t="shared" ref="L15:AM15" si="4">SUM(L16:L17)</f>
        <v>0</v>
      </c>
      <c r="M15" s="21">
        <f t="shared" si="4"/>
        <v>0</v>
      </c>
      <c r="N15" s="21">
        <f t="shared" si="4"/>
        <v>0</v>
      </c>
      <c r="O15" s="21">
        <f t="shared" si="4"/>
        <v>0</v>
      </c>
      <c r="P15" s="21">
        <f t="shared" si="4"/>
        <v>0</v>
      </c>
      <c r="Q15" s="21">
        <f t="shared" si="4"/>
        <v>0</v>
      </c>
      <c r="R15" s="21">
        <f t="shared" si="4"/>
        <v>0</v>
      </c>
      <c r="S15" s="21">
        <f t="shared" si="4"/>
        <v>0</v>
      </c>
      <c r="T15" s="21">
        <f t="shared" si="4"/>
        <v>0</v>
      </c>
      <c r="U15" s="21">
        <f t="shared" si="4"/>
        <v>0</v>
      </c>
      <c r="V15" s="21">
        <f t="shared" si="4"/>
        <v>0</v>
      </c>
      <c r="W15" s="21">
        <f t="shared" si="4"/>
        <v>0</v>
      </c>
      <c r="X15" s="21">
        <f t="shared" si="4"/>
        <v>0</v>
      </c>
      <c r="Y15" s="21">
        <f t="shared" si="4"/>
        <v>0</v>
      </c>
      <c r="Z15" s="21">
        <f t="shared" si="4"/>
        <v>0</v>
      </c>
      <c r="AA15" s="21">
        <f t="shared" si="4"/>
        <v>0</v>
      </c>
      <c r="AB15" s="21">
        <f t="shared" si="4"/>
        <v>0</v>
      </c>
      <c r="AC15" s="21">
        <f t="shared" si="4"/>
        <v>0</v>
      </c>
      <c r="AD15" s="21">
        <f t="shared" si="4"/>
        <v>0</v>
      </c>
      <c r="AE15" s="21">
        <f t="shared" si="4"/>
        <v>0</v>
      </c>
      <c r="AF15" s="21">
        <f t="shared" si="4"/>
        <v>0</v>
      </c>
      <c r="AG15" s="21">
        <f t="shared" si="4"/>
        <v>0</v>
      </c>
      <c r="AH15" s="21">
        <f t="shared" si="4"/>
        <v>0</v>
      </c>
      <c r="AI15" s="21">
        <f t="shared" si="4"/>
        <v>0</v>
      </c>
      <c r="AJ15" s="21">
        <f t="shared" si="4"/>
        <v>0</v>
      </c>
      <c r="AK15" s="21">
        <f t="shared" si="4"/>
        <v>0</v>
      </c>
      <c r="AL15" s="21">
        <f t="shared" si="4"/>
        <v>0</v>
      </c>
      <c r="AM15" s="21">
        <f t="shared" si="4"/>
        <v>0</v>
      </c>
    </row>
    <row r="16" customHeight="1" spans="2:39">
      <c r="B16" s="28"/>
      <c r="C16" s="29" t="s">
        <v>33</v>
      </c>
      <c r="D16" s="30" t="s">
        <v>34</v>
      </c>
      <c r="E16" s="31"/>
      <c r="F16" s="31"/>
      <c r="G16" s="25">
        <v>0</v>
      </c>
      <c r="H16" s="21">
        <f t="shared" si="1"/>
        <v>0</v>
      </c>
      <c r="I16" s="21">
        <f>+L16+N16+P16+R16+T16+V16+X16+Z16+AB16+AD16+AF16+AH16+AJ16+AL16</f>
        <v>0</v>
      </c>
      <c r="J16" s="21">
        <f>+M16+O16+Q16+S16+U16+W16+Y16+AA16+AC16+AE16+AG16+AI16+AK16+AM16</f>
        <v>0</v>
      </c>
      <c r="K16" s="59"/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</row>
    <row r="17" customHeight="1" spans="2:39">
      <c r="B17" s="28"/>
      <c r="C17" s="29" t="s">
        <v>35</v>
      </c>
      <c r="D17" s="30" t="s">
        <v>36</v>
      </c>
      <c r="E17" s="31"/>
      <c r="F17" s="31"/>
      <c r="G17" s="25">
        <v>0</v>
      </c>
      <c r="H17" s="21">
        <f t="shared" si="1"/>
        <v>0</v>
      </c>
      <c r="I17" s="21">
        <f>+L17+N17+P17+R17+T17+V17+X17+Z17+AB17+AD17+AF17+AH17+AJ17+AL17</f>
        <v>0</v>
      </c>
      <c r="J17" s="21">
        <f>+M17+O17+Q17+S17+U17+W17+Y17+AA17+AC17+AE17+AG17+AI17+AK17+AM17</f>
        <v>0</v>
      </c>
      <c r="K17" s="59"/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</row>
    <row r="18" customHeight="1" spans="2:39">
      <c r="B18" s="28"/>
      <c r="C18" s="32">
        <v>7.2</v>
      </c>
      <c r="D18" s="21" t="s">
        <v>37</v>
      </c>
      <c r="E18" s="16"/>
      <c r="F18" s="16"/>
      <c r="G18" s="21">
        <f>SUM(G19:G20)</f>
        <v>0</v>
      </c>
      <c r="H18" s="21">
        <f t="shared" si="1"/>
        <v>0</v>
      </c>
      <c r="I18" s="21">
        <f>SUM(I19:I20)</f>
        <v>0</v>
      </c>
      <c r="J18" s="21">
        <f>SUM(J19:J20)</f>
        <v>0</v>
      </c>
      <c r="K18" s="21"/>
      <c r="L18" s="21">
        <f t="shared" ref="L18:AM18" si="5">SUM(L19:L20)</f>
        <v>0</v>
      </c>
      <c r="M18" s="21">
        <f t="shared" si="5"/>
        <v>0</v>
      </c>
      <c r="N18" s="21">
        <f t="shared" si="5"/>
        <v>0</v>
      </c>
      <c r="O18" s="21">
        <f t="shared" si="5"/>
        <v>0</v>
      </c>
      <c r="P18" s="21">
        <f t="shared" si="5"/>
        <v>0</v>
      </c>
      <c r="Q18" s="21">
        <f t="shared" si="5"/>
        <v>0</v>
      </c>
      <c r="R18" s="21">
        <f t="shared" si="5"/>
        <v>0</v>
      </c>
      <c r="S18" s="21">
        <f t="shared" si="5"/>
        <v>0</v>
      </c>
      <c r="T18" s="21">
        <f t="shared" si="5"/>
        <v>0</v>
      </c>
      <c r="U18" s="21">
        <f t="shared" si="5"/>
        <v>0</v>
      </c>
      <c r="V18" s="21">
        <f t="shared" si="5"/>
        <v>0</v>
      </c>
      <c r="W18" s="21">
        <f t="shared" si="5"/>
        <v>0</v>
      </c>
      <c r="X18" s="21">
        <f t="shared" si="5"/>
        <v>0</v>
      </c>
      <c r="Y18" s="21">
        <f t="shared" si="5"/>
        <v>0</v>
      </c>
      <c r="Z18" s="21">
        <f t="shared" si="5"/>
        <v>0</v>
      </c>
      <c r="AA18" s="21">
        <f t="shared" si="5"/>
        <v>0</v>
      </c>
      <c r="AB18" s="21">
        <f t="shared" si="5"/>
        <v>0</v>
      </c>
      <c r="AC18" s="21">
        <f t="shared" si="5"/>
        <v>0</v>
      </c>
      <c r="AD18" s="21">
        <f t="shared" si="5"/>
        <v>0</v>
      </c>
      <c r="AE18" s="21">
        <f t="shared" si="5"/>
        <v>0</v>
      </c>
      <c r="AF18" s="21">
        <f t="shared" si="5"/>
        <v>0</v>
      </c>
      <c r="AG18" s="21">
        <f t="shared" si="5"/>
        <v>0</v>
      </c>
      <c r="AH18" s="21">
        <f t="shared" si="5"/>
        <v>0</v>
      </c>
      <c r="AI18" s="21">
        <f t="shared" si="5"/>
        <v>0</v>
      </c>
      <c r="AJ18" s="21">
        <f t="shared" si="5"/>
        <v>0</v>
      </c>
      <c r="AK18" s="21">
        <f t="shared" si="5"/>
        <v>0</v>
      </c>
      <c r="AL18" s="21">
        <f t="shared" si="5"/>
        <v>0</v>
      </c>
      <c r="AM18" s="21">
        <f t="shared" si="5"/>
        <v>0</v>
      </c>
    </row>
    <row r="19" customHeight="1" spans="2:39">
      <c r="B19" s="28"/>
      <c r="C19" s="29" t="s">
        <v>38</v>
      </c>
      <c r="D19" s="30" t="s">
        <v>34</v>
      </c>
      <c r="E19" s="31"/>
      <c r="F19" s="31"/>
      <c r="G19" s="25">
        <v>0</v>
      </c>
      <c r="H19" s="21">
        <f t="shared" si="1"/>
        <v>0</v>
      </c>
      <c r="I19" s="21">
        <f>+L19+N19+P19+R19+T19+V19+X19+Z19+AB19+AD19+AF19+AH19+AJ19+AL19</f>
        <v>0</v>
      </c>
      <c r="J19" s="21">
        <f>+M19+O19+Q19+S19+U19+W19+Y19+AA19+AC19+AE19+AG19+AI19+AK19+AM19</f>
        <v>0</v>
      </c>
      <c r="K19" s="59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</row>
    <row r="20" customHeight="1" spans="2:39">
      <c r="B20" s="28"/>
      <c r="C20" s="29" t="s">
        <v>39</v>
      </c>
      <c r="D20" s="30" t="s">
        <v>36</v>
      </c>
      <c r="E20" s="31"/>
      <c r="F20" s="31"/>
      <c r="G20" s="25">
        <v>0</v>
      </c>
      <c r="H20" s="21">
        <f t="shared" si="1"/>
        <v>0</v>
      </c>
      <c r="I20" s="21">
        <f>+L20+N20+P20+R20+T20+V20+X20+Z20+AB20+AD20+AF20+AH20+AJ20+AL20</f>
        <v>0</v>
      </c>
      <c r="J20" s="21">
        <f>+M20+O20+Q20+S20+U20+W20+Y20+AA20+AC20+AE20+AG20+AI20+AK20+AM20</f>
        <v>0</v>
      </c>
      <c r="K20" s="59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</row>
    <row r="21" customHeight="1" spans="2:39">
      <c r="B21" s="20">
        <v>8</v>
      </c>
      <c r="C21" s="20"/>
      <c r="D21" s="16" t="s">
        <v>40</v>
      </c>
      <c r="E21" s="16"/>
      <c r="F21" s="16"/>
      <c r="G21" s="21">
        <f>G22+G28+G33</f>
        <v>0</v>
      </c>
      <c r="H21" s="21">
        <f t="shared" si="1"/>
        <v>0</v>
      </c>
      <c r="I21" s="33">
        <f>I22+I28+I33</f>
        <v>0</v>
      </c>
      <c r="J21" s="33">
        <f>J22+J28+J33</f>
        <v>0</v>
      </c>
      <c r="K21" s="59"/>
      <c r="L21" s="33">
        <f t="shared" ref="L21:AM21" si="6">L22+L28+L33</f>
        <v>0</v>
      </c>
      <c r="M21" s="33">
        <f t="shared" si="6"/>
        <v>0</v>
      </c>
      <c r="N21" s="33">
        <f t="shared" si="6"/>
        <v>0</v>
      </c>
      <c r="O21" s="33">
        <f t="shared" si="6"/>
        <v>0</v>
      </c>
      <c r="P21" s="33">
        <f t="shared" si="6"/>
        <v>0</v>
      </c>
      <c r="Q21" s="33">
        <f t="shared" si="6"/>
        <v>0</v>
      </c>
      <c r="R21" s="33">
        <f t="shared" si="6"/>
        <v>0</v>
      </c>
      <c r="S21" s="33">
        <f t="shared" si="6"/>
        <v>0</v>
      </c>
      <c r="T21" s="33">
        <f t="shared" si="6"/>
        <v>0</v>
      </c>
      <c r="U21" s="33">
        <f t="shared" si="6"/>
        <v>0</v>
      </c>
      <c r="V21" s="33">
        <f t="shared" si="6"/>
        <v>0</v>
      </c>
      <c r="W21" s="33">
        <f t="shared" si="6"/>
        <v>0</v>
      </c>
      <c r="X21" s="33">
        <f t="shared" si="6"/>
        <v>0</v>
      </c>
      <c r="Y21" s="33">
        <f t="shared" si="6"/>
        <v>0</v>
      </c>
      <c r="Z21" s="33">
        <f t="shared" si="6"/>
        <v>0</v>
      </c>
      <c r="AA21" s="33">
        <f t="shared" si="6"/>
        <v>0</v>
      </c>
      <c r="AB21" s="33">
        <f t="shared" si="6"/>
        <v>0</v>
      </c>
      <c r="AC21" s="33">
        <f t="shared" si="6"/>
        <v>0</v>
      </c>
      <c r="AD21" s="33">
        <f t="shared" si="6"/>
        <v>0</v>
      </c>
      <c r="AE21" s="33">
        <f t="shared" si="6"/>
        <v>0</v>
      </c>
      <c r="AF21" s="33">
        <f t="shared" si="6"/>
        <v>0</v>
      </c>
      <c r="AG21" s="33">
        <f t="shared" si="6"/>
        <v>0</v>
      </c>
      <c r="AH21" s="33">
        <f t="shared" si="6"/>
        <v>0</v>
      </c>
      <c r="AI21" s="33">
        <f t="shared" si="6"/>
        <v>0</v>
      </c>
      <c r="AJ21" s="33">
        <f t="shared" si="6"/>
        <v>0</v>
      </c>
      <c r="AK21" s="33">
        <f t="shared" si="6"/>
        <v>0</v>
      </c>
      <c r="AL21" s="33">
        <f t="shared" si="6"/>
        <v>0</v>
      </c>
      <c r="AM21" s="33">
        <f t="shared" si="6"/>
        <v>0</v>
      </c>
    </row>
    <row r="22" customHeight="1" spans="2:39">
      <c r="B22" s="20"/>
      <c r="C22" s="20">
        <v>8.1</v>
      </c>
      <c r="D22" s="16" t="s">
        <v>41</v>
      </c>
      <c r="E22" s="16"/>
      <c r="F22" s="16"/>
      <c r="G22" s="33">
        <f>SUM(G23:G27)</f>
        <v>0</v>
      </c>
      <c r="H22" s="21">
        <f t="shared" si="1"/>
        <v>0</v>
      </c>
      <c r="I22" s="33">
        <f>SUM(I23:I27)</f>
        <v>0</v>
      </c>
      <c r="J22" s="33">
        <f>SUM(J23:J27)</f>
        <v>0</v>
      </c>
      <c r="K22" s="59"/>
      <c r="L22" s="33">
        <f t="shared" ref="L22:AM22" si="7">SUM(L23:L27)</f>
        <v>0</v>
      </c>
      <c r="M22" s="33">
        <f t="shared" si="7"/>
        <v>0</v>
      </c>
      <c r="N22" s="33">
        <f t="shared" si="7"/>
        <v>0</v>
      </c>
      <c r="O22" s="33">
        <f t="shared" si="7"/>
        <v>0</v>
      </c>
      <c r="P22" s="33">
        <f t="shared" si="7"/>
        <v>0</v>
      </c>
      <c r="Q22" s="33">
        <f t="shared" si="7"/>
        <v>0</v>
      </c>
      <c r="R22" s="33">
        <f t="shared" si="7"/>
        <v>0</v>
      </c>
      <c r="S22" s="33">
        <f t="shared" si="7"/>
        <v>0</v>
      </c>
      <c r="T22" s="33">
        <f t="shared" si="7"/>
        <v>0</v>
      </c>
      <c r="U22" s="33">
        <f t="shared" si="7"/>
        <v>0</v>
      </c>
      <c r="V22" s="33">
        <f t="shared" si="7"/>
        <v>0</v>
      </c>
      <c r="W22" s="33">
        <f t="shared" si="7"/>
        <v>0</v>
      </c>
      <c r="X22" s="33">
        <f t="shared" si="7"/>
        <v>0</v>
      </c>
      <c r="Y22" s="33">
        <f t="shared" si="7"/>
        <v>0</v>
      </c>
      <c r="Z22" s="33">
        <f t="shared" si="7"/>
        <v>0</v>
      </c>
      <c r="AA22" s="33">
        <f t="shared" si="7"/>
        <v>0</v>
      </c>
      <c r="AB22" s="33">
        <f t="shared" si="7"/>
        <v>0</v>
      </c>
      <c r="AC22" s="33">
        <f t="shared" si="7"/>
        <v>0</v>
      </c>
      <c r="AD22" s="33">
        <f t="shared" si="7"/>
        <v>0</v>
      </c>
      <c r="AE22" s="33">
        <f t="shared" si="7"/>
        <v>0</v>
      </c>
      <c r="AF22" s="33">
        <f t="shared" si="7"/>
        <v>0</v>
      </c>
      <c r="AG22" s="33">
        <f t="shared" si="7"/>
        <v>0</v>
      </c>
      <c r="AH22" s="33">
        <f t="shared" si="7"/>
        <v>0</v>
      </c>
      <c r="AI22" s="33">
        <f t="shared" si="7"/>
        <v>0</v>
      </c>
      <c r="AJ22" s="33">
        <f t="shared" si="7"/>
        <v>0</v>
      </c>
      <c r="AK22" s="33">
        <f t="shared" si="7"/>
        <v>0</v>
      </c>
      <c r="AL22" s="33">
        <f t="shared" si="7"/>
        <v>0</v>
      </c>
      <c r="AM22" s="33">
        <f t="shared" si="7"/>
        <v>0</v>
      </c>
    </row>
    <row r="23" customHeight="1" spans="2:39">
      <c r="B23" s="34"/>
      <c r="C23" s="23" t="s">
        <v>42</v>
      </c>
      <c r="D23" s="35" t="s">
        <v>43</v>
      </c>
      <c r="E23" s="36"/>
      <c r="F23" s="36"/>
      <c r="G23" s="25">
        <v>0</v>
      </c>
      <c r="H23" s="21">
        <f t="shared" si="1"/>
        <v>0</v>
      </c>
      <c r="I23" s="21">
        <f t="shared" ref="I23:J27" si="8">+L23+N23+P23+R23+T23+V23+X23+Z23+AB23+AD23+AF23+AH23+AJ23+AL23</f>
        <v>0</v>
      </c>
      <c r="J23" s="21">
        <f t="shared" si="8"/>
        <v>0</v>
      </c>
      <c r="K23" s="59"/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</row>
    <row r="24" customHeight="1" spans="2:39">
      <c r="B24" s="34"/>
      <c r="C24" s="23" t="s">
        <v>44</v>
      </c>
      <c r="D24" s="35" t="s">
        <v>45</v>
      </c>
      <c r="E24" s="36"/>
      <c r="F24" s="36"/>
      <c r="G24" s="25">
        <v>0</v>
      </c>
      <c r="H24" s="21">
        <f t="shared" si="1"/>
        <v>0</v>
      </c>
      <c r="I24" s="21">
        <f t="shared" si="8"/>
        <v>0</v>
      </c>
      <c r="J24" s="21">
        <f t="shared" si="8"/>
        <v>0</v>
      </c>
      <c r="K24" s="59"/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</row>
    <row r="25" customHeight="1" spans="2:39">
      <c r="B25" s="34"/>
      <c r="C25" s="23" t="s">
        <v>46</v>
      </c>
      <c r="D25" s="35" t="s">
        <v>47</v>
      </c>
      <c r="E25" s="36"/>
      <c r="F25" s="36"/>
      <c r="G25" s="25">
        <v>0</v>
      </c>
      <c r="H25" s="21">
        <f t="shared" si="1"/>
        <v>0</v>
      </c>
      <c r="I25" s="21">
        <f t="shared" si="8"/>
        <v>0</v>
      </c>
      <c r="J25" s="21">
        <f t="shared" si="8"/>
        <v>0</v>
      </c>
      <c r="K25" s="59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</row>
    <row r="26" customHeight="1" spans="2:39">
      <c r="B26" s="37"/>
      <c r="C26" s="23" t="s">
        <v>48</v>
      </c>
      <c r="D26" s="35" t="s">
        <v>49</v>
      </c>
      <c r="E26" s="36"/>
      <c r="F26" s="36"/>
      <c r="G26" s="25">
        <v>0</v>
      </c>
      <c r="H26" s="21">
        <f t="shared" si="1"/>
        <v>0</v>
      </c>
      <c r="I26" s="21">
        <f t="shared" si="8"/>
        <v>0</v>
      </c>
      <c r="J26" s="21">
        <f t="shared" si="8"/>
        <v>0</v>
      </c>
      <c r="K26" s="59"/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</row>
    <row r="27" customHeight="1" spans="2:39">
      <c r="B27" s="37"/>
      <c r="C27" s="23" t="s">
        <v>50</v>
      </c>
      <c r="D27" s="38" t="s">
        <v>51</v>
      </c>
      <c r="E27" s="39"/>
      <c r="F27" s="39"/>
      <c r="G27" s="25">
        <v>0</v>
      </c>
      <c r="H27" s="21">
        <f t="shared" si="1"/>
        <v>0</v>
      </c>
      <c r="I27" s="21">
        <f t="shared" si="8"/>
        <v>0</v>
      </c>
      <c r="J27" s="21">
        <f t="shared" si="8"/>
        <v>0</v>
      </c>
      <c r="K27" s="59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</row>
    <row r="28" customHeight="1" spans="2:39">
      <c r="B28" s="20"/>
      <c r="C28" s="20" t="s">
        <v>52</v>
      </c>
      <c r="D28" s="16" t="s">
        <v>53</v>
      </c>
      <c r="E28" s="33">
        <f>SUM(E31:E32)</f>
        <v>0</v>
      </c>
      <c r="F28" s="33">
        <f>SUM(F31:F32)</f>
        <v>0</v>
      </c>
      <c r="G28" s="33">
        <f>SUM(G29:G32)</f>
        <v>0</v>
      </c>
      <c r="H28" s="21">
        <f>SUM(E28:G28)</f>
        <v>0</v>
      </c>
      <c r="I28" s="33">
        <f>SUM(I29:I32)</f>
        <v>0</v>
      </c>
      <c r="J28" s="33">
        <f>SUM(J29:J32)</f>
        <v>0</v>
      </c>
      <c r="K28" s="59"/>
      <c r="L28" s="33">
        <f t="shared" ref="L28:AM28" si="9">SUM(L29:L32)</f>
        <v>0</v>
      </c>
      <c r="M28" s="33">
        <f t="shared" si="9"/>
        <v>0</v>
      </c>
      <c r="N28" s="33">
        <f t="shared" si="9"/>
        <v>0</v>
      </c>
      <c r="O28" s="33">
        <f t="shared" si="9"/>
        <v>0</v>
      </c>
      <c r="P28" s="33">
        <f t="shared" si="9"/>
        <v>0</v>
      </c>
      <c r="Q28" s="33">
        <f t="shared" si="9"/>
        <v>0</v>
      </c>
      <c r="R28" s="33">
        <f t="shared" si="9"/>
        <v>0</v>
      </c>
      <c r="S28" s="33">
        <f t="shared" si="9"/>
        <v>0</v>
      </c>
      <c r="T28" s="33">
        <f t="shared" si="9"/>
        <v>0</v>
      </c>
      <c r="U28" s="33">
        <f t="shared" si="9"/>
        <v>0</v>
      </c>
      <c r="V28" s="33">
        <f t="shared" si="9"/>
        <v>0</v>
      </c>
      <c r="W28" s="33">
        <f t="shared" si="9"/>
        <v>0</v>
      </c>
      <c r="X28" s="33">
        <f t="shared" si="9"/>
        <v>0</v>
      </c>
      <c r="Y28" s="33">
        <f t="shared" si="9"/>
        <v>0</v>
      </c>
      <c r="Z28" s="33">
        <f t="shared" si="9"/>
        <v>0</v>
      </c>
      <c r="AA28" s="33">
        <f t="shared" si="9"/>
        <v>0</v>
      </c>
      <c r="AB28" s="33">
        <f t="shared" si="9"/>
        <v>0</v>
      </c>
      <c r="AC28" s="33">
        <f t="shared" si="9"/>
        <v>0</v>
      </c>
      <c r="AD28" s="33">
        <f t="shared" si="9"/>
        <v>0</v>
      </c>
      <c r="AE28" s="33">
        <f t="shared" si="9"/>
        <v>0</v>
      </c>
      <c r="AF28" s="33">
        <f t="shared" si="9"/>
        <v>0</v>
      </c>
      <c r="AG28" s="33">
        <f t="shared" si="9"/>
        <v>0</v>
      </c>
      <c r="AH28" s="33">
        <f t="shared" si="9"/>
        <v>0</v>
      </c>
      <c r="AI28" s="33">
        <f t="shared" si="9"/>
        <v>0</v>
      </c>
      <c r="AJ28" s="33">
        <f t="shared" si="9"/>
        <v>0</v>
      </c>
      <c r="AK28" s="33">
        <f t="shared" si="9"/>
        <v>0</v>
      </c>
      <c r="AL28" s="33">
        <f t="shared" si="9"/>
        <v>0</v>
      </c>
      <c r="AM28" s="33">
        <f t="shared" si="9"/>
        <v>0</v>
      </c>
    </row>
    <row r="29" customHeight="1" spans="2:39">
      <c r="B29" s="37"/>
      <c r="C29" s="40" t="s">
        <v>54</v>
      </c>
      <c r="D29" s="41" t="s">
        <v>55</v>
      </c>
      <c r="E29" s="42"/>
      <c r="F29" s="43"/>
      <c r="G29" s="25">
        <v>0</v>
      </c>
      <c r="H29" s="21">
        <f t="shared" si="1"/>
        <v>0</v>
      </c>
      <c r="I29" s="21">
        <f t="shared" ref="I29:J32" si="10">+L29+N29+P29+R29+T29+V29+X29+Z29+AB29+AD29+AF29+AH29+AJ29+AL29</f>
        <v>0</v>
      </c>
      <c r="J29" s="21">
        <f t="shared" si="10"/>
        <v>0</v>
      </c>
      <c r="K29" s="59"/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</row>
    <row r="30" customHeight="1" spans="2:39">
      <c r="B30" s="28"/>
      <c r="C30" s="40" t="s">
        <v>56</v>
      </c>
      <c r="D30" s="41" t="s">
        <v>57</v>
      </c>
      <c r="E30" s="42"/>
      <c r="F30" s="43"/>
      <c r="G30" s="25">
        <v>0</v>
      </c>
      <c r="H30" s="21">
        <f t="shared" si="1"/>
        <v>0</v>
      </c>
      <c r="I30" s="21">
        <f t="shared" si="10"/>
        <v>0</v>
      </c>
      <c r="J30" s="21">
        <f t="shared" si="10"/>
        <v>0</v>
      </c>
      <c r="K30" s="59"/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</row>
    <row r="31" customHeight="1" spans="2:39">
      <c r="B31" s="44"/>
      <c r="C31" s="40" t="s">
        <v>58</v>
      </c>
      <c r="D31" s="45" t="s">
        <v>59</v>
      </c>
      <c r="E31" s="46">
        <v>0</v>
      </c>
      <c r="F31" s="46">
        <v>0</v>
      </c>
      <c r="G31" s="43"/>
      <c r="H31" s="21">
        <f>SUM(E31:G31)</f>
        <v>0</v>
      </c>
      <c r="I31" s="21">
        <f t="shared" si="10"/>
        <v>0</v>
      </c>
      <c r="J31" s="21">
        <f t="shared" si="10"/>
        <v>0</v>
      </c>
      <c r="K31" s="59"/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</row>
    <row r="32" customHeight="1" spans="2:39">
      <c r="B32" s="44"/>
      <c r="C32" s="40" t="s">
        <v>60</v>
      </c>
      <c r="D32" s="47" t="s">
        <v>61</v>
      </c>
      <c r="E32" s="42"/>
      <c r="F32" s="43"/>
      <c r="G32" s="25">
        <v>0</v>
      </c>
      <c r="H32" s="21">
        <f t="shared" ref="H32:H52" si="11">SUM(E32:G32)</f>
        <v>0</v>
      </c>
      <c r="I32" s="21">
        <f t="shared" si="10"/>
        <v>0</v>
      </c>
      <c r="J32" s="21">
        <f t="shared" si="10"/>
        <v>0</v>
      </c>
      <c r="K32" s="59"/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</row>
    <row r="33" customHeight="1" spans="2:39">
      <c r="B33" s="20"/>
      <c r="C33" s="20">
        <v>8.3</v>
      </c>
      <c r="D33" s="16" t="s">
        <v>62</v>
      </c>
      <c r="E33" s="33">
        <f>E34+E44</f>
        <v>0</v>
      </c>
      <c r="F33" s="33">
        <f>F34+F44</f>
        <v>0</v>
      </c>
      <c r="G33" s="43"/>
      <c r="H33" s="21">
        <f t="shared" si="11"/>
        <v>0</v>
      </c>
      <c r="I33" s="33">
        <f>I34+I44</f>
        <v>0</v>
      </c>
      <c r="J33" s="33">
        <f>J34+J44</f>
        <v>0</v>
      </c>
      <c r="K33" s="59"/>
      <c r="L33" s="33">
        <f t="shared" ref="L33:AM33" si="12">L34+L44</f>
        <v>0</v>
      </c>
      <c r="M33" s="33">
        <f t="shared" si="12"/>
        <v>0</v>
      </c>
      <c r="N33" s="33">
        <f t="shared" si="12"/>
        <v>0</v>
      </c>
      <c r="O33" s="33">
        <f t="shared" si="12"/>
        <v>0</v>
      </c>
      <c r="P33" s="33">
        <f t="shared" si="12"/>
        <v>0</v>
      </c>
      <c r="Q33" s="33">
        <f t="shared" si="12"/>
        <v>0</v>
      </c>
      <c r="R33" s="33">
        <f t="shared" si="12"/>
        <v>0</v>
      </c>
      <c r="S33" s="33">
        <f t="shared" si="12"/>
        <v>0</v>
      </c>
      <c r="T33" s="33">
        <f t="shared" si="12"/>
        <v>0</v>
      </c>
      <c r="U33" s="33">
        <f t="shared" si="12"/>
        <v>0</v>
      </c>
      <c r="V33" s="33">
        <f t="shared" si="12"/>
        <v>0</v>
      </c>
      <c r="W33" s="33">
        <f t="shared" si="12"/>
        <v>0</v>
      </c>
      <c r="X33" s="33">
        <f t="shared" si="12"/>
        <v>0</v>
      </c>
      <c r="Y33" s="33">
        <f t="shared" si="12"/>
        <v>0</v>
      </c>
      <c r="Z33" s="33">
        <f t="shared" si="12"/>
        <v>0</v>
      </c>
      <c r="AA33" s="33">
        <f t="shared" si="12"/>
        <v>0</v>
      </c>
      <c r="AB33" s="33">
        <f t="shared" si="12"/>
        <v>0</v>
      </c>
      <c r="AC33" s="33">
        <f t="shared" si="12"/>
        <v>0</v>
      </c>
      <c r="AD33" s="33">
        <f t="shared" si="12"/>
        <v>0</v>
      </c>
      <c r="AE33" s="33">
        <f t="shared" si="12"/>
        <v>0</v>
      </c>
      <c r="AF33" s="33">
        <f t="shared" si="12"/>
        <v>0</v>
      </c>
      <c r="AG33" s="33">
        <f t="shared" si="12"/>
        <v>0</v>
      </c>
      <c r="AH33" s="33">
        <f t="shared" si="12"/>
        <v>0</v>
      </c>
      <c r="AI33" s="33">
        <f t="shared" si="12"/>
        <v>0</v>
      </c>
      <c r="AJ33" s="33">
        <f t="shared" si="12"/>
        <v>0</v>
      </c>
      <c r="AK33" s="33">
        <f t="shared" si="12"/>
        <v>0</v>
      </c>
      <c r="AL33" s="33">
        <f t="shared" si="12"/>
        <v>0</v>
      </c>
      <c r="AM33" s="33">
        <f t="shared" si="12"/>
        <v>0</v>
      </c>
    </row>
    <row r="34" customHeight="1" spans="2:39">
      <c r="B34" s="20"/>
      <c r="C34" s="20" t="s">
        <v>63</v>
      </c>
      <c r="D34" s="48" t="s">
        <v>64</v>
      </c>
      <c r="E34" s="33">
        <f>SUM(E35:E43)</f>
        <v>0</v>
      </c>
      <c r="F34" s="33">
        <f>SUM(F35:F43)</f>
        <v>0</v>
      </c>
      <c r="G34" s="42"/>
      <c r="H34" s="21">
        <f t="shared" si="11"/>
        <v>0</v>
      </c>
      <c r="I34" s="33">
        <f>SUM(I35:I43)</f>
        <v>0</v>
      </c>
      <c r="J34" s="33">
        <f>SUM(J35:J43)</f>
        <v>0</v>
      </c>
      <c r="K34" s="59"/>
      <c r="L34" s="33">
        <f t="shared" ref="L34:AM34" si="13">SUM(L35:L43)</f>
        <v>0</v>
      </c>
      <c r="M34" s="33">
        <f t="shared" si="13"/>
        <v>0</v>
      </c>
      <c r="N34" s="33">
        <f t="shared" si="13"/>
        <v>0</v>
      </c>
      <c r="O34" s="33">
        <f t="shared" si="13"/>
        <v>0</v>
      </c>
      <c r="P34" s="33">
        <f t="shared" si="13"/>
        <v>0</v>
      </c>
      <c r="Q34" s="33">
        <f t="shared" si="13"/>
        <v>0</v>
      </c>
      <c r="R34" s="33">
        <f t="shared" si="13"/>
        <v>0</v>
      </c>
      <c r="S34" s="33">
        <f t="shared" si="13"/>
        <v>0</v>
      </c>
      <c r="T34" s="33">
        <f t="shared" si="13"/>
        <v>0</v>
      </c>
      <c r="U34" s="33">
        <f t="shared" si="13"/>
        <v>0</v>
      </c>
      <c r="V34" s="33">
        <f t="shared" si="13"/>
        <v>0</v>
      </c>
      <c r="W34" s="33">
        <f t="shared" si="13"/>
        <v>0</v>
      </c>
      <c r="X34" s="33">
        <f t="shared" si="13"/>
        <v>0</v>
      </c>
      <c r="Y34" s="33">
        <f t="shared" si="13"/>
        <v>0</v>
      </c>
      <c r="Z34" s="33">
        <f t="shared" si="13"/>
        <v>0</v>
      </c>
      <c r="AA34" s="33">
        <f t="shared" si="13"/>
        <v>0</v>
      </c>
      <c r="AB34" s="33">
        <f t="shared" si="13"/>
        <v>0</v>
      </c>
      <c r="AC34" s="33">
        <f t="shared" si="13"/>
        <v>0</v>
      </c>
      <c r="AD34" s="33">
        <f t="shared" si="13"/>
        <v>0</v>
      </c>
      <c r="AE34" s="33">
        <f t="shared" si="13"/>
        <v>0</v>
      </c>
      <c r="AF34" s="33">
        <f t="shared" si="13"/>
        <v>0</v>
      </c>
      <c r="AG34" s="33">
        <f t="shared" si="13"/>
        <v>0</v>
      </c>
      <c r="AH34" s="33">
        <f t="shared" si="13"/>
        <v>0</v>
      </c>
      <c r="AI34" s="33">
        <f t="shared" si="13"/>
        <v>0</v>
      </c>
      <c r="AJ34" s="33">
        <f t="shared" si="13"/>
        <v>0</v>
      </c>
      <c r="AK34" s="33">
        <f t="shared" si="13"/>
        <v>0</v>
      </c>
      <c r="AL34" s="33">
        <f t="shared" si="13"/>
        <v>0</v>
      </c>
      <c r="AM34" s="33">
        <f t="shared" si="13"/>
        <v>0</v>
      </c>
    </row>
    <row r="35" customHeight="1" spans="2:39">
      <c r="B35" s="44"/>
      <c r="C35" s="23" t="s">
        <v>65</v>
      </c>
      <c r="D35" s="49" t="s">
        <v>66</v>
      </c>
      <c r="E35" s="50">
        <v>0</v>
      </c>
      <c r="F35" s="50">
        <v>0</v>
      </c>
      <c r="G35" s="42"/>
      <c r="H35" s="21">
        <f t="shared" si="11"/>
        <v>0</v>
      </c>
      <c r="I35" s="21">
        <f t="shared" ref="I35:J43" si="14">+L35+N35+P35+R35+T35+V35+X35+Z35+AB35+AD35+AF35+AH35+AJ35+AL35</f>
        <v>0</v>
      </c>
      <c r="J35" s="21">
        <f t="shared" si="14"/>
        <v>0</v>
      </c>
      <c r="K35" s="59"/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</row>
    <row r="36" customHeight="1" spans="2:39">
      <c r="B36" s="44"/>
      <c r="C36" s="23" t="s">
        <v>67</v>
      </c>
      <c r="D36" s="51" t="s">
        <v>68</v>
      </c>
      <c r="E36" s="50">
        <v>0</v>
      </c>
      <c r="F36" s="50">
        <v>0</v>
      </c>
      <c r="G36" s="42"/>
      <c r="H36" s="21">
        <f t="shared" si="11"/>
        <v>0</v>
      </c>
      <c r="I36" s="21">
        <f t="shared" si="14"/>
        <v>0</v>
      </c>
      <c r="J36" s="21">
        <f t="shared" si="14"/>
        <v>0</v>
      </c>
      <c r="K36" s="59"/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</row>
    <row r="37" customHeight="1" spans="2:39">
      <c r="B37" s="44"/>
      <c r="C37" s="23" t="s">
        <v>69</v>
      </c>
      <c r="D37" s="51" t="s">
        <v>70</v>
      </c>
      <c r="E37" s="50">
        <v>0</v>
      </c>
      <c r="F37" s="50">
        <v>0</v>
      </c>
      <c r="G37" s="42"/>
      <c r="H37" s="21">
        <f t="shared" si="11"/>
        <v>0</v>
      </c>
      <c r="I37" s="21">
        <f t="shared" si="14"/>
        <v>0</v>
      </c>
      <c r="J37" s="21">
        <f t="shared" si="14"/>
        <v>0</v>
      </c>
      <c r="K37" s="59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</row>
    <row r="38" customHeight="1" spans="2:39">
      <c r="B38" s="44"/>
      <c r="C38" s="23" t="s">
        <v>71</v>
      </c>
      <c r="D38" s="51" t="s">
        <v>72</v>
      </c>
      <c r="E38" s="50">
        <v>0</v>
      </c>
      <c r="F38" s="50">
        <v>0</v>
      </c>
      <c r="G38" s="42"/>
      <c r="H38" s="21">
        <f t="shared" si="11"/>
        <v>0</v>
      </c>
      <c r="I38" s="21">
        <f t="shared" si="14"/>
        <v>0</v>
      </c>
      <c r="J38" s="21">
        <f t="shared" si="14"/>
        <v>0</v>
      </c>
      <c r="K38" s="59"/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</row>
    <row r="39" customHeight="1" spans="2:39">
      <c r="B39" s="44"/>
      <c r="C39" s="23" t="s">
        <v>73</v>
      </c>
      <c r="D39" s="51" t="s">
        <v>74</v>
      </c>
      <c r="E39" s="50">
        <v>0</v>
      </c>
      <c r="F39" s="50">
        <v>0</v>
      </c>
      <c r="G39" s="42"/>
      <c r="H39" s="21">
        <f t="shared" si="11"/>
        <v>0</v>
      </c>
      <c r="I39" s="21">
        <f t="shared" si="14"/>
        <v>0</v>
      </c>
      <c r="J39" s="21">
        <f t="shared" si="14"/>
        <v>0</v>
      </c>
      <c r="K39" s="59"/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</row>
    <row r="40" customHeight="1" spans="2:39">
      <c r="B40" s="44"/>
      <c r="C40" s="23" t="s">
        <v>75</v>
      </c>
      <c r="D40" s="47" t="s">
        <v>76</v>
      </c>
      <c r="E40" s="50">
        <v>0</v>
      </c>
      <c r="F40" s="50">
        <v>0</v>
      </c>
      <c r="G40" s="42"/>
      <c r="H40" s="21">
        <f t="shared" si="11"/>
        <v>0</v>
      </c>
      <c r="I40" s="21">
        <f t="shared" si="14"/>
        <v>0</v>
      </c>
      <c r="J40" s="21">
        <f t="shared" si="14"/>
        <v>0</v>
      </c>
      <c r="K40" s="59"/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</row>
    <row r="41" customHeight="1" spans="2:39">
      <c r="B41" s="44"/>
      <c r="C41" s="23" t="s">
        <v>77</v>
      </c>
      <c r="D41" s="51" t="s">
        <v>78</v>
      </c>
      <c r="E41" s="50">
        <v>0</v>
      </c>
      <c r="F41" s="50">
        <v>0</v>
      </c>
      <c r="G41" s="42"/>
      <c r="H41" s="21">
        <f t="shared" si="11"/>
        <v>0</v>
      </c>
      <c r="I41" s="21">
        <f t="shared" si="14"/>
        <v>0</v>
      </c>
      <c r="J41" s="21">
        <f t="shared" si="14"/>
        <v>0</v>
      </c>
      <c r="K41" s="59"/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</row>
    <row r="42" customHeight="1" spans="2:39">
      <c r="B42" s="44"/>
      <c r="C42" s="23" t="s">
        <v>79</v>
      </c>
      <c r="D42" s="51" t="s">
        <v>80</v>
      </c>
      <c r="E42" s="50">
        <v>0</v>
      </c>
      <c r="F42" s="50">
        <v>0</v>
      </c>
      <c r="G42" s="42"/>
      <c r="H42" s="21">
        <f t="shared" si="11"/>
        <v>0</v>
      </c>
      <c r="I42" s="21">
        <f t="shared" si="14"/>
        <v>0</v>
      </c>
      <c r="J42" s="21">
        <f t="shared" si="14"/>
        <v>0</v>
      </c>
      <c r="K42" s="59"/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</row>
    <row r="43" customHeight="1" spans="2:39">
      <c r="B43" s="44"/>
      <c r="C43" s="23" t="s">
        <v>81</v>
      </c>
      <c r="D43" s="51" t="s">
        <v>82</v>
      </c>
      <c r="E43" s="50">
        <v>0</v>
      </c>
      <c r="F43" s="50">
        <v>0</v>
      </c>
      <c r="G43" s="42"/>
      <c r="H43" s="21">
        <f t="shared" si="11"/>
        <v>0</v>
      </c>
      <c r="I43" s="21">
        <f t="shared" si="14"/>
        <v>0</v>
      </c>
      <c r="J43" s="21">
        <f t="shared" si="14"/>
        <v>0</v>
      </c>
      <c r="K43" s="59"/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</row>
    <row r="44" customHeight="1" spans="2:39">
      <c r="B44" s="20"/>
      <c r="C44" s="20" t="s">
        <v>83</v>
      </c>
      <c r="D44" s="48" t="s">
        <v>84</v>
      </c>
      <c r="E44" s="33">
        <f>SUM(E45:E52)</f>
        <v>0</v>
      </c>
      <c r="F44" s="33">
        <f>SUM(F45:F52)</f>
        <v>0</v>
      </c>
      <c r="G44" s="42"/>
      <c r="H44" s="21">
        <f t="shared" si="11"/>
        <v>0</v>
      </c>
      <c r="I44" s="33">
        <f>SUM(I45:I52)</f>
        <v>0</v>
      </c>
      <c r="J44" s="33">
        <f>SUM(J45:J52)</f>
        <v>0</v>
      </c>
      <c r="K44" s="59"/>
      <c r="L44" s="33">
        <f t="shared" ref="L44:AM44" si="15">SUM(L45:L52)</f>
        <v>0</v>
      </c>
      <c r="M44" s="33">
        <f t="shared" si="15"/>
        <v>0</v>
      </c>
      <c r="N44" s="33">
        <f t="shared" si="15"/>
        <v>0</v>
      </c>
      <c r="O44" s="33">
        <f t="shared" si="15"/>
        <v>0</v>
      </c>
      <c r="P44" s="33">
        <f t="shared" si="15"/>
        <v>0</v>
      </c>
      <c r="Q44" s="33">
        <f t="shared" si="15"/>
        <v>0</v>
      </c>
      <c r="R44" s="33">
        <f t="shared" si="15"/>
        <v>0</v>
      </c>
      <c r="S44" s="33">
        <f t="shared" si="15"/>
        <v>0</v>
      </c>
      <c r="T44" s="33">
        <f t="shared" si="15"/>
        <v>0</v>
      </c>
      <c r="U44" s="33">
        <f t="shared" si="15"/>
        <v>0</v>
      </c>
      <c r="V44" s="33">
        <f t="shared" si="15"/>
        <v>0</v>
      </c>
      <c r="W44" s="33">
        <f t="shared" si="15"/>
        <v>0</v>
      </c>
      <c r="X44" s="33">
        <f t="shared" si="15"/>
        <v>0</v>
      </c>
      <c r="Y44" s="33">
        <f t="shared" si="15"/>
        <v>0</v>
      </c>
      <c r="Z44" s="33">
        <f t="shared" si="15"/>
        <v>0</v>
      </c>
      <c r="AA44" s="33">
        <f t="shared" si="15"/>
        <v>0</v>
      </c>
      <c r="AB44" s="33">
        <f t="shared" si="15"/>
        <v>0</v>
      </c>
      <c r="AC44" s="33">
        <f t="shared" si="15"/>
        <v>0</v>
      </c>
      <c r="AD44" s="33">
        <f t="shared" si="15"/>
        <v>0</v>
      </c>
      <c r="AE44" s="33">
        <f t="shared" si="15"/>
        <v>0</v>
      </c>
      <c r="AF44" s="33">
        <f t="shared" si="15"/>
        <v>0</v>
      </c>
      <c r="AG44" s="33">
        <f t="shared" si="15"/>
        <v>0</v>
      </c>
      <c r="AH44" s="33">
        <f t="shared" si="15"/>
        <v>0</v>
      </c>
      <c r="AI44" s="33">
        <f t="shared" si="15"/>
        <v>0</v>
      </c>
      <c r="AJ44" s="33">
        <f t="shared" si="15"/>
        <v>0</v>
      </c>
      <c r="AK44" s="33">
        <f t="shared" si="15"/>
        <v>0</v>
      </c>
      <c r="AL44" s="33">
        <f t="shared" si="15"/>
        <v>0</v>
      </c>
      <c r="AM44" s="33">
        <f t="shared" si="15"/>
        <v>0</v>
      </c>
    </row>
    <row r="45" customHeight="1" spans="2:39">
      <c r="B45" s="44"/>
      <c r="C45" s="23" t="s">
        <v>85</v>
      </c>
      <c r="D45" s="49" t="s">
        <v>66</v>
      </c>
      <c r="E45" s="50">
        <v>0</v>
      </c>
      <c r="F45" s="50">
        <v>0</v>
      </c>
      <c r="G45" s="42"/>
      <c r="H45" s="21">
        <f t="shared" si="11"/>
        <v>0</v>
      </c>
      <c r="I45" s="21">
        <f t="shared" ref="I45:J52" si="16">+L45+N45+P45+R45+T45+V45+X45+Z45+AB45+AD45+AF45+AH45+AJ45+AL45</f>
        <v>0</v>
      </c>
      <c r="J45" s="21">
        <f t="shared" si="16"/>
        <v>0</v>
      </c>
      <c r="K45" s="59"/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</row>
    <row r="46" ht="20.1" customHeight="1" spans="2:39">
      <c r="B46" s="44"/>
      <c r="C46" s="23" t="s">
        <v>86</v>
      </c>
      <c r="D46" s="51" t="s">
        <v>68</v>
      </c>
      <c r="E46" s="50">
        <v>0</v>
      </c>
      <c r="F46" s="50">
        <v>0</v>
      </c>
      <c r="G46" s="42"/>
      <c r="H46" s="21">
        <f t="shared" si="11"/>
        <v>0</v>
      </c>
      <c r="I46" s="21">
        <f t="shared" si="16"/>
        <v>0</v>
      </c>
      <c r="J46" s="21">
        <f t="shared" si="16"/>
        <v>0</v>
      </c>
      <c r="K46" s="59"/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</row>
    <row r="47" ht="20.1" customHeight="1" spans="2:39">
      <c r="B47" s="44"/>
      <c r="C47" s="23" t="s">
        <v>87</v>
      </c>
      <c r="D47" s="51" t="s">
        <v>70</v>
      </c>
      <c r="E47" s="50">
        <v>0</v>
      </c>
      <c r="F47" s="50">
        <v>0</v>
      </c>
      <c r="G47" s="42"/>
      <c r="H47" s="21">
        <f t="shared" si="11"/>
        <v>0</v>
      </c>
      <c r="I47" s="21">
        <f t="shared" si="16"/>
        <v>0</v>
      </c>
      <c r="J47" s="21">
        <f t="shared" si="16"/>
        <v>0</v>
      </c>
      <c r="K47" s="59"/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</row>
    <row r="48" ht="20.1" customHeight="1" spans="2:39">
      <c r="B48" s="44"/>
      <c r="C48" s="23" t="s">
        <v>88</v>
      </c>
      <c r="D48" s="51" t="s">
        <v>72</v>
      </c>
      <c r="E48" s="50">
        <v>0</v>
      </c>
      <c r="F48" s="50">
        <v>0</v>
      </c>
      <c r="G48" s="42"/>
      <c r="H48" s="21">
        <f t="shared" si="11"/>
        <v>0</v>
      </c>
      <c r="I48" s="21">
        <f t="shared" si="16"/>
        <v>0</v>
      </c>
      <c r="J48" s="21">
        <f t="shared" si="16"/>
        <v>0</v>
      </c>
      <c r="K48" s="59"/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</row>
    <row r="49" ht="20.1" customHeight="1" spans="2:39">
      <c r="B49" s="44"/>
      <c r="C49" s="23" t="s">
        <v>89</v>
      </c>
      <c r="D49" s="47" t="s">
        <v>90</v>
      </c>
      <c r="E49" s="50">
        <v>0</v>
      </c>
      <c r="F49" s="50">
        <v>0</v>
      </c>
      <c r="G49" s="42"/>
      <c r="H49" s="21">
        <f t="shared" si="11"/>
        <v>0</v>
      </c>
      <c r="I49" s="21">
        <f t="shared" si="16"/>
        <v>0</v>
      </c>
      <c r="J49" s="21">
        <f t="shared" si="16"/>
        <v>0</v>
      </c>
      <c r="K49" s="59"/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</row>
    <row r="50" ht="24.75" customHeight="1" spans="2:39">
      <c r="B50" s="44"/>
      <c r="C50" s="23" t="s">
        <v>91</v>
      </c>
      <c r="D50" s="51" t="s">
        <v>78</v>
      </c>
      <c r="E50" s="50">
        <v>0</v>
      </c>
      <c r="F50" s="50">
        <v>0</v>
      </c>
      <c r="G50" s="42"/>
      <c r="H50" s="21">
        <f t="shared" si="11"/>
        <v>0</v>
      </c>
      <c r="I50" s="21">
        <f t="shared" si="16"/>
        <v>0</v>
      </c>
      <c r="J50" s="21">
        <f t="shared" si="16"/>
        <v>0</v>
      </c>
      <c r="K50" s="59"/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</row>
    <row r="51" ht="20.1" customHeight="1" spans="2:39">
      <c r="B51" s="44"/>
      <c r="C51" s="23" t="s">
        <v>92</v>
      </c>
      <c r="D51" s="51" t="s">
        <v>80</v>
      </c>
      <c r="E51" s="50">
        <v>0</v>
      </c>
      <c r="F51" s="50">
        <v>0</v>
      </c>
      <c r="G51" s="42"/>
      <c r="H51" s="21">
        <f t="shared" si="11"/>
        <v>0</v>
      </c>
      <c r="I51" s="21">
        <f t="shared" si="16"/>
        <v>0</v>
      </c>
      <c r="J51" s="21">
        <f t="shared" si="16"/>
        <v>0</v>
      </c>
      <c r="K51" s="59"/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</row>
    <row r="52" ht="20.1" customHeight="1" spans="2:39">
      <c r="B52" s="44"/>
      <c r="C52" s="23" t="s">
        <v>93</v>
      </c>
      <c r="D52" s="51" t="s">
        <v>82</v>
      </c>
      <c r="E52" s="50">
        <v>0</v>
      </c>
      <c r="F52" s="50">
        <v>0</v>
      </c>
      <c r="G52" s="42"/>
      <c r="H52" s="21">
        <f t="shared" si="11"/>
        <v>0</v>
      </c>
      <c r="I52" s="21">
        <f t="shared" si="16"/>
        <v>0</v>
      </c>
      <c r="J52" s="21">
        <f t="shared" si="16"/>
        <v>0</v>
      </c>
      <c r="K52" s="59"/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</row>
    <row r="53" customHeight="1" spans="2:39">
      <c r="B53" s="52"/>
      <c r="C53" s="53"/>
      <c r="D53" s="54" t="s">
        <v>94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61"/>
    </row>
    <row r="54" customHeight="1" spans="2:39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hidden="1" customHeight="1" spans="2:39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hidden="1" customHeight="1" spans="2:39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hidden="1" customHeight="1" spans="2:39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hidden="1" customHeight="1" spans="2:39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hidden="1" customHeight="1" spans="2:39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hidden="1" customHeight="1" spans="2:39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hidden="1" customHeight="1" spans="2:39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hidden="1" customHeight="1" spans="2:39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hidden="1" customHeight="1" spans="2:39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hidden="1" customHeight="1" spans="2:39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hidden="1" customHeight="1" spans="2:39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hidden="1" customHeight="1" spans="2:3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hidden="1" customHeight="1" spans="2:3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hidden="1" customHeight="1" spans="2:39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hidden="1" customHeight="1" spans="2:39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hidden="1" customHeight="1" spans="2:3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hidden="1" customHeight="1" spans="2:3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hidden="1" customHeight="1" spans="2:39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hidden="1" customHeight="1" spans="2:3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hidden="1" customHeight="1" spans="2:3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hidden="1" customHeight="1" spans="2:39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hidden="1" customHeight="1" spans="2:3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hidden="1" customHeight="1" spans="2:3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hidden="1" customHeight="1" spans="2:39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hidden="1" customHeight="1" spans="2:39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</sheetData>
  <sheetProtection password="DE1B" sheet="1"/>
  <mergeCells count="33">
    <mergeCell ref="B2:AM2"/>
    <mergeCell ref="C3:D3"/>
    <mergeCell ref="C4:D4"/>
    <mergeCell ref="C5:D5"/>
    <mergeCell ref="B6:AM6"/>
    <mergeCell ref="B7:C7"/>
    <mergeCell ref="I7:K7"/>
    <mergeCell ref="L7:O7"/>
    <mergeCell ref="P7:S7"/>
    <mergeCell ref="T7:W7"/>
    <mergeCell ref="X7:AA7"/>
    <mergeCell ref="AB7:AE7"/>
    <mergeCell ref="AF7:AI7"/>
    <mergeCell ref="AJ7:AM7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D53:AM53"/>
    <mergeCell ref="I8:I9"/>
    <mergeCell ref="J8:J9"/>
    <mergeCell ref="E3:AM5"/>
    <mergeCell ref="E7:H8"/>
  </mergeCells>
  <dataValidations count="1">
    <dataValidation type="whole" operator="greaterThanOrEqual" allowBlank="1" showInputMessage="1" showErrorMessage="1" error="Please insert a valid data!" sqref="F31:F32 G11:G13 G16:G17 G19:G20 G23:G27 G29:G32 L45:AM52 E45:G52 L35:AM43 E35:G43 L29:AM32 L23:AM27 L19:AM20 L16:AM17 L11:AM13">
      <formula1>0</formula1>
    </dataValidation>
  </dataValidations>
  <printOptions gridLines="1"/>
  <pageMargins left="0" right="0" top="0" bottom="0" header="0" footer="0"/>
  <pageSetup paperSize="1" scale="65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56- EMIRATESASSETS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2013-10-23T09:27:01Z</dcterms:created>
  <dcterms:modified xsi:type="dcterms:W3CDTF">2024-02-22T06:20:35Z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4E34432E6CF247A197DCAF4C2119A604_13</vt:lpwstr>
  </property>
  <property fmtid="{D5CDD505-2E9C-101B-9397-08002B2CF9AE}" pid="3" name="KSOProductBuildVer">
    <vt:lpwstr>1033-12.2.0.13431</vt:lpwstr>
  </property>
</Properties>
</file>