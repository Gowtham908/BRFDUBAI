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103V2" sheetId="1" r:id="rId1"/>
  </sheets>
  <definedNames>
    <definedName name="_xlnm.Print_Area" localSheetId="0">BRF103V2!$B$2:$AF$41</definedName>
  </definedNames>
  <calcPr calcId="144525"/>
</workbook>
</file>

<file path=xl/sharedStrings.xml><?xml version="1.0" encoding="utf-8"?>
<sst xmlns="http://schemas.openxmlformats.org/spreadsheetml/2006/main" count="90" uniqueCount="46">
  <si>
    <t xml:space="preserve">                                                BANKING AND MONETARY STATISTICS-   Dormant Account -BRF 103  (AED IN 000s)</t>
  </si>
  <si>
    <t>ID:</t>
  </si>
  <si>
    <t>4-103-2-0</t>
  </si>
  <si>
    <t>BANK</t>
  </si>
  <si>
    <t>Bank of Baroda</t>
  </si>
  <si>
    <t>As On</t>
  </si>
  <si>
    <t>Sr No</t>
  </si>
  <si>
    <t>Regulation Reference Article</t>
  </si>
  <si>
    <t>Dormant Type</t>
  </si>
  <si>
    <t>6 months to 1 year</t>
  </si>
  <si>
    <t>1 year to 2 years</t>
  </si>
  <si>
    <t>2 years to 3 years</t>
  </si>
  <si>
    <t>3 years to 5 years</t>
  </si>
  <si>
    <t>5 years and above</t>
  </si>
  <si>
    <t>Total Inactive Amount</t>
  </si>
  <si>
    <t>Total Dormant Amount</t>
  </si>
  <si>
    <t>AED</t>
  </si>
  <si>
    <t>FCY</t>
  </si>
  <si>
    <t>Nos of A/cs</t>
  </si>
  <si>
    <t>Amount</t>
  </si>
  <si>
    <t>Dormant Individual/ Corporate deposit account</t>
  </si>
  <si>
    <t xml:space="preserve">Saving </t>
  </si>
  <si>
    <t xml:space="preserve">Current </t>
  </si>
  <si>
    <t>Balance in "Dormant Account Ledger"</t>
  </si>
  <si>
    <t>Balance transferred to Central Bank under "Unclaimed Balances Account - Dormant Accounts"</t>
  </si>
  <si>
    <t>Dormant Fixed/ Short Term Deposit Account</t>
  </si>
  <si>
    <t>Where there is no automatic renewable clause</t>
  </si>
  <si>
    <t xml:space="preserve">Where there is an automatic renewable clause </t>
  </si>
  <si>
    <t>Dormant Investment Account</t>
  </si>
  <si>
    <t>Closed ended investment account</t>
  </si>
  <si>
    <t>Open ended investment account</t>
  </si>
  <si>
    <t>Dormant Bankers Cheque, Demand Draft and Cashier Orders</t>
  </si>
  <si>
    <t>Unclaimed Bankers Cheques</t>
  </si>
  <si>
    <t>Unclaimed Bankers Drafts</t>
  </si>
  <si>
    <t>Unclaimed cashier Order</t>
  </si>
  <si>
    <t>Total amount transferred to "Unclaimed Balance Account"</t>
  </si>
  <si>
    <t xml:space="preserve">Dormant Unclaimed Dividend </t>
  </si>
  <si>
    <t>Unclaimed Safe Deposit Boxes (separate BRF on Safe deposit Boxes)</t>
  </si>
  <si>
    <t>Outstanding charges on safe deposit boxes</t>
  </si>
  <si>
    <t>No of safe boxes applied to court for opening the boxes</t>
  </si>
  <si>
    <t>Unclaimed Foreign currency balances transferred to Central bank</t>
  </si>
  <si>
    <t>Total Dormant accounts and amounts</t>
  </si>
  <si>
    <t>Total Balance transferred to Central Bank under "Unclaimed Balances Account - Dormant Accounts"</t>
  </si>
  <si>
    <t>Total Inactive accounts and amounts</t>
  </si>
  <si>
    <t>Only Number cells to be filled in Item "6.2" - No of safe boxes applied to court for opening the boxes</t>
  </si>
  <si>
    <t>FORM NO: BSD/BRF 103 DORMANT AUG 2020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</si>
</sst>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26">
    <font>
      <sz val="11"/>
      <color theme="1"/>
      <name val="Calibri"/>
      <family val="2"/>
      <charset val="0"/>
      <scheme val="minor"/>
    </font>
    <font>
      <b/>
      <sz val="10"/>
      <name val="Calibri"/>
      <family val="2"/>
      <charset val="0"/>
    </font>
    <font>
      <b/>
      <sz val="8"/>
      <color indexed="8"/>
      <name val="Arial"/>
      <family val="2"/>
      <charset val="0"/>
    </font>
    <font>
      <b/>
      <sz val="8"/>
      <name val="Arial"/>
      <family val="2"/>
      <charset val="0"/>
    </font>
    <font>
      <sz val="9"/>
      <color theme="1"/>
      <name val="Arial"/>
      <family val="2"/>
      <charset val="0"/>
    </font>
    <font>
      <b/>
      <sz val="9"/>
      <color theme="1"/>
      <name val="Arial"/>
      <family val="2"/>
      <charset val="0"/>
    </font>
    <font>
      <b/>
      <sz val="9"/>
      <color indexed="8"/>
      <name val="Arial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sz val="18"/>
      <color theme="3"/>
      <name val="Calibri Light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</fonts>
  <fills count="3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12" applyNumberFormat="0" applyFont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13" applyNumberFormat="0" applyFill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4" fillId="0" borderId="0" applyNumberFormat="0" applyFill="0" applyBorder="0" applyAlignment="0" applyProtection="0"/>
    <xf numFmtId="0" fontId="15" fillId="9" borderId="16" applyNumberFormat="0" applyAlignment="0" applyProtection="0"/>
    <xf numFmtId="0" fontId="16" fillId="10" borderId="17" applyNumberFormat="0" applyAlignment="0" applyProtection="0"/>
    <xf numFmtId="0" fontId="17" fillId="10" borderId="16" applyNumberFormat="0" applyAlignment="0" applyProtection="0"/>
    <xf numFmtId="0" fontId="18" fillId="11" borderId="18" applyNumberFormat="0" applyAlignment="0" applyProtection="0"/>
    <xf numFmtId="0" fontId="19" fillId="0" borderId="19" applyNumberFormat="0" applyFill="0" applyAlignment="0" applyProtection="0"/>
    <xf numFmtId="0" fontId="20" fillId="0" borderId="20" applyNumberFormat="0" applyFill="0" applyAlignment="0" applyProtection="0"/>
    <xf numFmtId="0" fontId="21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4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4" fillId="18" borderId="0" applyNumberFormat="0" applyBorder="0" applyAlignment="0" applyProtection="0"/>
    <xf numFmtId="0" fontId="24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4" fillId="26" borderId="0" applyNumberFormat="0" applyBorder="0" applyAlignment="0" applyProtection="0"/>
    <xf numFmtId="0" fontId="24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4" fillId="30" borderId="0" applyNumberFormat="0" applyBorder="0" applyAlignment="0" applyProtection="0"/>
    <xf numFmtId="0" fontId="24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4" fillId="34" borderId="0" applyNumberFormat="0" applyBorder="0" applyAlignment="0" applyProtection="0"/>
    <xf numFmtId="0" fontId="24" fillId="35" borderId="0" applyNumberFormat="0" applyBorder="0" applyAlignment="0" applyProtection="0"/>
    <xf numFmtId="0" fontId="0" fillId="36" borderId="0" applyNumberFormat="0" applyBorder="0" applyAlignment="0" applyProtection="0"/>
    <xf numFmtId="0" fontId="0" fillId="37" borderId="0" applyNumberFormat="0" applyBorder="0" applyAlignment="0" applyProtection="0"/>
    <xf numFmtId="0" fontId="24" fillId="38" borderId="0" applyNumberFormat="0" applyBorder="0" applyAlignment="0" applyProtection="0"/>
    <xf numFmtId="0" fontId="25" fillId="0" borderId="0"/>
    <xf numFmtId="0" fontId="25" fillId="0" borderId="0"/>
    <xf numFmtId="0" fontId="25" fillId="0" borderId="0"/>
  </cellStyleXfs>
  <cellXfs count="39">
    <xf numFmtId="0" fontId="0" fillId="0" borderId="0" xfId="0"/>
    <xf numFmtId="0" fontId="1" fillId="2" borderId="1" xfId="51" applyFont="1" applyFill="1" applyBorder="1" applyAlignment="1" applyProtection="1">
      <alignment horizontal="center"/>
    </xf>
    <xf numFmtId="0" fontId="2" fillId="2" borderId="1" xfId="49" applyFont="1" applyFill="1" applyBorder="1" applyAlignment="1" applyProtection="1"/>
    <xf numFmtId="15" fontId="3" fillId="0" borderId="1" xfId="50" applyNumberFormat="1" applyFont="1" applyFill="1" applyBorder="1" applyAlignment="1" applyProtection="1">
      <alignment horizontal="left"/>
    </xf>
    <xf numFmtId="0" fontId="0" fillId="0" borderId="1" xfId="0" applyFont="1" applyBorder="1" applyAlignment="1" applyProtection="1">
      <alignment horizontal="center"/>
    </xf>
    <xf numFmtId="15" fontId="3" fillId="2" borderId="1" xfId="50" applyNumberFormat="1" applyFont="1" applyFill="1" applyBorder="1" applyAlignment="1" applyProtection="1">
      <alignment horizontal="left"/>
    </xf>
    <xf numFmtId="0" fontId="3" fillId="2" borderId="2" xfId="50" applyFont="1" applyFill="1" applyBorder="1" applyProtection="1"/>
    <xf numFmtId="15" fontId="3" fillId="0" borderId="2" xfId="50" applyNumberFormat="1" applyFont="1" applyFill="1" applyBorder="1" applyAlignment="1" applyProtection="1">
      <alignment horizontal="left"/>
    </xf>
    <xf numFmtId="0" fontId="0" fillId="0" borderId="2" xfId="0" applyFont="1" applyBorder="1" applyAlignment="1" applyProtection="1">
      <alignment horizontal="center"/>
    </xf>
    <xf numFmtId="0" fontId="4" fillId="0" borderId="3" xfId="0" applyFont="1" applyBorder="1" applyAlignment="1" applyProtection="1">
      <alignment vertical="top"/>
    </xf>
    <xf numFmtId="0" fontId="4" fillId="0" borderId="4" xfId="0" applyFont="1" applyBorder="1" applyAlignment="1" applyProtection="1">
      <alignment vertical="top"/>
    </xf>
    <xf numFmtId="0" fontId="5" fillId="3" borderId="5" xfId="0" applyFont="1" applyFill="1" applyBorder="1" applyAlignment="1" applyProtection="1">
      <alignment horizontal="center" vertical="top" wrapText="1"/>
    </xf>
    <xf numFmtId="0" fontId="5" fillId="3" borderId="1" xfId="0" applyFont="1" applyFill="1" applyBorder="1" applyAlignment="1" applyProtection="1">
      <alignment horizontal="center" vertical="top" wrapText="1"/>
    </xf>
    <xf numFmtId="0" fontId="6" fillId="3" borderId="1" xfId="0" applyFont="1" applyFill="1" applyBorder="1" applyAlignment="1" applyProtection="1">
      <alignment horizontal="center" vertical="top" wrapText="1"/>
    </xf>
    <xf numFmtId="0" fontId="6" fillId="3" borderId="1" xfId="0" applyFont="1" applyFill="1" applyBorder="1" applyAlignment="1" applyProtection="1">
      <alignment horizontal="left" vertical="top" wrapText="1"/>
    </xf>
    <xf numFmtId="0" fontId="5" fillId="3" borderId="1" xfId="0" applyFont="1" applyFill="1" applyBorder="1" applyAlignment="1" applyProtection="1">
      <alignment vertical="top" wrapText="1"/>
    </xf>
    <xf numFmtId="0" fontId="4" fillId="0" borderId="1" xfId="0" applyFont="1" applyBorder="1" applyAlignment="1" applyProtection="1">
      <alignment vertical="top" wrapText="1"/>
    </xf>
    <xf numFmtId="0" fontId="4" fillId="0" borderId="1" xfId="0" applyFont="1" applyBorder="1" applyAlignment="1" applyProtection="1">
      <alignment vertical="top"/>
    </xf>
    <xf numFmtId="0" fontId="4" fillId="3" borderId="1" xfId="0" applyFont="1" applyFill="1" applyBorder="1" applyAlignment="1" applyProtection="1">
      <alignment vertical="top" wrapText="1"/>
    </xf>
    <xf numFmtId="0" fontId="4" fillId="4" borderId="1" xfId="0" applyFont="1" applyFill="1" applyBorder="1" applyAlignment="1" applyProtection="1">
      <alignment vertical="top" wrapText="1"/>
    </xf>
    <xf numFmtId="0" fontId="5" fillId="0" borderId="1" xfId="0" applyFont="1" applyBorder="1" applyAlignment="1" applyProtection="1">
      <alignment vertical="top" wrapText="1"/>
    </xf>
    <xf numFmtId="0" fontId="5" fillId="3" borderId="2" xfId="0" applyFont="1" applyFill="1" applyBorder="1" applyAlignment="1" applyProtection="1">
      <alignment vertical="top" wrapText="1"/>
    </xf>
    <xf numFmtId="0" fontId="4" fillId="3" borderId="2" xfId="0" applyFont="1" applyFill="1" applyBorder="1" applyAlignment="1" applyProtection="1">
      <alignment vertical="top" wrapText="1"/>
    </xf>
    <xf numFmtId="0" fontId="0" fillId="0" borderId="6" xfId="0" applyBorder="1" applyProtection="1"/>
    <xf numFmtId="0" fontId="0" fillId="0" borderId="0" xfId="0" applyBorder="1" applyProtection="1"/>
    <xf numFmtId="0" fontId="3" fillId="0" borderId="1" xfId="0" applyFont="1" applyBorder="1" applyAlignment="1" applyProtection="1">
      <alignment wrapText="1"/>
    </xf>
    <xf numFmtId="0" fontId="0" fillId="0" borderId="7" xfId="0" applyBorder="1" applyProtection="1"/>
    <xf numFmtId="0" fontId="0" fillId="0" borderId="8" xfId="0" applyBorder="1" applyProtection="1"/>
    <xf numFmtId="0" fontId="3" fillId="0" borderId="1" xfId="0" applyFont="1" applyBorder="1" applyProtection="1"/>
    <xf numFmtId="0" fontId="4" fillId="5" borderId="1" xfId="0" applyFont="1" applyFill="1" applyBorder="1" applyAlignment="1" applyProtection="1">
      <alignment vertical="top" wrapText="1"/>
    </xf>
    <xf numFmtId="0" fontId="4" fillId="0" borderId="1" xfId="0" applyFont="1" applyFill="1" applyBorder="1" applyAlignment="1" applyProtection="1">
      <alignment vertical="top" wrapText="1"/>
      <protection locked="0"/>
    </xf>
    <xf numFmtId="0" fontId="4" fillId="4" borderId="1" xfId="0" applyFont="1" applyFill="1" applyBorder="1" applyAlignment="1" applyProtection="1">
      <alignment vertical="top" wrapText="1"/>
      <protection locked="0"/>
    </xf>
    <xf numFmtId="0" fontId="4" fillId="0" borderId="9" xfId="0" applyFont="1" applyBorder="1" applyAlignment="1" applyProtection="1">
      <alignment vertical="top"/>
    </xf>
    <xf numFmtId="0" fontId="5" fillId="6" borderId="1" xfId="0" applyFont="1" applyFill="1" applyBorder="1" applyAlignment="1" applyProtection="1">
      <alignment vertical="top" wrapText="1"/>
    </xf>
    <xf numFmtId="0" fontId="5" fillId="0" borderId="1" xfId="0" applyFont="1" applyFill="1" applyBorder="1" applyAlignment="1" applyProtection="1">
      <alignment vertical="top" wrapText="1"/>
      <protection locked="0"/>
    </xf>
    <xf numFmtId="0" fontId="5" fillId="7" borderId="1" xfId="0" applyFont="1" applyFill="1" applyBorder="1" applyAlignment="1" applyProtection="1">
      <alignment vertical="top" wrapText="1"/>
      <protection locked="0"/>
    </xf>
    <xf numFmtId="0" fontId="5" fillId="5" borderId="1" xfId="0" applyFont="1" applyFill="1" applyBorder="1" applyAlignment="1" applyProtection="1">
      <alignment vertical="top" wrapText="1"/>
    </xf>
    <xf numFmtId="0" fontId="0" fillId="0" borderId="10" xfId="0" applyBorder="1" applyProtection="1"/>
    <xf numFmtId="0" fontId="0" fillId="0" borderId="11" xfId="0" applyBorder="1" applyProtection="1"/>
  </cellXfs>
  <cellStyles count="5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5" xfId="51"/>
  </cellStyles>
  <tableStyles count="0" defaultTableStyle="TableStyleMedium2" defaultPivotStyle="PivotStyleLight16"/>
  <colors>
    <mruColors>
      <color rgb="00FFFFFF"/>
      <color rgb="00C0C0C0"/>
      <color rgb="00A6A6A6"/>
      <color rgb="00FFFF00"/>
      <color rgb="00D9D9D9"/>
      <color rgb="0080808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B1:AF43"/>
  <sheetViews>
    <sheetView showGridLines="0" tabSelected="1" zoomScale="74" zoomScaleNormal="74" zoomScaleSheetLayoutView="60" topLeftCell="A5" workbookViewId="0">
      <selection activeCell="U36" sqref="U36"/>
    </sheetView>
  </sheetViews>
  <sheetFormatPr defaultColWidth="0" defaultRowHeight="15" zeroHeight="1"/>
  <cols>
    <col min="1" max="1" width="0.281818181818182" customWidth="1"/>
    <col min="2" max="3" width="5.70909090909091" customWidth="1"/>
    <col min="4" max="4" width="50.7090909090909" customWidth="1"/>
    <col min="5" max="32" width="8.57272727272727" customWidth="1"/>
    <col min="33" max="33" width="9.13636363636364" customWidth="1"/>
    <col min="34" max="16384" width="9.13636363636364" hidden="1"/>
  </cols>
  <sheetData>
    <row r="1" ht="14.5"/>
    <row r="2" ht="14.5" spans="2:32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4.5" spans="2:32">
      <c r="B3" s="2" t="s">
        <v>1</v>
      </c>
      <c r="C3" s="3" t="s">
        <v>2</v>
      </c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</row>
    <row r="4" ht="14.5" spans="2:32">
      <c r="B4" s="5" t="s">
        <v>3</v>
      </c>
      <c r="C4" s="3" t="s">
        <v>4</v>
      </c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</row>
    <row r="5" ht="14.5" spans="2:32">
      <c r="B5" s="6" t="s">
        <v>5</v>
      </c>
      <c r="C5" s="7"/>
      <c r="D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4.5" spans="2:32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32"/>
    </row>
    <row r="7" ht="14.5" spans="2:32">
      <c r="B7" s="11" t="s">
        <v>6</v>
      </c>
      <c r="C7" s="11" t="s">
        <v>7</v>
      </c>
      <c r="D7" s="11" t="s">
        <v>8</v>
      </c>
      <c r="E7" s="11" t="s">
        <v>9</v>
      </c>
      <c r="F7" s="11"/>
      <c r="G7" s="11"/>
      <c r="H7" s="11"/>
      <c r="I7" s="11" t="s">
        <v>10</v>
      </c>
      <c r="J7" s="11"/>
      <c r="K7" s="11"/>
      <c r="L7" s="11"/>
      <c r="M7" s="11" t="s">
        <v>11</v>
      </c>
      <c r="N7" s="11"/>
      <c r="O7" s="11"/>
      <c r="P7" s="11"/>
      <c r="Q7" s="11" t="s">
        <v>12</v>
      </c>
      <c r="R7" s="11"/>
      <c r="S7" s="11"/>
      <c r="T7" s="11"/>
      <c r="U7" s="11" t="s">
        <v>13</v>
      </c>
      <c r="V7" s="11"/>
      <c r="W7" s="11"/>
      <c r="X7" s="11"/>
      <c r="Y7" s="11" t="s">
        <v>14</v>
      </c>
      <c r="Z7" s="11"/>
      <c r="AA7" s="11"/>
      <c r="AB7" s="11"/>
      <c r="AC7" s="11" t="s">
        <v>15</v>
      </c>
      <c r="AD7" s="11"/>
      <c r="AE7" s="11"/>
      <c r="AF7" s="11"/>
    </row>
    <row r="8" ht="14.5" spans="2:32">
      <c r="B8" s="12"/>
      <c r="C8" s="12"/>
      <c r="D8" s="12"/>
      <c r="E8" s="13" t="s">
        <v>16</v>
      </c>
      <c r="F8" s="13"/>
      <c r="G8" s="13" t="s">
        <v>17</v>
      </c>
      <c r="H8" s="13"/>
      <c r="I8" s="13" t="s">
        <v>16</v>
      </c>
      <c r="J8" s="13"/>
      <c r="K8" s="13" t="s">
        <v>17</v>
      </c>
      <c r="L8" s="13"/>
      <c r="M8" s="13" t="s">
        <v>16</v>
      </c>
      <c r="N8" s="13"/>
      <c r="O8" s="13" t="s">
        <v>17</v>
      </c>
      <c r="P8" s="13"/>
      <c r="Q8" s="13" t="s">
        <v>16</v>
      </c>
      <c r="R8" s="13"/>
      <c r="S8" s="13" t="s">
        <v>17</v>
      </c>
      <c r="T8" s="13"/>
      <c r="U8" s="13" t="s">
        <v>16</v>
      </c>
      <c r="V8" s="13"/>
      <c r="W8" s="13" t="s">
        <v>17</v>
      </c>
      <c r="X8" s="13"/>
      <c r="Y8" s="13" t="s">
        <v>16</v>
      </c>
      <c r="Z8" s="13"/>
      <c r="AA8" s="13" t="s">
        <v>17</v>
      </c>
      <c r="AB8" s="13"/>
      <c r="AC8" s="13" t="s">
        <v>16</v>
      </c>
      <c r="AD8" s="13"/>
      <c r="AE8" s="13" t="s">
        <v>17</v>
      </c>
      <c r="AF8" s="13"/>
    </row>
    <row r="9" ht="23" spans="2:32">
      <c r="B9" s="12"/>
      <c r="C9" s="12"/>
      <c r="D9" s="12"/>
      <c r="E9" s="14" t="s">
        <v>18</v>
      </c>
      <c r="F9" s="14" t="s">
        <v>19</v>
      </c>
      <c r="G9" s="14" t="s">
        <v>18</v>
      </c>
      <c r="H9" s="14" t="s">
        <v>19</v>
      </c>
      <c r="I9" s="14" t="s">
        <v>18</v>
      </c>
      <c r="J9" s="14" t="s">
        <v>19</v>
      </c>
      <c r="K9" s="14" t="s">
        <v>18</v>
      </c>
      <c r="L9" s="14" t="s">
        <v>19</v>
      </c>
      <c r="M9" s="14" t="s">
        <v>18</v>
      </c>
      <c r="N9" s="14" t="s">
        <v>19</v>
      </c>
      <c r="O9" s="14" t="s">
        <v>18</v>
      </c>
      <c r="P9" s="14" t="s">
        <v>19</v>
      </c>
      <c r="Q9" s="14" t="s">
        <v>18</v>
      </c>
      <c r="R9" s="14" t="s">
        <v>19</v>
      </c>
      <c r="S9" s="14" t="s">
        <v>18</v>
      </c>
      <c r="T9" s="14" t="s">
        <v>19</v>
      </c>
      <c r="U9" s="14" t="s">
        <v>18</v>
      </c>
      <c r="V9" s="14" t="s">
        <v>19</v>
      </c>
      <c r="W9" s="14" t="s">
        <v>18</v>
      </c>
      <c r="X9" s="14" t="s">
        <v>19</v>
      </c>
      <c r="Y9" s="14" t="s">
        <v>18</v>
      </c>
      <c r="Z9" s="14" t="s">
        <v>19</v>
      </c>
      <c r="AA9" s="14" t="s">
        <v>18</v>
      </c>
      <c r="AB9" s="14" t="s">
        <v>19</v>
      </c>
      <c r="AC9" s="14" t="s">
        <v>18</v>
      </c>
      <c r="AD9" s="14" t="s">
        <v>19</v>
      </c>
      <c r="AE9" s="14" t="s">
        <v>18</v>
      </c>
      <c r="AF9" s="14" t="s">
        <v>19</v>
      </c>
    </row>
    <row r="10" ht="14.5" spans="2:32">
      <c r="B10" s="15">
        <v>1</v>
      </c>
      <c r="C10" s="15">
        <v>2</v>
      </c>
      <c r="D10" s="15" t="s">
        <v>20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>
        <f>SUM(Y11:Y12)</f>
        <v>0</v>
      </c>
      <c r="Z10" s="15">
        <f>SUM(Z11:Z12)</f>
        <v>0</v>
      </c>
      <c r="AA10" s="15">
        <f>SUM(AA11:AA12)</f>
        <v>0</v>
      </c>
      <c r="AB10" s="15">
        <f>SUM(AB11:AB12)</f>
        <v>0</v>
      </c>
      <c r="AC10" s="15">
        <f>SUM(AC11:AC14)</f>
        <v>0</v>
      </c>
      <c r="AD10" s="15">
        <f>SUM(AD11:AD14)</f>
        <v>0</v>
      </c>
      <c r="AE10" s="15">
        <f>SUM(AE11:AE14)</f>
        <v>0</v>
      </c>
      <c r="AF10" s="15">
        <f>SUM(AF11:AF14)</f>
        <v>0</v>
      </c>
    </row>
    <row r="11" ht="14.5" spans="2:32">
      <c r="B11" s="16">
        <v>1.1</v>
      </c>
      <c r="C11" s="16">
        <v>2.1</v>
      </c>
      <c r="D11" s="17" t="s">
        <v>21</v>
      </c>
      <c r="E11" s="18">
        <f t="shared" ref="E11:P11" si="0">0</f>
        <v>0</v>
      </c>
      <c r="F11" s="18">
        <f t="shared" si="0"/>
        <v>0</v>
      </c>
      <c r="G11" s="18">
        <f t="shared" si="0"/>
        <v>0</v>
      </c>
      <c r="H11" s="18">
        <f t="shared" si="0"/>
        <v>0</v>
      </c>
      <c r="I11" s="18">
        <f t="shared" si="0"/>
        <v>0</v>
      </c>
      <c r="J11" s="18">
        <f t="shared" si="0"/>
        <v>0</v>
      </c>
      <c r="K11" s="18">
        <f t="shared" si="0"/>
        <v>0</v>
      </c>
      <c r="L11" s="18">
        <f t="shared" si="0"/>
        <v>0</v>
      </c>
      <c r="M11" s="18">
        <f t="shared" si="0"/>
        <v>0</v>
      </c>
      <c r="N11" s="18">
        <f t="shared" si="0"/>
        <v>0</v>
      </c>
      <c r="O11" s="18">
        <f t="shared" si="0"/>
        <v>0</v>
      </c>
      <c r="P11" s="18">
        <f t="shared" si="0"/>
        <v>0</v>
      </c>
      <c r="Q11" s="30">
        <v>0</v>
      </c>
      <c r="R11" s="30">
        <v>0</v>
      </c>
      <c r="S11" s="30">
        <v>0</v>
      </c>
      <c r="T11" s="30">
        <v>0</v>
      </c>
      <c r="U11" s="31">
        <v>0</v>
      </c>
      <c r="V11" s="31">
        <v>0</v>
      </c>
      <c r="W11" s="31">
        <v>0</v>
      </c>
      <c r="X11" s="31">
        <v>0</v>
      </c>
      <c r="Y11" s="15">
        <f t="shared" ref="Y11:AB12" si="1">E11+I11+M11</f>
        <v>0</v>
      </c>
      <c r="Z11" s="15">
        <f t="shared" si="1"/>
        <v>0</v>
      </c>
      <c r="AA11" s="15">
        <f t="shared" si="1"/>
        <v>0</v>
      </c>
      <c r="AB11" s="15">
        <f t="shared" si="1"/>
        <v>0</v>
      </c>
      <c r="AC11" s="33">
        <f>Q11</f>
        <v>0</v>
      </c>
      <c r="AD11" s="33">
        <f t="shared" ref="AC11:AF13" si="2">R11</f>
        <v>0</v>
      </c>
      <c r="AE11" s="33">
        <f t="shared" si="2"/>
        <v>0</v>
      </c>
      <c r="AF11" s="33">
        <f t="shared" si="2"/>
        <v>0</v>
      </c>
    </row>
    <row r="12" ht="14.5" spans="2:32">
      <c r="B12" s="16">
        <v>1.2</v>
      </c>
      <c r="C12" s="16">
        <v>2.1</v>
      </c>
      <c r="D12" s="16" t="s">
        <v>22</v>
      </c>
      <c r="E12" s="18">
        <f t="shared" ref="E12:P12" si="3">0</f>
        <v>0</v>
      </c>
      <c r="F12" s="18">
        <f t="shared" si="3"/>
        <v>0</v>
      </c>
      <c r="G12" s="18">
        <f t="shared" si="3"/>
        <v>0</v>
      </c>
      <c r="H12" s="18">
        <f t="shared" si="3"/>
        <v>0</v>
      </c>
      <c r="I12" s="18">
        <f t="shared" si="3"/>
        <v>0</v>
      </c>
      <c r="J12" s="18">
        <f t="shared" si="3"/>
        <v>0</v>
      </c>
      <c r="K12" s="18">
        <f t="shared" si="3"/>
        <v>0</v>
      </c>
      <c r="L12" s="18">
        <f t="shared" si="3"/>
        <v>0</v>
      </c>
      <c r="M12" s="18">
        <f t="shared" si="3"/>
        <v>0</v>
      </c>
      <c r="N12" s="18">
        <f t="shared" si="3"/>
        <v>0</v>
      </c>
      <c r="O12" s="18">
        <f t="shared" si="3"/>
        <v>0</v>
      </c>
      <c r="P12" s="18">
        <f t="shared" si="3"/>
        <v>0</v>
      </c>
      <c r="Q12" s="30">
        <v>0</v>
      </c>
      <c r="R12" s="30">
        <v>0</v>
      </c>
      <c r="S12" s="30">
        <v>0</v>
      </c>
      <c r="T12" s="30">
        <v>0</v>
      </c>
      <c r="U12" s="31">
        <v>0</v>
      </c>
      <c r="V12" s="31">
        <v>0</v>
      </c>
      <c r="W12" s="31">
        <v>0</v>
      </c>
      <c r="X12" s="31">
        <v>0</v>
      </c>
      <c r="Y12" s="15">
        <f t="shared" si="1"/>
        <v>0</v>
      </c>
      <c r="Z12" s="15">
        <f t="shared" si="1"/>
        <v>0</v>
      </c>
      <c r="AA12" s="15">
        <f t="shared" si="1"/>
        <v>0</v>
      </c>
      <c r="AB12" s="15">
        <f t="shared" si="1"/>
        <v>0</v>
      </c>
      <c r="AC12" s="33">
        <f t="shared" si="2"/>
        <v>0</v>
      </c>
      <c r="AD12" s="33">
        <f t="shared" si="2"/>
        <v>0</v>
      </c>
      <c r="AE12" s="33">
        <f t="shared" si="2"/>
        <v>0</v>
      </c>
      <c r="AF12" s="33">
        <f t="shared" si="2"/>
        <v>0</v>
      </c>
    </row>
    <row r="13" ht="14.5" spans="2:32">
      <c r="B13" s="16">
        <v>1.3</v>
      </c>
      <c r="C13" s="16">
        <v>3.5</v>
      </c>
      <c r="D13" s="16" t="s">
        <v>23</v>
      </c>
      <c r="E13" s="18"/>
      <c r="F13" s="18"/>
      <c r="G13" s="18"/>
      <c r="H13" s="18"/>
      <c r="I13" s="29"/>
      <c r="J13" s="29"/>
      <c r="K13" s="29"/>
      <c r="L13" s="29"/>
      <c r="M13" s="29"/>
      <c r="N13" s="29"/>
      <c r="O13" s="29"/>
      <c r="P13" s="29"/>
      <c r="Q13" s="30">
        <v>0</v>
      </c>
      <c r="R13" s="30">
        <v>0</v>
      </c>
      <c r="S13" s="30">
        <v>0</v>
      </c>
      <c r="T13" s="30">
        <v>0</v>
      </c>
      <c r="U13" s="31">
        <v>0</v>
      </c>
      <c r="V13" s="31">
        <v>0</v>
      </c>
      <c r="W13" s="31">
        <v>0</v>
      </c>
      <c r="X13" s="31">
        <v>0</v>
      </c>
      <c r="Y13" s="15"/>
      <c r="Z13" s="15"/>
      <c r="AA13" s="15"/>
      <c r="AB13" s="15"/>
      <c r="AC13" s="33">
        <f>Q13</f>
        <v>0</v>
      </c>
      <c r="AD13" s="33">
        <f t="shared" si="2"/>
        <v>0</v>
      </c>
      <c r="AE13" s="33">
        <f t="shared" si="2"/>
        <v>0</v>
      </c>
      <c r="AF13" s="33">
        <f t="shared" si="2"/>
        <v>0</v>
      </c>
    </row>
    <row r="14" ht="23" spans="2:32">
      <c r="B14" s="16">
        <v>1.4</v>
      </c>
      <c r="C14" s="16">
        <v>8.1</v>
      </c>
      <c r="D14" s="16" t="s">
        <v>24</v>
      </c>
      <c r="E14" s="18"/>
      <c r="F14" s="18"/>
      <c r="G14" s="18"/>
      <c r="H14" s="18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30">
        <v>0</v>
      </c>
      <c r="V14" s="30">
        <v>0</v>
      </c>
      <c r="W14" s="30">
        <v>0</v>
      </c>
      <c r="X14" s="30">
        <v>0</v>
      </c>
      <c r="Y14" s="15"/>
      <c r="Z14" s="15"/>
      <c r="AA14" s="15"/>
      <c r="AB14" s="15"/>
      <c r="AC14" s="33">
        <f>U14</f>
        <v>0</v>
      </c>
      <c r="AD14" s="33">
        <f>V14</f>
        <v>0</v>
      </c>
      <c r="AE14" s="33">
        <f>W14</f>
        <v>0</v>
      </c>
      <c r="AF14" s="33">
        <f>X14</f>
        <v>0</v>
      </c>
    </row>
    <row r="15" ht="14.5" spans="2:32">
      <c r="B15" s="15">
        <v>2</v>
      </c>
      <c r="C15" s="15">
        <v>2</v>
      </c>
      <c r="D15" s="15" t="s">
        <v>25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>
        <f>SUM(Y16:Y17)</f>
        <v>0</v>
      </c>
      <c r="Z15" s="15">
        <f>SUM(Z16:Z17)</f>
        <v>0</v>
      </c>
      <c r="AA15" s="15">
        <f>SUM(AA16:AA17)</f>
        <v>0</v>
      </c>
      <c r="AB15" s="15">
        <f>SUM(AB16:AB17)</f>
        <v>0</v>
      </c>
      <c r="AC15" s="15">
        <f>SUM(AC16:AC19)</f>
        <v>0</v>
      </c>
      <c r="AD15" s="15">
        <f>SUM(AD16:AD19)</f>
        <v>0</v>
      </c>
      <c r="AE15" s="15">
        <f>SUM(AE16:AE19)</f>
        <v>0</v>
      </c>
      <c r="AF15" s="15">
        <f>SUM(AF16:AF19)</f>
        <v>0</v>
      </c>
    </row>
    <row r="16" ht="14.5" spans="2:32">
      <c r="B16" s="16">
        <v>2.1</v>
      </c>
      <c r="C16" s="16">
        <v>2.2</v>
      </c>
      <c r="D16" s="16" t="s">
        <v>26</v>
      </c>
      <c r="E16" s="18">
        <f t="shared" ref="E16:P16" si="4">0</f>
        <v>0</v>
      </c>
      <c r="F16" s="18">
        <f t="shared" si="4"/>
        <v>0</v>
      </c>
      <c r="G16" s="18">
        <f t="shared" si="4"/>
        <v>0</v>
      </c>
      <c r="H16" s="18">
        <f t="shared" si="4"/>
        <v>0</v>
      </c>
      <c r="I16" s="18">
        <f t="shared" si="4"/>
        <v>0</v>
      </c>
      <c r="J16" s="18">
        <f t="shared" si="4"/>
        <v>0</v>
      </c>
      <c r="K16" s="18">
        <f t="shared" si="4"/>
        <v>0</v>
      </c>
      <c r="L16" s="18">
        <f t="shared" si="4"/>
        <v>0</v>
      </c>
      <c r="M16" s="18">
        <f t="shared" si="4"/>
        <v>0</v>
      </c>
      <c r="N16" s="18">
        <f t="shared" si="4"/>
        <v>0</v>
      </c>
      <c r="O16" s="18">
        <f t="shared" si="4"/>
        <v>0</v>
      </c>
      <c r="P16" s="18">
        <f t="shared" si="4"/>
        <v>0</v>
      </c>
      <c r="Q16" s="30">
        <v>0</v>
      </c>
      <c r="R16" s="30">
        <v>0</v>
      </c>
      <c r="S16" s="30">
        <v>0</v>
      </c>
      <c r="T16" s="30">
        <v>0</v>
      </c>
      <c r="U16" s="31">
        <v>0</v>
      </c>
      <c r="V16" s="31">
        <v>0</v>
      </c>
      <c r="W16" s="31">
        <v>0</v>
      </c>
      <c r="X16" s="31">
        <v>0</v>
      </c>
      <c r="Y16" s="15">
        <f t="shared" ref="Y16:AB17" si="5">E16+I16+M16</f>
        <v>0</v>
      </c>
      <c r="Z16" s="15">
        <f t="shared" si="5"/>
        <v>0</v>
      </c>
      <c r="AA16" s="15">
        <f t="shared" si="5"/>
        <v>0</v>
      </c>
      <c r="AB16" s="15">
        <f t="shared" si="5"/>
        <v>0</v>
      </c>
      <c r="AC16" s="33">
        <f t="shared" ref="AC16:AF18" si="6">Q16</f>
        <v>0</v>
      </c>
      <c r="AD16" s="33">
        <f t="shared" si="6"/>
        <v>0</v>
      </c>
      <c r="AE16" s="33">
        <f t="shared" si="6"/>
        <v>0</v>
      </c>
      <c r="AF16" s="33">
        <f t="shared" si="6"/>
        <v>0</v>
      </c>
    </row>
    <row r="17" ht="14.5" spans="2:32">
      <c r="B17" s="16">
        <v>2.2</v>
      </c>
      <c r="C17" s="16">
        <v>2.2</v>
      </c>
      <c r="D17" s="16" t="s">
        <v>27</v>
      </c>
      <c r="E17" s="18">
        <f t="shared" ref="E17:P17" si="7">0</f>
        <v>0</v>
      </c>
      <c r="F17" s="18">
        <f t="shared" si="7"/>
        <v>0</v>
      </c>
      <c r="G17" s="18">
        <f t="shared" si="7"/>
        <v>0</v>
      </c>
      <c r="H17" s="18">
        <f t="shared" si="7"/>
        <v>0</v>
      </c>
      <c r="I17" s="18">
        <f t="shared" si="7"/>
        <v>0</v>
      </c>
      <c r="J17" s="18">
        <f t="shared" si="7"/>
        <v>0</v>
      </c>
      <c r="K17" s="18">
        <f t="shared" si="7"/>
        <v>0</v>
      </c>
      <c r="L17" s="18">
        <f t="shared" si="7"/>
        <v>0</v>
      </c>
      <c r="M17" s="18">
        <f t="shared" si="7"/>
        <v>0</v>
      </c>
      <c r="N17" s="18">
        <f t="shared" si="7"/>
        <v>0</v>
      </c>
      <c r="O17" s="18">
        <f t="shared" si="7"/>
        <v>0</v>
      </c>
      <c r="P17" s="18">
        <f t="shared" si="7"/>
        <v>0</v>
      </c>
      <c r="Q17" s="30">
        <v>0</v>
      </c>
      <c r="R17" s="30">
        <v>0</v>
      </c>
      <c r="S17" s="30">
        <v>0</v>
      </c>
      <c r="T17" s="30">
        <v>0</v>
      </c>
      <c r="U17" s="31">
        <v>0</v>
      </c>
      <c r="V17" s="31">
        <v>0</v>
      </c>
      <c r="W17" s="31">
        <v>0</v>
      </c>
      <c r="X17" s="31">
        <v>0</v>
      </c>
      <c r="Y17" s="15">
        <f t="shared" si="5"/>
        <v>0</v>
      </c>
      <c r="Z17" s="15">
        <f t="shared" si="5"/>
        <v>0</v>
      </c>
      <c r="AA17" s="15">
        <f t="shared" si="5"/>
        <v>0</v>
      </c>
      <c r="AB17" s="15">
        <f t="shared" si="5"/>
        <v>0</v>
      </c>
      <c r="AC17" s="33">
        <f>Q17</f>
        <v>0</v>
      </c>
      <c r="AD17" s="33">
        <f t="shared" si="6"/>
        <v>0</v>
      </c>
      <c r="AE17" s="33">
        <f t="shared" si="6"/>
        <v>0</v>
      </c>
      <c r="AF17" s="33">
        <f t="shared" si="6"/>
        <v>0</v>
      </c>
    </row>
    <row r="18" ht="14.5" spans="2:32">
      <c r="B18" s="16">
        <v>2.3</v>
      </c>
      <c r="C18" s="16">
        <v>3.5</v>
      </c>
      <c r="D18" s="16" t="s">
        <v>23</v>
      </c>
      <c r="E18" s="18"/>
      <c r="F18" s="18"/>
      <c r="G18" s="18"/>
      <c r="H18" s="18"/>
      <c r="I18" s="29"/>
      <c r="J18" s="29"/>
      <c r="K18" s="29"/>
      <c r="L18" s="29"/>
      <c r="M18" s="29"/>
      <c r="N18" s="29"/>
      <c r="O18" s="29"/>
      <c r="P18" s="29"/>
      <c r="Q18" s="30">
        <v>0</v>
      </c>
      <c r="R18" s="30">
        <v>0</v>
      </c>
      <c r="S18" s="30">
        <v>0</v>
      </c>
      <c r="T18" s="30">
        <v>0</v>
      </c>
      <c r="U18" s="31">
        <v>0</v>
      </c>
      <c r="V18" s="31">
        <v>0</v>
      </c>
      <c r="W18" s="31">
        <v>0</v>
      </c>
      <c r="X18" s="31">
        <v>0</v>
      </c>
      <c r="Y18" s="15"/>
      <c r="Z18" s="15"/>
      <c r="AA18" s="15"/>
      <c r="AB18" s="15"/>
      <c r="AC18" s="33">
        <f>Q18</f>
        <v>0</v>
      </c>
      <c r="AD18" s="33">
        <f>R18</f>
        <v>0</v>
      </c>
      <c r="AE18" s="33">
        <f t="shared" si="6"/>
        <v>0</v>
      </c>
      <c r="AF18" s="33">
        <f t="shared" si="6"/>
        <v>0</v>
      </c>
    </row>
    <row r="19" ht="23" spans="2:32">
      <c r="B19" s="16">
        <v>2.4</v>
      </c>
      <c r="C19" s="16">
        <v>8.6</v>
      </c>
      <c r="D19" s="16" t="s">
        <v>24</v>
      </c>
      <c r="E19" s="18"/>
      <c r="F19" s="18"/>
      <c r="G19" s="18"/>
      <c r="H19" s="18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30">
        <v>0</v>
      </c>
      <c r="V19" s="30">
        <v>0</v>
      </c>
      <c r="W19" s="30">
        <v>0</v>
      </c>
      <c r="X19" s="30">
        <v>0</v>
      </c>
      <c r="Y19" s="15"/>
      <c r="Z19" s="15"/>
      <c r="AA19" s="15"/>
      <c r="AB19" s="15"/>
      <c r="AC19" s="33">
        <f>U19</f>
        <v>0</v>
      </c>
      <c r="AD19" s="33">
        <f>V19</f>
        <v>0</v>
      </c>
      <c r="AE19" s="33">
        <f>W19</f>
        <v>0</v>
      </c>
      <c r="AF19" s="33">
        <f>X19</f>
        <v>0</v>
      </c>
    </row>
    <row r="20" ht="14.5" spans="2:32">
      <c r="B20" s="15">
        <v>3</v>
      </c>
      <c r="C20" s="15">
        <v>3</v>
      </c>
      <c r="D20" s="15" t="s">
        <v>28</v>
      </c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5">
        <f>Y21</f>
        <v>0</v>
      </c>
      <c r="Z20" s="15">
        <f>Z21</f>
        <v>0</v>
      </c>
      <c r="AA20" s="15">
        <f>AA21</f>
        <v>0</v>
      </c>
      <c r="AB20" s="15">
        <f>AB21</f>
        <v>0</v>
      </c>
      <c r="AC20" s="15">
        <f>SUM(AC21:AC24)</f>
        <v>0</v>
      </c>
      <c r="AD20" s="15">
        <f>SUM(AD21:AD24)</f>
        <v>0</v>
      </c>
      <c r="AE20" s="15">
        <f>SUM(AE21:AE24)</f>
        <v>0</v>
      </c>
      <c r="AF20" s="15">
        <f>SUM(AF21:AF24)</f>
        <v>0</v>
      </c>
    </row>
    <row r="21" ht="14.5" spans="2:32">
      <c r="B21" s="16">
        <v>3.1</v>
      </c>
      <c r="C21" s="16">
        <v>2.3</v>
      </c>
      <c r="D21" s="16" t="s">
        <v>29</v>
      </c>
      <c r="E21" s="18">
        <f t="shared" ref="E21:P21" si="8">0</f>
        <v>0</v>
      </c>
      <c r="F21" s="18">
        <f t="shared" si="8"/>
        <v>0</v>
      </c>
      <c r="G21" s="18">
        <f t="shared" si="8"/>
        <v>0</v>
      </c>
      <c r="H21" s="18">
        <f t="shared" si="8"/>
        <v>0</v>
      </c>
      <c r="I21" s="18">
        <f t="shared" si="8"/>
        <v>0</v>
      </c>
      <c r="J21" s="18">
        <f t="shared" si="8"/>
        <v>0</v>
      </c>
      <c r="K21" s="18">
        <f t="shared" si="8"/>
        <v>0</v>
      </c>
      <c r="L21" s="18">
        <f t="shared" si="8"/>
        <v>0</v>
      </c>
      <c r="M21" s="18">
        <f t="shared" si="8"/>
        <v>0</v>
      </c>
      <c r="N21" s="18">
        <f t="shared" si="8"/>
        <v>0</v>
      </c>
      <c r="O21" s="18">
        <f t="shared" si="8"/>
        <v>0</v>
      </c>
      <c r="P21" s="18">
        <f t="shared" si="8"/>
        <v>0</v>
      </c>
      <c r="Q21" s="30">
        <v>0</v>
      </c>
      <c r="R21" s="30">
        <v>0</v>
      </c>
      <c r="S21" s="30">
        <v>0</v>
      </c>
      <c r="T21" s="30">
        <v>0</v>
      </c>
      <c r="U21" s="31">
        <v>0</v>
      </c>
      <c r="V21" s="31">
        <v>0</v>
      </c>
      <c r="W21" s="31">
        <v>0</v>
      </c>
      <c r="X21" s="31">
        <v>0</v>
      </c>
      <c r="Y21" s="15">
        <f>E21+I21+M21</f>
        <v>0</v>
      </c>
      <c r="Z21" s="15">
        <f>F21+J21+N21</f>
        <v>0</v>
      </c>
      <c r="AA21" s="15">
        <f>G21+K21+O21</f>
        <v>0</v>
      </c>
      <c r="AB21" s="15">
        <f>H21+L21+P21</f>
        <v>0</v>
      </c>
      <c r="AC21" s="33">
        <f>Q21</f>
        <v>0</v>
      </c>
      <c r="AD21" s="33">
        <f>R21</f>
        <v>0</v>
      </c>
      <c r="AE21" s="33">
        <f>S21</f>
        <v>0</v>
      </c>
      <c r="AF21" s="33">
        <f>T21</f>
        <v>0</v>
      </c>
    </row>
    <row r="22" ht="14.5" spans="2:32">
      <c r="B22" s="16">
        <v>3.2</v>
      </c>
      <c r="C22" s="16">
        <v>2.3</v>
      </c>
      <c r="D22" s="19" t="s">
        <v>30</v>
      </c>
      <c r="E22" s="18"/>
      <c r="F22" s="18"/>
      <c r="G22" s="18"/>
      <c r="H22" s="18"/>
      <c r="I22" s="29"/>
      <c r="J22" s="29"/>
      <c r="K22" s="29"/>
      <c r="L22" s="29"/>
      <c r="M22" s="29"/>
      <c r="N22" s="29"/>
      <c r="O22" s="29"/>
      <c r="P22" s="29"/>
      <c r="Q22" s="30">
        <v>0</v>
      </c>
      <c r="R22" s="30">
        <v>0</v>
      </c>
      <c r="S22" s="30">
        <v>0</v>
      </c>
      <c r="T22" s="30">
        <v>0</v>
      </c>
      <c r="U22" s="31">
        <v>0</v>
      </c>
      <c r="V22" s="31">
        <v>0</v>
      </c>
      <c r="W22" s="31">
        <v>0</v>
      </c>
      <c r="X22" s="31">
        <v>0</v>
      </c>
      <c r="Y22" s="15"/>
      <c r="Z22" s="15"/>
      <c r="AA22" s="15"/>
      <c r="AB22" s="15"/>
      <c r="AC22" s="34">
        <v>0</v>
      </c>
      <c r="AD22" s="34">
        <v>0</v>
      </c>
      <c r="AE22" s="34">
        <v>0</v>
      </c>
      <c r="AF22" s="34">
        <v>0</v>
      </c>
    </row>
    <row r="23" ht="14.5" spans="2:32">
      <c r="B23" s="16">
        <v>3.3</v>
      </c>
      <c r="C23" s="16">
        <v>3.5</v>
      </c>
      <c r="D23" s="16" t="s">
        <v>23</v>
      </c>
      <c r="E23" s="18"/>
      <c r="F23" s="18"/>
      <c r="G23" s="18"/>
      <c r="H23" s="18"/>
      <c r="I23" s="29"/>
      <c r="J23" s="29"/>
      <c r="K23" s="29"/>
      <c r="L23" s="29"/>
      <c r="M23" s="29"/>
      <c r="N23" s="29"/>
      <c r="O23" s="29"/>
      <c r="P23" s="29"/>
      <c r="Q23" s="30">
        <v>0</v>
      </c>
      <c r="R23" s="30">
        <v>0</v>
      </c>
      <c r="S23" s="30">
        <v>0</v>
      </c>
      <c r="T23" s="30">
        <v>0</v>
      </c>
      <c r="U23" s="31">
        <v>0</v>
      </c>
      <c r="V23" s="31">
        <v>0</v>
      </c>
      <c r="W23" s="31">
        <v>0</v>
      </c>
      <c r="X23" s="31">
        <v>0</v>
      </c>
      <c r="Y23" s="15"/>
      <c r="Z23" s="15"/>
      <c r="AA23" s="15"/>
      <c r="AB23" s="15"/>
      <c r="AC23" s="33">
        <f>Q23</f>
        <v>0</v>
      </c>
      <c r="AD23" s="33">
        <f>R23</f>
        <v>0</v>
      </c>
      <c r="AE23" s="33">
        <f>S23</f>
        <v>0</v>
      </c>
      <c r="AF23" s="33">
        <f>T23</f>
        <v>0</v>
      </c>
    </row>
    <row r="24" ht="23" spans="2:32">
      <c r="B24" s="16">
        <v>3.4</v>
      </c>
      <c r="C24" s="16">
        <v>8.6</v>
      </c>
      <c r="D24" s="16" t="s">
        <v>24</v>
      </c>
      <c r="E24" s="18"/>
      <c r="F24" s="18"/>
      <c r="G24" s="18"/>
      <c r="H24" s="18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30">
        <v>0</v>
      </c>
      <c r="V24" s="30">
        <v>0</v>
      </c>
      <c r="W24" s="30">
        <v>0</v>
      </c>
      <c r="X24" s="30">
        <v>0</v>
      </c>
      <c r="Y24" s="15"/>
      <c r="Z24" s="15"/>
      <c r="AA24" s="15"/>
      <c r="AB24" s="15"/>
      <c r="AC24" s="33">
        <f>U24</f>
        <v>0</v>
      </c>
      <c r="AD24" s="33">
        <f>V24</f>
        <v>0</v>
      </c>
      <c r="AE24" s="33">
        <f>W24</f>
        <v>0</v>
      </c>
      <c r="AF24" s="33">
        <f>X24</f>
        <v>0</v>
      </c>
    </row>
    <row r="25" ht="14.5" spans="2:32">
      <c r="B25" s="15">
        <v>4</v>
      </c>
      <c r="C25" s="15">
        <v>4</v>
      </c>
      <c r="D25" s="15" t="s">
        <v>31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>
        <f>SUM(Y26:Y28)</f>
        <v>0</v>
      </c>
      <c r="Z25" s="15">
        <f>SUM(Z26:Z28)</f>
        <v>0</v>
      </c>
      <c r="AA25" s="15">
        <f>SUM(AA26:AA28)</f>
        <v>0</v>
      </c>
      <c r="AB25" s="15">
        <f>SUM(AB26:AB28)</f>
        <v>0</v>
      </c>
      <c r="AC25" s="15">
        <f>SUM(AC26:AC30)</f>
        <v>0</v>
      </c>
      <c r="AD25" s="15">
        <f>SUM(AD26:AD30)</f>
        <v>0</v>
      </c>
      <c r="AE25" s="15">
        <f>SUM(AE26:AE30)</f>
        <v>0</v>
      </c>
      <c r="AF25" s="15">
        <f>SUM(AF26:AF30)</f>
        <v>0</v>
      </c>
    </row>
    <row r="26" ht="14.5" spans="2:32">
      <c r="B26" s="16">
        <v>4.1</v>
      </c>
      <c r="C26" s="16">
        <v>2.4</v>
      </c>
      <c r="D26" s="16" t="s">
        <v>32</v>
      </c>
      <c r="E26" s="18">
        <f>0</f>
        <v>0</v>
      </c>
      <c r="F26" s="18">
        <f>0</f>
        <v>0</v>
      </c>
      <c r="G26" s="18">
        <f>0</f>
        <v>0</v>
      </c>
      <c r="H26" s="18">
        <f>0</f>
        <v>0</v>
      </c>
      <c r="I26" s="30">
        <v>0</v>
      </c>
      <c r="J26" s="30">
        <v>0</v>
      </c>
      <c r="K26" s="30">
        <v>0</v>
      </c>
      <c r="L26" s="30">
        <v>0</v>
      </c>
      <c r="M26" s="30">
        <v>0</v>
      </c>
      <c r="N26" s="30">
        <v>0</v>
      </c>
      <c r="O26" s="30">
        <v>0</v>
      </c>
      <c r="P26" s="30">
        <v>0</v>
      </c>
      <c r="Q26" s="30">
        <v>0</v>
      </c>
      <c r="R26" s="30">
        <v>0</v>
      </c>
      <c r="S26" s="30">
        <v>0</v>
      </c>
      <c r="T26" s="30">
        <v>0</v>
      </c>
      <c r="U26" s="31">
        <v>0</v>
      </c>
      <c r="V26" s="31">
        <v>0</v>
      </c>
      <c r="W26" s="31">
        <v>0</v>
      </c>
      <c r="X26" s="31">
        <v>0</v>
      </c>
      <c r="Y26" s="15">
        <f>E26</f>
        <v>0</v>
      </c>
      <c r="Z26" s="15">
        <f t="shared" ref="Z26:AB28" si="9">F26</f>
        <v>0</v>
      </c>
      <c r="AA26" s="15">
        <f t="shared" si="9"/>
        <v>0</v>
      </c>
      <c r="AB26" s="15">
        <f t="shared" si="9"/>
        <v>0</v>
      </c>
      <c r="AC26" s="33">
        <f>I26+M26+Q26</f>
        <v>0</v>
      </c>
      <c r="AD26" s="33">
        <f t="shared" ref="AD26:AF28" si="10">J26+N26+R26</f>
        <v>0</v>
      </c>
      <c r="AE26" s="33">
        <f t="shared" si="10"/>
        <v>0</v>
      </c>
      <c r="AF26" s="33">
        <f t="shared" si="10"/>
        <v>0</v>
      </c>
    </row>
    <row r="27" ht="14.5" spans="2:32">
      <c r="B27" s="16">
        <v>4.2</v>
      </c>
      <c r="C27" s="16">
        <v>2.4</v>
      </c>
      <c r="D27" s="16" t="s">
        <v>33</v>
      </c>
      <c r="E27" s="18">
        <f>0</f>
        <v>0</v>
      </c>
      <c r="F27" s="18">
        <f>0</f>
        <v>0</v>
      </c>
      <c r="G27" s="18">
        <f>0</f>
        <v>0</v>
      </c>
      <c r="H27" s="18">
        <f>0</f>
        <v>0</v>
      </c>
      <c r="I27" s="30">
        <v>0</v>
      </c>
      <c r="J27" s="30">
        <v>0</v>
      </c>
      <c r="K27" s="30">
        <v>0</v>
      </c>
      <c r="L27" s="30">
        <v>0</v>
      </c>
      <c r="M27" s="30">
        <v>0</v>
      </c>
      <c r="N27" s="30">
        <v>0</v>
      </c>
      <c r="O27" s="30">
        <v>0</v>
      </c>
      <c r="P27" s="30">
        <v>0</v>
      </c>
      <c r="Q27" s="30">
        <v>0</v>
      </c>
      <c r="R27" s="30">
        <v>0</v>
      </c>
      <c r="S27" s="30">
        <v>0</v>
      </c>
      <c r="T27" s="30">
        <v>0</v>
      </c>
      <c r="U27" s="31">
        <v>0</v>
      </c>
      <c r="V27" s="31">
        <v>0</v>
      </c>
      <c r="W27" s="31">
        <v>0</v>
      </c>
      <c r="X27" s="31">
        <v>0</v>
      </c>
      <c r="Y27" s="15">
        <f>E27</f>
        <v>0</v>
      </c>
      <c r="Z27" s="15">
        <f t="shared" si="9"/>
        <v>0</v>
      </c>
      <c r="AA27" s="15">
        <f t="shared" si="9"/>
        <v>0</v>
      </c>
      <c r="AB27" s="15">
        <f t="shared" si="9"/>
        <v>0</v>
      </c>
      <c r="AC27" s="33">
        <f>I27+M27+Q27</f>
        <v>0</v>
      </c>
      <c r="AD27" s="33">
        <f t="shared" si="10"/>
        <v>0</v>
      </c>
      <c r="AE27" s="33">
        <f t="shared" si="10"/>
        <v>0</v>
      </c>
      <c r="AF27" s="33">
        <f t="shared" si="10"/>
        <v>0</v>
      </c>
    </row>
    <row r="28" ht="14.5" spans="2:32">
      <c r="B28" s="16">
        <v>4.3</v>
      </c>
      <c r="C28" s="16">
        <v>2.4</v>
      </c>
      <c r="D28" s="16" t="s">
        <v>34</v>
      </c>
      <c r="E28" s="18">
        <f>0</f>
        <v>0</v>
      </c>
      <c r="F28" s="18">
        <f>0</f>
        <v>0</v>
      </c>
      <c r="G28" s="18">
        <f>0</f>
        <v>0</v>
      </c>
      <c r="H28" s="18">
        <f>0</f>
        <v>0</v>
      </c>
      <c r="I28" s="30">
        <v>0</v>
      </c>
      <c r="J28" s="30">
        <v>0</v>
      </c>
      <c r="K28" s="30">
        <v>0</v>
      </c>
      <c r="L28" s="30">
        <v>0</v>
      </c>
      <c r="M28" s="30">
        <v>0</v>
      </c>
      <c r="N28" s="30">
        <v>0</v>
      </c>
      <c r="O28" s="30">
        <v>0</v>
      </c>
      <c r="P28" s="30">
        <v>0</v>
      </c>
      <c r="Q28" s="30">
        <v>0</v>
      </c>
      <c r="R28" s="30">
        <v>0</v>
      </c>
      <c r="S28" s="30">
        <v>0</v>
      </c>
      <c r="T28" s="30">
        <v>0</v>
      </c>
      <c r="U28" s="31">
        <v>0</v>
      </c>
      <c r="V28" s="31">
        <v>0</v>
      </c>
      <c r="W28" s="31">
        <v>0</v>
      </c>
      <c r="X28" s="31">
        <v>0</v>
      </c>
      <c r="Y28" s="15">
        <f>E28</f>
        <v>0</v>
      </c>
      <c r="Z28" s="15">
        <f t="shared" si="9"/>
        <v>0</v>
      </c>
      <c r="AA28" s="15">
        <f t="shared" si="9"/>
        <v>0</v>
      </c>
      <c r="AB28" s="15">
        <f t="shared" si="9"/>
        <v>0</v>
      </c>
      <c r="AC28" s="33">
        <f>I28+M28+Q28</f>
        <v>0</v>
      </c>
      <c r="AD28" s="33">
        <f t="shared" si="10"/>
        <v>0</v>
      </c>
      <c r="AE28" s="33">
        <f t="shared" si="10"/>
        <v>0</v>
      </c>
      <c r="AF28" s="33">
        <f t="shared" si="10"/>
        <v>0</v>
      </c>
    </row>
    <row r="29" ht="14.5" spans="2:32">
      <c r="B29" s="16">
        <v>4.4</v>
      </c>
      <c r="C29" s="16">
        <v>3.6</v>
      </c>
      <c r="D29" s="16" t="s">
        <v>35</v>
      </c>
      <c r="E29" s="18"/>
      <c r="F29" s="18"/>
      <c r="G29" s="18"/>
      <c r="H29" s="18"/>
      <c r="I29" s="29"/>
      <c r="J29" s="29"/>
      <c r="K29" s="29"/>
      <c r="L29" s="29"/>
      <c r="M29" s="29"/>
      <c r="N29" s="29"/>
      <c r="O29" s="29"/>
      <c r="P29" s="29"/>
      <c r="Q29" s="31">
        <v>0</v>
      </c>
      <c r="R29" s="31">
        <v>0</v>
      </c>
      <c r="S29" s="31">
        <v>0</v>
      </c>
      <c r="T29" s="31">
        <v>0</v>
      </c>
      <c r="U29" s="31">
        <v>0</v>
      </c>
      <c r="V29" s="31">
        <v>0</v>
      </c>
      <c r="W29" s="31">
        <v>0</v>
      </c>
      <c r="X29" s="31">
        <v>0</v>
      </c>
      <c r="Y29" s="15"/>
      <c r="Z29" s="15"/>
      <c r="AA29" s="15"/>
      <c r="AB29" s="15"/>
      <c r="AC29" s="34">
        <v>0</v>
      </c>
      <c r="AD29" s="35">
        <v>0</v>
      </c>
      <c r="AE29" s="35">
        <v>0</v>
      </c>
      <c r="AF29" s="35">
        <v>0</v>
      </c>
    </row>
    <row r="30" ht="23" spans="2:32">
      <c r="B30" s="16">
        <v>4.5</v>
      </c>
      <c r="C30" s="16">
        <v>8.2</v>
      </c>
      <c r="D30" s="16" t="s">
        <v>24</v>
      </c>
      <c r="E30" s="18"/>
      <c r="F30" s="18"/>
      <c r="G30" s="18"/>
      <c r="H30" s="18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30">
        <v>0</v>
      </c>
      <c r="V30" s="30">
        <v>0</v>
      </c>
      <c r="W30" s="30">
        <v>0</v>
      </c>
      <c r="X30" s="30">
        <v>0</v>
      </c>
      <c r="Y30" s="15"/>
      <c r="Z30" s="15"/>
      <c r="AA30" s="15"/>
      <c r="AB30" s="15"/>
      <c r="AC30" s="33">
        <f>U30</f>
        <v>0</v>
      </c>
      <c r="AD30" s="33">
        <f>V30</f>
        <v>0</v>
      </c>
      <c r="AE30" s="33">
        <f>W30</f>
        <v>0</v>
      </c>
      <c r="AF30" s="33">
        <f>X30</f>
        <v>0</v>
      </c>
    </row>
    <row r="31" ht="14.5" spans="2:32">
      <c r="B31" s="15">
        <v>5</v>
      </c>
      <c r="C31" s="15">
        <v>5</v>
      </c>
      <c r="D31" s="15" t="s">
        <v>36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34">
        <v>0</v>
      </c>
      <c r="AD31" s="34">
        <v>0</v>
      </c>
      <c r="AE31" s="34">
        <v>0</v>
      </c>
      <c r="AF31" s="34">
        <v>0</v>
      </c>
    </row>
    <row r="32" ht="23" spans="2:32">
      <c r="B32" s="15">
        <v>6</v>
      </c>
      <c r="C32" s="15">
        <v>6</v>
      </c>
      <c r="D32" s="15" t="s">
        <v>37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>
        <f>Y33</f>
        <v>0</v>
      </c>
      <c r="Z32" s="15">
        <f>Z33</f>
        <v>0</v>
      </c>
      <c r="AA32" s="15">
        <f>AA33</f>
        <v>0</v>
      </c>
      <c r="AB32" s="15">
        <f>AB33</f>
        <v>0</v>
      </c>
      <c r="AC32" s="15">
        <f>AC33+AC35</f>
        <v>0</v>
      </c>
      <c r="AD32" s="15">
        <f>AD33+AD35</f>
        <v>0</v>
      </c>
      <c r="AE32" s="15">
        <f>AE33+AE35</f>
        <v>0</v>
      </c>
      <c r="AF32" s="15">
        <f>AF33+AF35</f>
        <v>0</v>
      </c>
    </row>
    <row r="33" ht="14.5" spans="2:32">
      <c r="B33" s="16">
        <v>6.1</v>
      </c>
      <c r="C33" s="16">
        <v>6</v>
      </c>
      <c r="D33" s="16" t="s">
        <v>38</v>
      </c>
      <c r="E33" s="18">
        <f t="shared" ref="E33:P33" si="11">0</f>
        <v>0</v>
      </c>
      <c r="F33" s="18">
        <f t="shared" si="11"/>
        <v>0</v>
      </c>
      <c r="G33" s="18">
        <f t="shared" si="11"/>
        <v>0</v>
      </c>
      <c r="H33" s="18">
        <f t="shared" si="11"/>
        <v>0</v>
      </c>
      <c r="I33" s="18">
        <f t="shared" si="11"/>
        <v>0</v>
      </c>
      <c r="J33" s="18">
        <f t="shared" si="11"/>
        <v>0</v>
      </c>
      <c r="K33" s="18">
        <f t="shared" si="11"/>
        <v>0</v>
      </c>
      <c r="L33" s="18">
        <f t="shared" si="11"/>
        <v>0</v>
      </c>
      <c r="M33" s="18">
        <f t="shared" si="11"/>
        <v>0</v>
      </c>
      <c r="N33" s="18">
        <f t="shared" si="11"/>
        <v>0</v>
      </c>
      <c r="O33" s="18">
        <f t="shared" si="11"/>
        <v>0</v>
      </c>
      <c r="P33" s="18">
        <f t="shared" si="11"/>
        <v>0</v>
      </c>
      <c r="Q33" s="30">
        <v>0</v>
      </c>
      <c r="R33" s="30">
        <v>0</v>
      </c>
      <c r="S33" s="30">
        <v>0</v>
      </c>
      <c r="T33" s="30">
        <v>0</v>
      </c>
      <c r="U33" s="30">
        <v>0</v>
      </c>
      <c r="V33" s="30">
        <v>0</v>
      </c>
      <c r="W33" s="30">
        <v>0</v>
      </c>
      <c r="X33" s="30">
        <v>0</v>
      </c>
      <c r="Y33" s="15">
        <f>E33+I33+M33</f>
        <v>0</v>
      </c>
      <c r="Z33" s="15">
        <f>F33+J33+N33</f>
        <v>0</v>
      </c>
      <c r="AA33" s="15">
        <f>G33+K33+O33</f>
        <v>0</v>
      </c>
      <c r="AB33" s="15">
        <f>H33+L33+P33</f>
        <v>0</v>
      </c>
      <c r="AC33" s="33">
        <f>Q33</f>
        <v>0</v>
      </c>
      <c r="AD33" s="33">
        <f>R33</f>
        <v>0</v>
      </c>
      <c r="AE33" s="33">
        <f>S33</f>
        <v>0</v>
      </c>
      <c r="AF33" s="33">
        <f>T33</f>
        <v>0</v>
      </c>
    </row>
    <row r="34" ht="14.5" spans="2:32">
      <c r="B34" s="16">
        <v>6.2</v>
      </c>
      <c r="C34" s="16">
        <v>3.7</v>
      </c>
      <c r="D34" s="16" t="s">
        <v>39</v>
      </c>
      <c r="E34" s="18"/>
      <c r="F34" s="18"/>
      <c r="G34" s="18"/>
      <c r="H34" s="18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15"/>
      <c r="Z34" s="15"/>
      <c r="AA34" s="15"/>
      <c r="AB34" s="15"/>
      <c r="AC34" s="34">
        <v>0</v>
      </c>
      <c r="AD34" s="36"/>
      <c r="AE34" s="34">
        <v>0</v>
      </c>
      <c r="AF34" s="36"/>
    </row>
    <row r="35" ht="23" spans="2:32">
      <c r="B35" s="16">
        <v>6.3</v>
      </c>
      <c r="C35" s="16">
        <v>8.4</v>
      </c>
      <c r="D35" s="16" t="s">
        <v>24</v>
      </c>
      <c r="E35" s="18"/>
      <c r="F35" s="18"/>
      <c r="G35" s="18"/>
      <c r="H35" s="18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30">
        <v>0</v>
      </c>
      <c r="V35" s="30">
        <v>0</v>
      </c>
      <c r="W35" s="30">
        <v>0</v>
      </c>
      <c r="X35" s="30">
        <v>0</v>
      </c>
      <c r="Y35" s="15"/>
      <c r="Z35" s="15"/>
      <c r="AA35" s="15"/>
      <c r="AB35" s="15"/>
      <c r="AC35" s="33">
        <f>U35</f>
        <v>0</v>
      </c>
      <c r="AD35" s="33">
        <f>V35</f>
        <v>0</v>
      </c>
      <c r="AE35" s="33">
        <f>W35</f>
        <v>0</v>
      </c>
      <c r="AF35" s="33">
        <f>X35</f>
        <v>0</v>
      </c>
    </row>
    <row r="36" ht="23" spans="2:32">
      <c r="B36" s="15">
        <v>7</v>
      </c>
      <c r="C36" s="15">
        <v>8.5</v>
      </c>
      <c r="D36" s="15" t="s">
        <v>40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31">
        <v>0</v>
      </c>
      <c r="V36" s="31">
        <v>0</v>
      </c>
      <c r="W36" s="31">
        <v>0</v>
      </c>
      <c r="X36" s="31">
        <v>0</v>
      </c>
      <c r="Y36" s="15"/>
      <c r="Z36" s="15"/>
      <c r="AA36" s="15"/>
      <c r="AB36" s="15"/>
      <c r="AC36" s="15"/>
      <c r="AD36" s="15"/>
      <c r="AE36" s="34">
        <v>0</v>
      </c>
      <c r="AF36" s="34">
        <v>0</v>
      </c>
    </row>
    <row r="37" ht="14.5" spans="2:32">
      <c r="B37" s="20">
        <v>8</v>
      </c>
      <c r="C37" s="20"/>
      <c r="D37" s="20" t="s">
        <v>41</v>
      </c>
      <c r="E37" s="15"/>
      <c r="F37" s="15"/>
      <c r="G37" s="15"/>
      <c r="H37" s="15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15"/>
      <c r="Z37" s="15"/>
      <c r="AA37" s="15"/>
      <c r="AB37" s="15"/>
      <c r="AC37" s="33">
        <f>AC10+AC15+AC20+AC25+AC31+AC32</f>
        <v>0</v>
      </c>
      <c r="AD37" s="33">
        <f>AD10+AD15+AD20+AD25+AD31+AD32</f>
        <v>0</v>
      </c>
      <c r="AE37" s="33">
        <f>AE10+AE15+AE20+AE25+AE31+AE32+AE36</f>
        <v>0</v>
      </c>
      <c r="AF37" s="33">
        <f>AF10+AF15+AF20+AF25+AF31+AF32+AF36</f>
        <v>0</v>
      </c>
    </row>
    <row r="38" ht="23" spans="2:32">
      <c r="B38" s="20">
        <v>9</v>
      </c>
      <c r="C38" s="20"/>
      <c r="D38" s="20" t="s">
        <v>42</v>
      </c>
      <c r="E38" s="15"/>
      <c r="F38" s="15"/>
      <c r="G38" s="15"/>
      <c r="H38" s="15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15"/>
      <c r="Z38" s="15"/>
      <c r="AA38" s="15"/>
      <c r="AB38" s="15"/>
      <c r="AC38" s="33">
        <f>AC14+AC19+AC24+AC30+AC35+AC36</f>
        <v>0</v>
      </c>
      <c r="AD38" s="33">
        <f>AD14+AD19+AD24+AD30+AD35+AD36</f>
        <v>0</v>
      </c>
      <c r="AE38" s="33">
        <f>AE14+AE19+AE24+AE30+AE35+AE36</f>
        <v>0</v>
      </c>
      <c r="AF38" s="33">
        <f>AF14+AF19+AF24+AF30+AF35+AF36</f>
        <v>0</v>
      </c>
    </row>
    <row r="39" ht="14.5" spans="2:32">
      <c r="B39" s="21">
        <v>10</v>
      </c>
      <c r="C39" s="21"/>
      <c r="D39" s="15" t="s">
        <v>43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1">
        <f>Y10+Y15+Y20+Y25+Y32</f>
        <v>0</v>
      </c>
      <c r="Z39" s="21">
        <f>Z10+Z15+Z20+Z25+Z32</f>
        <v>0</v>
      </c>
      <c r="AA39" s="21">
        <f>AA10+AA15+AA20+AA25+AA32</f>
        <v>0</v>
      </c>
      <c r="AB39" s="21">
        <f>AB10+AB15+AB20+AB25+AB32</f>
        <v>0</v>
      </c>
      <c r="AC39" s="22"/>
      <c r="AD39" s="22"/>
      <c r="AE39" s="22"/>
      <c r="AF39" s="22"/>
    </row>
    <row r="40" ht="21" spans="2:32">
      <c r="B40" s="23"/>
      <c r="C40" s="24"/>
      <c r="D40" s="25" t="s">
        <v>44</v>
      </c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37"/>
    </row>
    <row r="41" ht="14.5" spans="2:32">
      <c r="B41" s="26"/>
      <c r="C41" s="27"/>
      <c r="D41" s="28" t="s">
        <v>45</v>
      </c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38"/>
    </row>
    <row r="42" ht="14.5"/>
    <row r="43" ht="14.5" hidden="1"/>
  </sheetData>
  <sheetProtection password="DE1B" sheet="1" objects="1" scenarios="1"/>
  <mergeCells count="29">
    <mergeCell ref="B2:AF2"/>
    <mergeCell ref="C3:D3"/>
    <mergeCell ref="C4:D4"/>
    <mergeCell ref="C5:D5"/>
    <mergeCell ref="E7:H7"/>
    <mergeCell ref="I7:L7"/>
    <mergeCell ref="M7:P7"/>
    <mergeCell ref="Q7:T7"/>
    <mergeCell ref="U7:X7"/>
    <mergeCell ref="Y7:AB7"/>
    <mergeCell ref="AC7:AF7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B7:B9"/>
    <mergeCell ref="C7:C9"/>
    <mergeCell ref="D7:D8"/>
    <mergeCell ref="E3:AF5"/>
  </mergeCells>
  <dataValidations count="1">
    <dataValidation type="whole" operator="greaterThanOrEqual" allowBlank="1" showInputMessage="1" showErrorMessage="1" sqref="AC22:AF22 AC29:AF29 U30:X30 AC31:AF31 AC34 AE34 Y36 AE36:AF36 E16:X24 E11:X14 E33:X36 E26:X29">
      <formula1>0</formula1>
    </dataValidation>
  </dataValidations>
  <pageMargins left="0.7" right="0.7" top="0.75" bottom="0.75" header="0.3" footer="0.3"/>
  <pageSetup paperSize="9" scale="43" fitToHeight="0" orientation="landscape" horizontalDpi="600"/>
  <headerFooter>
    <oddHeader>&amp;L&amp;"Calibri"&amp;10&amp;K0078D7CBUAE Classification: Restricted&amp;1#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BRF103V2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 Imthias</dc:creator>
  <cp:lastModifiedBy>user</cp:lastModifiedBy>
  <dcterms:created xsi:type="dcterms:W3CDTF">2020-10-20T07:21:19Z</dcterms:created>
  <dcterms:modified xsi:type="dcterms:W3CDTF">2024-02-22T06:40:47Z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d9e9404-3739-4dbf-9fa8-b6ae9df09a7a_Enabled">
    <vt:lpwstr>True</vt:lpwstr>
  </property>
  <property fmtid="{D5CDD505-2E9C-101B-9397-08002B2CF9AE}" pid="3" name="MSIP_Label_1d9e9404-3739-4dbf-9fa8-b6ae9df09a7a_SiteId">
    <vt:lpwstr>fba6ee03-9647-4c58-86a3-db85ac6de45e</vt:lpwstr>
  </property>
  <property fmtid="{D5CDD505-2E9C-101B-9397-08002B2CF9AE}" pid="4" name="MSIP_Label_1d9e9404-3739-4dbf-9fa8-b6ae9df09a7a_Owner">
    <vt:lpwstr>feby.imthias@cbuae.gov.ae</vt:lpwstr>
  </property>
  <property fmtid="{D5CDD505-2E9C-101B-9397-08002B2CF9AE}" pid="5" name="MSIP_Label_1d9e9404-3739-4dbf-9fa8-b6ae9df09a7a_SetDate">
    <vt:lpwstr>2020-10-20T07:24:20.5235357Z</vt:lpwstr>
  </property>
  <property fmtid="{D5CDD505-2E9C-101B-9397-08002B2CF9AE}" pid="6" name="MSIP_Label_1d9e9404-3739-4dbf-9fa8-b6ae9df09a7a_Name">
    <vt:lpwstr>Restricted</vt:lpwstr>
  </property>
  <property fmtid="{D5CDD505-2E9C-101B-9397-08002B2CF9AE}" pid="7" name="MSIP_Label_1d9e9404-3739-4dbf-9fa8-b6ae9df09a7a_Application">
    <vt:lpwstr>Microsoft Azure Information Protection</vt:lpwstr>
  </property>
  <property fmtid="{D5CDD505-2E9C-101B-9397-08002B2CF9AE}" pid="8" name="MSIP_Label_1d9e9404-3739-4dbf-9fa8-b6ae9df09a7a_ActionId">
    <vt:lpwstr>45b5f818-14c2-4ea2-bc90-02670f5e10fe</vt:lpwstr>
  </property>
  <property fmtid="{D5CDD505-2E9C-101B-9397-08002B2CF9AE}" pid="9" name="MSIP_Label_1d9e9404-3739-4dbf-9fa8-b6ae9df09a7a_Extended_MSFT_Method">
    <vt:lpwstr>Automatic</vt:lpwstr>
  </property>
  <property fmtid="{D5CDD505-2E9C-101B-9397-08002B2CF9AE}" pid="10" name="Sensitivity">
    <vt:lpwstr>Restricted</vt:lpwstr>
  </property>
  <property fmtid="{D5CDD505-2E9C-101B-9397-08002B2CF9AE}" pid="11" name="ICV">
    <vt:lpwstr>F7BAEC756DEF4A71A8474EDBCB4A442F_13</vt:lpwstr>
  </property>
  <property fmtid="{D5CDD505-2E9C-101B-9397-08002B2CF9AE}" pid="12" name="KSOProductBuildVer">
    <vt:lpwstr>1033-12.2.0.13431</vt:lpwstr>
  </property>
</Properties>
</file>