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80" sheetId="1" r:id="rId1"/>
    <sheet name="Drop_Down" sheetId="2" r:id="rId2"/>
  </sheets>
  <definedNames>
    <definedName name="B1END">'BRF 80'!$A$11</definedName>
    <definedName name="B1START">'BRF 80'!$A$9</definedName>
    <definedName name="BORCODE">Drop_Down!$G$3:$G$5</definedName>
    <definedName name="CREDITREP">Drop_Down!$J$3:$J$24</definedName>
    <definedName name="CREDITREPTY">Drop_Down!$O$3:$O$6</definedName>
    <definedName name="CREDREP">Drop_Down!$J$3:$J$24</definedName>
    <definedName name="CREDREPTY">Drop_Down!$O$3:$O$6</definedName>
    <definedName name="CURRENCY">Drop_Down!$U$3:$U$175</definedName>
    <definedName name="ECONOMIC">Drop_Down!$R$3:$R$116</definedName>
    <definedName name="EMIRATE">Drop_Down!$A$3:$A$9</definedName>
    <definedName name="FEDCODE">Drop_Down!$D$3:$D$4</definedName>
    <definedName name="_xlnm.Print_Area" localSheetId="0">'BRF 80'!$B$2:$Z$15</definedName>
    <definedName name="RANGED8">'BRF 80'!$D$8</definedName>
  </definedNames>
  <calcPr calcId="144525"/>
</workbook>
</file>

<file path=xl/sharedStrings.xml><?xml version="1.0" encoding="utf-8"?>
<sst xmlns="http://schemas.openxmlformats.org/spreadsheetml/2006/main" count="816" uniqueCount="734">
  <si>
    <t>LR</t>
  </si>
  <si>
    <t>CT1</t>
  </si>
  <si>
    <t>CT2</t>
  </si>
  <si>
    <t>BANKING AND MONETARY STATISTICS -  LE SELF SUSTAINABLE COMMERCIAL ENTITIES OF UAE FEDERAL AND LOCAL GOVERNMENTS - BRF 80 (AED 000)</t>
  </si>
  <si>
    <t>Template ID:</t>
  </si>
  <si>
    <t>4-80-2-4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</si>
  <si>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</si>
  <si>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</si>
  <si>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</si>
  <si>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</si>
  <si>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</si>
  <si>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S.No</t>
  </si>
  <si>
    <t>Self - Sustainable Commercial public sector entities (25% limit)</t>
  </si>
  <si>
    <t>Emirate</t>
  </si>
  <si>
    <t>CIN / FIGI /GLEI</t>
  </si>
  <si>
    <t>Specify as 
"F for Federal" or 
"E for Emirate Entities"</t>
  </si>
  <si>
    <t>Borrower Type
Specify as "S" for Single or "G" for Group or "C" for Group Company</t>
  </si>
  <si>
    <t>Group Name (Incase the borrower belong to a group)</t>
  </si>
  <si>
    <t>Credit Rating of the borrower</t>
  </si>
  <si>
    <t>Credit Rating Type</t>
  </si>
  <si>
    <t>Economic Sector</t>
  </si>
  <si>
    <t>Currency</t>
  </si>
  <si>
    <t>Funded O/S (Excl. Debt Securities and equities)</t>
  </si>
  <si>
    <t xml:space="preserve">Debt securities </t>
  </si>
  <si>
    <t>Equities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</si>
  <si>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</si>
  <si>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</si>
  <si>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</si>
  <si>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</si>
  <si>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</si>
  <si>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</si>
  <si>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</si>
  <si>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</si>
  <si>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</si>
  <si>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</si>
  <si>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 Additional Information</t>
  </si>
  <si>
    <t>B1</t>
  </si>
  <si>
    <t>NA</t>
  </si>
  <si>
    <t>GT</t>
  </si>
  <si>
    <t>Total Exposure to Self Sustainable Commercial Entities of Federal Government and Local Government</t>
  </si>
  <si>
    <t>Note: 1. All groups or entities should be arranged Emirate wise. Use additional rows where required.</t>
  </si>
  <si>
    <t>2. For those Self Sustainable Public Commercial Sector consisting of more than one borrowing entity,  report all entities.</t>
  </si>
  <si>
    <t>FORM NO: BSD/BRF 80- LE  SELF SUSTAINABLE /NOV23</t>
  </si>
  <si>
    <t>Specify whether it is Federal or Emirate</t>
  </si>
  <si>
    <t>Borrower Type</t>
  </si>
  <si>
    <t>Credit Rating of the Borrower</t>
  </si>
  <si>
    <t>Credit Risk Mitigation</t>
  </si>
  <si>
    <t>Code</t>
  </si>
  <si>
    <t>Description</t>
  </si>
  <si>
    <t>S&amp;P</t>
  </si>
  <si>
    <t>Moody’s</t>
  </si>
  <si>
    <t>Fitch</t>
  </si>
  <si>
    <t>Abu Dhabi</t>
  </si>
  <si>
    <t>F</t>
  </si>
  <si>
    <t>Federal</t>
  </si>
  <si>
    <t>S</t>
  </si>
  <si>
    <t>Single</t>
  </si>
  <si>
    <t>AAA</t>
  </si>
  <si>
    <t>Aaa</t>
  </si>
  <si>
    <t>External Rating - S&amp;P</t>
  </si>
  <si>
    <t>AG01</t>
  </si>
  <si>
    <t>Agriculture and allied activities - Cultivation of crops</t>
  </si>
  <si>
    <t>AED</t>
  </si>
  <si>
    <t>UAE Dirham</t>
  </si>
  <si>
    <t>A</t>
  </si>
  <si>
    <t xml:space="preserve">Cash (as well as certificates of deposit or comparable instruments issued </t>
  </si>
  <si>
    <t>Dubai</t>
  </si>
  <si>
    <t>E</t>
  </si>
  <si>
    <t>G</t>
  </si>
  <si>
    <t>Group</t>
  </si>
  <si>
    <t>AA+</t>
  </si>
  <si>
    <t>Aa1</t>
  </si>
  <si>
    <t>Moody's</t>
  </si>
  <si>
    <t>External Rating - Moody's</t>
  </si>
  <si>
    <t>AG02</t>
  </si>
  <si>
    <t>Agriculture and allied activities - Poultry farming</t>
  </si>
  <si>
    <t>AFN</t>
  </si>
  <si>
    <t>Afghani</t>
  </si>
  <si>
    <t>by the lending bank) on deposit with the bank which is incurring the</t>
  </si>
  <si>
    <t>Sharjah</t>
  </si>
  <si>
    <t>C</t>
  </si>
  <si>
    <t>Group Company</t>
  </si>
  <si>
    <t>AA</t>
  </si>
  <si>
    <t>Aa2</t>
  </si>
  <si>
    <t>External Rating - Fitch</t>
  </si>
  <si>
    <t>AG03</t>
  </si>
  <si>
    <t>Agriculture and allied activities - Fishing</t>
  </si>
  <si>
    <t>ALL</t>
  </si>
  <si>
    <t>Lek</t>
  </si>
  <si>
    <t xml:space="preserve"> counterparty exposure.</t>
  </si>
  <si>
    <t>Ajman</t>
  </si>
  <si>
    <t>AA-</t>
  </si>
  <si>
    <t>Aa3</t>
  </si>
  <si>
    <t>Internal</t>
  </si>
  <si>
    <t>Internal Rating</t>
  </si>
  <si>
    <t>AG04</t>
  </si>
  <si>
    <t>Agriculture and allied activities - Others</t>
  </si>
  <si>
    <t>AMD</t>
  </si>
  <si>
    <t>Armenian Dram</t>
  </si>
  <si>
    <t>Note 1: Cash funded credit linked notes issued by the bank against</t>
  </si>
  <si>
    <t>UAQ</t>
  </si>
  <si>
    <t>Umm al Quwain</t>
  </si>
  <si>
    <t>A+</t>
  </si>
  <si>
    <t>A1</t>
  </si>
  <si>
    <t>MQ01</t>
  </si>
  <si>
    <t>Mining and quarrying - Extraction of crude petroleum</t>
  </si>
  <si>
    <t>ANG</t>
  </si>
  <si>
    <t>Netherlands Antillean Guilder</t>
  </si>
  <si>
    <t>exposures in the banking book which fulfil the criteria for credit</t>
  </si>
  <si>
    <t>RAK</t>
  </si>
  <si>
    <t>Ras Al Khaimah</t>
  </si>
  <si>
    <t>A2</t>
  </si>
  <si>
    <t>MQ02</t>
  </si>
  <si>
    <t>Mining and quarrying - Extraction of natural gas</t>
  </si>
  <si>
    <t>AOA</t>
  </si>
  <si>
    <t>Kwanza</t>
  </si>
  <si>
    <t>derivatives will be treated as cash collateralised transactions.</t>
  </si>
  <si>
    <t>Fujairah</t>
  </si>
  <si>
    <t>A-</t>
  </si>
  <si>
    <t>A3</t>
  </si>
  <si>
    <t>MQ03</t>
  </si>
  <si>
    <t>Mining and quarrying - Others</t>
  </si>
  <si>
    <t>ARS</t>
  </si>
  <si>
    <t>Argentine Peso</t>
  </si>
  <si>
    <t>Note 2: When cash on deposit, certificates of deposit or comparable</t>
  </si>
  <si>
    <t>BBB+</t>
  </si>
  <si>
    <t>Baa1</t>
  </si>
  <si>
    <t>MF01</t>
  </si>
  <si>
    <t>Manufacturing - Food products</t>
  </si>
  <si>
    <t>AUD</t>
  </si>
  <si>
    <t>Australian Dollar</t>
  </si>
  <si>
    <t>instruments issued by the lending bank are held as collateral at a</t>
  </si>
  <si>
    <t>BBB</t>
  </si>
  <si>
    <t>Baa2</t>
  </si>
  <si>
    <t>MF02</t>
  </si>
  <si>
    <t>Manufacturing - Beverages &amp; tobacco</t>
  </si>
  <si>
    <t>AWG</t>
  </si>
  <si>
    <t>Aruban Florin</t>
  </si>
  <si>
    <t>third-party bank in a noncustodial arrangement, if they are openly</t>
  </si>
  <si>
    <t>BBB-</t>
  </si>
  <si>
    <t>Baa3</t>
  </si>
  <si>
    <t>MF03</t>
  </si>
  <si>
    <t>Manufacturing - Textile, leather, footwear and clothing</t>
  </si>
  <si>
    <t>AZN</t>
  </si>
  <si>
    <t>Azerbaijan Manat</t>
  </si>
  <si>
    <t>pledged/assigned to the lending bank and if the pledge/assignment is</t>
  </si>
  <si>
    <t>BB+</t>
  </si>
  <si>
    <t>Ba1</t>
  </si>
  <si>
    <t>MF04</t>
  </si>
  <si>
    <t>Manufacturing - wearing apparel</t>
  </si>
  <si>
    <t>BAM</t>
  </si>
  <si>
    <t>Convertible Mark</t>
  </si>
  <si>
    <t>unconditional and irrevocable, the exposure amount covered by the</t>
  </si>
  <si>
    <t>BB</t>
  </si>
  <si>
    <t>Ba2</t>
  </si>
  <si>
    <t>MF05</t>
  </si>
  <si>
    <t>Manufacturing - wood &amp; other wood products</t>
  </si>
  <si>
    <t>BBD</t>
  </si>
  <si>
    <t>Barbados Dollar</t>
  </si>
  <si>
    <t>collateral (after any necessary haircuts for currency risk) will receive the</t>
  </si>
  <si>
    <t>BB-</t>
  </si>
  <si>
    <t>Ba3</t>
  </si>
  <si>
    <t>MF06</t>
  </si>
  <si>
    <t>Manufacturing - furniture</t>
  </si>
  <si>
    <t>BDT</t>
  </si>
  <si>
    <t>Taka</t>
  </si>
  <si>
    <t>risk weight of the third-party bank);</t>
  </si>
  <si>
    <t>B+</t>
  </si>
  <si>
    <t>MF07</t>
  </si>
  <si>
    <t>Manufacturing - paper &amp; paper products</t>
  </si>
  <si>
    <t>BGN</t>
  </si>
  <si>
    <t>Bulgarian Lev</t>
  </si>
  <si>
    <t>B</t>
  </si>
  <si>
    <t>Gold</t>
  </si>
  <si>
    <t>B2</t>
  </si>
  <si>
    <t>MF08</t>
  </si>
  <si>
    <t>Printing and reproduction of recorded media</t>
  </si>
  <si>
    <t>BHD</t>
  </si>
  <si>
    <t>Bahraini Dinar</t>
  </si>
  <si>
    <t>Debt securities rated by a recognised external credit assessment</t>
  </si>
  <si>
    <t>B-</t>
  </si>
  <si>
    <t>B3</t>
  </si>
  <si>
    <t>MF09</t>
  </si>
  <si>
    <t>Chemical &amp; chemical products except petroleum - Manufacture of basic industrial chemical except fertilizers</t>
  </si>
  <si>
    <t>BIF</t>
  </si>
  <si>
    <t>Burundi Franc</t>
  </si>
  <si>
    <t>institution where these are either:</t>
  </si>
  <si>
    <t>CCC+</t>
  </si>
  <si>
    <t>Caa1</t>
  </si>
  <si>
    <t>MF10</t>
  </si>
  <si>
    <t>Chemical &amp; chemical products except petroleum - Fertilizers and pesticides</t>
  </si>
  <si>
    <t>BMD</t>
  </si>
  <si>
    <t>Bermudian Dollar</t>
  </si>
  <si>
    <t>Rated at least BB- when issued by sovereigns or PSEs that are treated as</t>
  </si>
  <si>
    <t>CCC</t>
  </si>
  <si>
    <t>Caa2</t>
  </si>
  <si>
    <t>MF11</t>
  </si>
  <si>
    <t>Chemical &amp; chemical products except petroleum - Paints, varnishes and lacquers</t>
  </si>
  <si>
    <t>BND</t>
  </si>
  <si>
    <t>Brunei Dollar</t>
  </si>
  <si>
    <t>sovereigns by the Central Bank; or</t>
  </si>
  <si>
    <t>CCC-</t>
  </si>
  <si>
    <t>Caa3</t>
  </si>
  <si>
    <t>MF12</t>
  </si>
  <si>
    <t>Chemical &amp; chemical products except petroleum - Drugs and medicines</t>
  </si>
  <si>
    <t>BOB</t>
  </si>
  <si>
    <t>Boliviano</t>
  </si>
  <si>
    <t>At least BBB- when issued by other entities (including banks and</t>
  </si>
  <si>
    <t>CC</t>
  </si>
  <si>
    <t>Ca</t>
  </si>
  <si>
    <t>MF13</t>
  </si>
  <si>
    <t>Chemical &amp; chemical products except petroleum - Soap, cleaning preparations, perfumes, cosmetics etc</t>
  </si>
  <si>
    <t>BOV</t>
  </si>
  <si>
    <t>Mvdol</t>
  </si>
  <si>
    <t xml:space="preserve"> securities firms); or </t>
  </si>
  <si>
    <t>MF15</t>
  </si>
  <si>
    <t>Chemical &amp; chemical products except petroleum - Other chemical products not classified elsewhere</t>
  </si>
  <si>
    <t>BRL</t>
  </si>
  <si>
    <t>Brazilian Real</t>
  </si>
  <si>
    <t>At least A-3/P-3 for short-term debt instruments.</t>
  </si>
  <si>
    <t>D</t>
  </si>
  <si>
    <t>-</t>
  </si>
  <si>
    <t>MF16</t>
  </si>
  <si>
    <t>Petroleum refining and petroleum products - Petroleum refinery</t>
  </si>
  <si>
    <t>BSD</t>
  </si>
  <si>
    <t>Bahamian Dollar</t>
  </si>
  <si>
    <t>Debt securities not rated by a recognised external credit assessment</t>
  </si>
  <si>
    <t>MF17</t>
  </si>
  <si>
    <t>Petroleum refining and petroleum products - Manufacture of miscellaneous products of petroleum</t>
  </si>
  <si>
    <t>BTN</t>
  </si>
  <si>
    <t>Ngultrum</t>
  </si>
  <si>
    <t>institution where these are:</t>
  </si>
  <si>
    <t>MF18</t>
  </si>
  <si>
    <t>Petroleum refining and petroleum products - Any other petroleum product not included elsewhere</t>
  </si>
  <si>
    <t>BWP</t>
  </si>
  <si>
    <t>Pula</t>
  </si>
  <si>
    <t>Issued by a bank; and</t>
  </si>
  <si>
    <t>MF19</t>
  </si>
  <si>
    <t>Basic metal industry - Iron and steel basic industries</t>
  </si>
  <si>
    <t>BYN</t>
  </si>
  <si>
    <t>Belarusian Ruble</t>
  </si>
  <si>
    <t>Listed on a recognised exchange; and</t>
  </si>
  <si>
    <t>MF20</t>
  </si>
  <si>
    <t>Basic metal industry - Non-ferrous metal basic industries</t>
  </si>
  <si>
    <t>BZD</t>
  </si>
  <si>
    <t>Belize Dollar</t>
  </si>
  <si>
    <t>Classified as senior debt; and</t>
  </si>
  <si>
    <t>MF21</t>
  </si>
  <si>
    <t>Basic metal industry - Casting of metals</t>
  </si>
  <si>
    <t>CAD</t>
  </si>
  <si>
    <t>Canadian Dollar</t>
  </si>
  <si>
    <t>All rated issues of the same seniority by the issuing bank must be rated at</t>
  </si>
  <si>
    <t>MF22</t>
  </si>
  <si>
    <t>Manufacturing of rubber and plastics products</t>
  </si>
  <si>
    <t>CDF</t>
  </si>
  <si>
    <t>Congolese Franc</t>
  </si>
  <si>
    <t>least BBB- or A-3/P-3 by a recognised external credit assessment</t>
  </si>
  <si>
    <t>MF23</t>
  </si>
  <si>
    <t>Manufacturing of fabricated metal products, except machinery and equipment</t>
  </si>
  <si>
    <t>CHE</t>
  </si>
  <si>
    <t>WIR Euro</t>
  </si>
  <si>
    <t>institution; and</t>
  </si>
  <si>
    <t>MF24</t>
  </si>
  <si>
    <t>Manufacturing of pharmaceuticals, medical chemical and botanical products</t>
  </si>
  <si>
    <t>CHF</t>
  </si>
  <si>
    <t>Swiss Franc</t>
  </si>
  <si>
    <t>The bank holding the securities as collateral has no information to</t>
  </si>
  <si>
    <t>MF25</t>
  </si>
  <si>
    <t>Manufacturing of computers, electronic and optical products</t>
  </si>
  <si>
    <t>CHW</t>
  </si>
  <si>
    <t>WIR Franc</t>
  </si>
  <si>
    <t>suggest that the issue justifies a rating below BBB- or A-3/P-3 (as</t>
  </si>
  <si>
    <t>MF26</t>
  </si>
  <si>
    <t>Manufacturing of electrical equipment</t>
  </si>
  <si>
    <t>CLF</t>
  </si>
  <si>
    <t>Unidad de Fomento</t>
  </si>
  <si>
    <t>applicable); and</t>
  </si>
  <si>
    <t>MF27</t>
  </si>
  <si>
    <t>Manufacturing of machinery and equipment</t>
  </si>
  <si>
    <t>CLP</t>
  </si>
  <si>
    <t>Chilean Peso</t>
  </si>
  <si>
    <t>The Central Bank is sufficiently confident about the market liquidity of</t>
  </si>
  <si>
    <t>MF28</t>
  </si>
  <si>
    <t>Manufacturing of motor vehicles, trailers and semi-trailers</t>
  </si>
  <si>
    <t>CNY</t>
  </si>
  <si>
    <t>Yuan Renminbi</t>
  </si>
  <si>
    <t>the security.</t>
  </si>
  <si>
    <t>MF29</t>
  </si>
  <si>
    <t>Manufacturing of other transport equipment</t>
  </si>
  <si>
    <t>COP</t>
  </si>
  <si>
    <t>Colombian Peso</t>
  </si>
  <si>
    <t>Equities (including convertible bonds) as per paragraph 95 of the CBUAE</t>
  </si>
  <si>
    <t>MF30</t>
  </si>
  <si>
    <t>Manufacturing of other manufacturing (jewellery, musical instrument, sports, toys etc.)</t>
  </si>
  <si>
    <t>COU</t>
  </si>
  <si>
    <t>Unidad de Valor Real</t>
  </si>
  <si>
    <t>Standards re Capital Adequacy of Banks in the UAE</t>
  </si>
  <si>
    <t>MF31</t>
  </si>
  <si>
    <t>Manufacturing - Repair and installation of machinery and equipment</t>
  </si>
  <si>
    <t>CRC</t>
  </si>
  <si>
    <t>Costa Rican Colon</t>
  </si>
  <si>
    <t>Equities (including convertible bonds) as per paragraph 96 of the CBUAE</t>
  </si>
  <si>
    <t>MF32</t>
  </si>
  <si>
    <t>Manufacturing of other non-metallic mineral products - Cement, lime and plaster manufacturing</t>
  </si>
  <si>
    <t>CUC</t>
  </si>
  <si>
    <t>Peso Convertible</t>
  </si>
  <si>
    <t>MF33</t>
  </si>
  <si>
    <t>Manufacturing of other non-metallic mineral products - Tiles and other structural clay products</t>
  </si>
  <si>
    <t>CUP</t>
  </si>
  <si>
    <t>Cuban Peso</t>
  </si>
  <si>
    <t>UCITS and mutual funds as per paragraph 95 of the CBUAE Standards re</t>
  </si>
  <si>
    <t>MF34</t>
  </si>
  <si>
    <t>Manufacturing of other non-metallic mineral products - Glass and glass products</t>
  </si>
  <si>
    <t>CVE</t>
  </si>
  <si>
    <t>Cabo Verde Escudo</t>
  </si>
  <si>
    <t>Capital Adequacy in the UAE</t>
  </si>
  <si>
    <t>MF35</t>
  </si>
  <si>
    <t>Other manufacturing non-metallic mineral product not shown elsewhere</t>
  </si>
  <si>
    <t>CZK</t>
  </si>
  <si>
    <t>Czech Koruna</t>
  </si>
  <si>
    <t>H</t>
  </si>
  <si>
    <t>UCITS and mutual funds as per paragraph 96 of the CBUAE Standards re</t>
  </si>
  <si>
    <t>ES01</t>
  </si>
  <si>
    <t>Electricity, gas &amp; air-conditioning supply - Electric power generation, transmission and distribution</t>
  </si>
  <si>
    <t>DJF</t>
  </si>
  <si>
    <t>Djibouti Franc</t>
  </si>
  <si>
    <t>ES02</t>
  </si>
  <si>
    <t>Electricity, gas &amp; air-conditioning supply - Industrial and consumer gas, CNG</t>
  </si>
  <si>
    <t>DKK</t>
  </si>
  <si>
    <t>Danish Krone</t>
  </si>
  <si>
    <t>I</t>
  </si>
  <si>
    <t>Eligible Guarantees as prescribed in CBUAE Standards re Capital Adequacy in</t>
  </si>
  <si>
    <t>ES03</t>
  </si>
  <si>
    <t>Electricity, gas &amp; air-conditioning supply – Air-conditioning and steam supply</t>
  </si>
  <si>
    <t>DOP</t>
  </si>
  <si>
    <t>Dominican Peso</t>
  </si>
  <si>
    <t>the UAE</t>
  </si>
  <si>
    <t>WS01</t>
  </si>
  <si>
    <t>Water supply; sewerage, waste management and remediation activities -Water collection, treatment and supply</t>
  </si>
  <si>
    <t>DZD</t>
  </si>
  <si>
    <t>Algerian Dinar</t>
  </si>
  <si>
    <t>WS02</t>
  </si>
  <si>
    <t>Water supply; sewerage, waste management and remediation activities -Sewerage</t>
  </si>
  <si>
    <t>EGP</t>
  </si>
  <si>
    <t>Egyptian Pound</t>
  </si>
  <si>
    <t>WS03</t>
  </si>
  <si>
    <t>Water supply; sewerage, waste management and remediation activities -Waste collection, treatment and disposal activities; materials recovery</t>
  </si>
  <si>
    <t>ERN</t>
  </si>
  <si>
    <t>Nakfa</t>
  </si>
  <si>
    <t>WS04</t>
  </si>
  <si>
    <t>Water supply; sewerage, waste management and remediation activities -Remediation activities and other waste management services</t>
  </si>
  <si>
    <t>ETB</t>
  </si>
  <si>
    <t>Ethiopian Birr</t>
  </si>
  <si>
    <t>CR01</t>
  </si>
  <si>
    <t>Construction and real estate - Construction of buildings</t>
  </si>
  <si>
    <t>EUR</t>
  </si>
  <si>
    <t>Euro</t>
  </si>
  <si>
    <t>CR02</t>
  </si>
  <si>
    <t>Construction and real estate - Civil engineering</t>
  </si>
  <si>
    <t>FJD</t>
  </si>
  <si>
    <t>Fiji Dollar</t>
  </si>
  <si>
    <t>CR03</t>
  </si>
  <si>
    <t>Construction and real estate - Specialized construction activities</t>
  </si>
  <si>
    <t>FKP</t>
  </si>
  <si>
    <t>Falkland Islands Pound</t>
  </si>
  <si>
    <t>CR04</t>
  </si>
  <si>
    <t>Construction and real estate - Real estate activities with own or leased property</t>
  </si>
  <si>
    <t>GBP</t>
  </si>
  <si>
    <t>Pound Sterling</t>
  </si>
  <si>
    <t>CR05</t>
  </si>
  <si>
    <t>Construction and real estate - Real estate activities on a free or contract basis</t>
  </si>
  <si>
    <t>GEL</t>
  </si>
  <si>
    <t>Lari</t>
  </si>
  <si>
    <t>WR01</t>
  </si>
  <si>
    <t>Wholesale and retail trade; repair of motor vehicles and motorcycles - Sale of motor vehicles, parts and accessories</t>
  </si>
  <si>
    <t>GHS</t>
  </si>
  <si>
    <t>Ghana Cedi</t>
  </si>
  <si>
    <t>WR02</t>
  </si>
  <si>
    <t>Wholesale and retail trade; repair of motor vehicles and motorcycles – Sale, maintenance and repair of motor vehicles, parts and accessories</t>
  </si>
  <si>
    <t>GIP</t>
  </si>
  <si>
    <t>Gibraltar Pound</t>
  </si>
  <si>
    <t>WR03</t>
  </si>
  <si>
    <t>Wholesale and retail trade; repair of motor vehicles and motorcycles – Wholesale of construction materials, hardware, plumbing and heating equipment and supplies</t>
  </si>
  <si>
    <t>GMD</t>
  </si>
  <si>
    <t>Dalasi</t>
  </si>
  <si>
    <t>WR04</t>
  </si>
  <si>
    <t>Wholesale and retail trade; repair of motor vehicles and motorcycles – Textiles, clothing and leather products</t>
  </si>
  <si>
    <t>GNF</t>
  </si>
  <si>
    <t>Guinean Franc</t>
  </si>
  <si>
    <t>WR05</t>
  </si>
  <si>
    <t>Wholesale and retail trade; repair of motor vehicles and motorcycles – Wholesale of machinery, equipment and supplies</t>
  </si>
  <si>
    <t>GTQ</t>
  </si>
  <si>
    <t>Quetzal</t>
  </si>
  <si>
    <t>WR06</t>
  </si>
  <si>
    <t>Wholesale and retail trade; repair of motor vehicles and motorcycles – wholesale of food, beverages and tobacco</t>
  </si>
  <si>
    <t>GYD</t>
  </si>
  <si>
    <t>Guyana Dollar</t>
  </si>
  <si>
    <t>WR07</t>
  </si>
  <si>
    <t>Wholesale and retail trade; repair of motor vehicles and motorcycles – wholesale of solid, liquid and gaseous fuels and related products</t>
  </si>
  <si>
    <t>HKD</t>
  </si>
  <si>
    <t>Hong Kong Dollar</t>
  </si>
  <si>
    <t>WR08</t>
  </si>
  <si>
    <t>Wholesale and retail trade; repair of motor vehicles and motorcycles – wholesales of metals and metal ores</t>
  </si>
  <si>
    <t>HNL</t>
  </si>
  <si>
    <t>Lempira</t>
  </si>
  <si>
    <t>WR09</t>
  </si>
  <si>
    <t>Wholesale and retail trade; repair of motor vehicles and motorcycles – wholesale of wasted and scrap and other products</t>
  </si>
  <si>
    <t>HRK</t>
  </si>
  <si>
    <t>Kuna</t>
  </si>
  <si>
    <t>WR10</t>
  </si>
  <si>
    <t>Wholesale and retail trade; repair of motor vehicles and motorcycles – wholesale of agricultural raw materials and live animals</t>
  </si>
  <si>
    <t>HTG</t>
  </si>
  <si>
    <t>Gourde</t>
  </si>
  <si>
    <t>WR11</t>
  </si>
  <si>
    <t>Wholesale and retail trade; repair of motor vehicles and motorcycles – non-specialised wholesale trade</t>
  </si>
  <si>
    <t>HUF</t>
  </si>
  <si>
    <t>Forint</t>
  </si>
  <si>
    <t>WR12</t>
  </si>
  <si>
    <t>Wholesale and retail trade; repair of motor vehicles and motorcycles – Retail sale in non-specialised stores</t>
  </si>
  <si>
    <t>IDR</t>
  </si>
  <si>
    <t>Rupiah</t>
  </si>
  <si>
    <t>WR13</t>
  </si>
  <si>
    <t>Wholesale and retail trade; repair of motor vehicles and motorcycles – Retail sale of food, beverages and tobacco in specialized stores</t>
  </si>
  <si>
    <t>ILS</t>
  </si>
  <si>
    <t>New Israeli Sheqel</t>
  </si>
  <si>
    <t>WR14</t>
  </si>
  <si>
    <t>Wholesale and retail trade; repair of motor vehicles and motorcycles – Retail sale of information and communication equipment in specialized stores</t>
  </si>
  <si>
    <t>INR</t>
  </si>
  <si>
    <t>Indian Rupee</t>
  </si>
  <si>
    <t>WR15</t>
  </si>
  <si>
    <t>Wholesale and retail trade; repair of motor vehicles and motorcycles – Retail sale of cultural and recreation goods in specialized stores</t>
  </si>
  <si>
    <t>IQD</t>
  </si>
  <si>
    <t>Iraqi Dinar</t>
  </si>
  <si>
    <t>WR16</t>
  </si>
  <si>
    <t>Wholesale and retail trade; repair of motor vehicles and motorcycles – Retail sale of other household equipment in specialized stores</t>
  </si>
  <si>
    <t>IRR</t>
  </si>
  <si>
    <t>Iranian Rial</t>
  </si>
  <si>
    <t>WR17</t>
  </si>
  <si>
    <t>Wholesale and retail trade; repair of motor vehicles and motorcycles – Retail sale via stalls and markets other goods in specialized stores</t>
  </si>
  <si>
    <t>ISK</t>
  </si>
  <si>
    <t>Iceland Krona</t>
  </si>
  <si>
    <t>WR18</t>
  </si>
  <si>
    <t>Wholesale and retail trade; repair of motor vehicles and motorcycles – Retail sale of other goods in specialized stores</t>
  </si>
  <si>
    <t>JMD</t>
  </si>
  <si>
    <t>Jamaican Dollar</t>
  </si>
  <si>
    <t>TS01</t>
  </si>
  <si>
    <t>Transportation and storage - Land transport and transport via pipelines</t>
  </si>
  <si>
    <t>JOD</t>
  </si>
  <si>
    <t>Jordanian Dinar</t>
  </si>
  <si>
    <t>TS02</t>
  </si>
  <si>
    <t>Transportation and storage - Taxies, buses, railways and other land transport</t>
  </si>
  <si>
    <t>JPY</t>
  </si>
  <si>
    <t>Yen</t>
  </si>
  <si>
    <t>TS03</t>
  </si>
  <si>
    <t>Transportation and storage - Transport via pipelines</t>
  </si>
  <si>
    <t>KES</t>
  </si>
  <si>
    <t>Kenyan Shilling</t>
  </si>
  <si>
    <t>TS04</t>
  </si>
  <si>
    <t>Transportation and storage - Water Transport</t>
  </si>
  <si>
    <t>KGS</t>
  </si>
  <si>
    <t>Som</t>
  </si>
  <si>
    <t>TS05</t>
  </si>
  <si>
    <t>Transportation and storage - Air lines and air transport</t>
  </si>
  <si>
    <t>KHR</t>
  </si>
  <si>
    <t>Riel</t>
  </si>
  <si>
    <t>TS06</t>
  </si>
  <si>
    <t>Transportation and storage - Warehousing and support activities for transportation</t>
  </si>
  <si>
    <t>KMF</t>
  </si>
  <si>
    <t>Comorian Franc</t>
  </si>
  <si>
    <t>TS07</t>
  </si>
  <si>
    <t>Transportation and storage - Postal and courier activities</t>
  </si>
  <si>
    <t>KPW</t>
  </si>
  <si>
    <t>North Korean Won</t>
  </si>
  <si>
    <t>HS01</t>
  </si>
  <si>
    <t>Hospitality - Accommodation</t>
  </si>
  <si>
    <t>KRW</t>
  </si>
  <si>
    <t>Won</t>
  </si>
  <si>
    <t>HS02</t>
  </si>
  <si>
    <t>Hospitality - Food and beverage service activities</t>
  </si>
  <si>
    <t>KWD</t>
  </si>
  <si>
    <t>Kuwaiti Dinar</t>
  </si>
  <si>
    <t>IC01</t>
  </si>
  <si>
    <t>Information and communication - Publishing activities</t>
  </si>
  <si>
    <t>KYD</t>
  </si>
  <si>
    <t>Cayman Islands Dollar</t>
  </si>
  <si>
    <t>IC02</t>
  </si>
  <si>
    <t>Information and communication - Motion picture, video and television programme production, sound recording</t>
  </si>
  <si>
    <t>KZT</t>
  </si>
  <si>
    <t>Tenge</t>
  </si>
  <si>
    <t>IC03</t>
  </si>
  <si>
    <t>and music publishing activities</t>
  </si>
  <si>
    <t>LAK</t>
  </si>
  <si>
    <t>Lao Kip</t>
  </si>
  <si>
    <t>IC04</t>
  </si>
  <si>
    <t>Information and communication - Programming and broadcasting activities</t>
  </si>
  <si>
    <t>LBP</t>
  </si>
  <si>
    <t>Lebanese Pound</t>
  </si>
  <si>
    <t>IC05</t>
  </si>
  <si>
    <t>Information and communication - Telecommunications</t>
  </si>
  <si>
    <t>LKR</t>
  </si>
  <si>
    <t>Sri Lanka Rupee</t>
  </si>
  <si>
    <t>IC06</t>
  </si>
  <si>
    <t>Information and communication - Computer programming, consultancy and related activities</t>
  </si>
  <si>
    <t>LRD</t>
  </si>
  <si>
    <t>Liberian Dollar</t>
  </si>
  <si>
    <t>IC07</t>
  </si>
  <si>
    <t>Information and communication - Information service activities</t>
  </si>
  <si>
    <t>LSL</t>
  </si>
  <si>
    <t>Loti</t>
  </si>
  <si>
    <t>FI01</t>
  </si>
  <si>
    <t>Financial and Insurance activities - Financial service activities, except insurance and pension funding - Central Banking</t>
  </si>
  <si>
    <t>LYD</t>
  </si>
  <si>
    <t>Libyan Dinar</t>
  </si>
  <si>
    <t>FI02</t>
  </si>
  <si>
    <t>Financial and Insurance activities - Financial service activities, except insurance and pension funding - Commercial banks</t>
  </si>
  <si>
    <t>MAD</t>
  </si>
  <si>
    <t>Moroccan Dirham</t>
  </si>
  <si>
    <t>FI03</t>
  </si>
  <si>
    <t>Financial and Insurance activities - Financial service activities, except insurance and pension funding - Real Estate Finance companies</t>
  </si>
  <si>
    <t>MDL</t>
  </si>
  <si>
    <t>Moldovan Leu</t>
  </si>
  <si>
    <t>FI04</t>
  </si>
  <si>
    <t>Financial and Insurance activities - Financial service activities, except insurance and pension funding - Non Real Estate Finance Companies</t>
  </si>
  <si>
    <t>MGA</t>
  </si>
  <si>
    <t>Malagasy Ariary</t>
  </si>
  <si>
    <t>FI05</t>
  </si>
  <si>
    <t>Financial and Insurance activities - Financial service activities, except insurance and pension funding - Investment Companies</t>
  </si>
  <si>
    <t>MKD</t>
  </si>
  <si>
    <t>Denar</t>
  </si>
  <si>
    <t>FI06</t>
  </si>
  <si>
    <t>Financial and Insurance activities - Financial service activities, except insurance and pension funding - Brokerage Companies</t>
  </si>
  <si>
    <t>MMK</t>
  </si>
  <si>
    <t>Kyat</t>
  </si>
  <si>
    <t>FI07</t>
  </si>
  <si>
    <t>Financial and Insurance activities - Financial service activities, except insurance and pension funding - Activities of holding companies</t>
  </si>
  <si>
    <t>MNT</t>
  </si>
  <si>
    <t>Tugrik</t>
  </si>
  <si>
    <t>FI08</t>
  </si>
  <si>
    <t>Financial and Insurance activities - Financial service activities, except insurance and pension funding - Trusts, funds and similar financial entities</t>
  </si>
  <si>
    <t>MOP</t>
  </si>
  <si>
    <t>Pataca</t>
  </si>
  <si>
    <t>FI09</t>
  </si>
  <si>
    <t>Financial and Insurance activities - Financial service activities, except insurance and pension funding - Financial leasing</t>
  </si>
  <si>
    <t>MRU</t>
  </si>
  <si>
    <t>Ouguiya</t>
  </si>
  <si>
    <t>FI10</t>
  </si>
  <si>
    <t>Financial and Insurance activities - Others financial activities, such as insurance &amp; pension funding - Insurance, reinsurance and pension funding</t>
  </si>
  <si>
    <t>MUR</t>
  </si>
  <si>
    <t>Mauritius Rupee</t>
  </si>
  <si>
    <t>FI11</t>
  </si>
  <si>
    <t>Financial and Insurance activities - Others financial activities, such as insurance &amp; pension funding – Activities auxiliary to financial service and insurance activities</t>
  </si>
  <si>
    <t>MVR</t>
  </si>
  <si>
    <t>Rufiyaa</t>
  </si>
  <si>
    <t>PT01</t>
  </si>
  <si>
    <t>Professional, scientific and technical activities</t>
  </si>
  <si>
    <t>MWK</t>
  </si>
  <si>
    <t>Malawi Kwacha</t>
  </si>
  <si>
    <t>AS01</t>
  </si>
  <si>
    <t>Administrative and support service activities</t>
  </si>
  <si>
    <t>MYR</t>
  </si>
  <si>
    <t>Malaysian Ringgit</t>
  </si>
  <si>
    <t>PA01</t>
  </si>
  <si>
    <t>Public administration and defence and social security</t>
  </si>
  <si>
    <t>MXN</t>
  </si>
  <si>
    <t>Mexican Peso</t>
  </si>
  <si>
    <t>ED01</t>
  </si>
  <si>
    <t>Education</t>
  </si>
  <si>
    <t>MXV</t>
  </si>
  <si>
    <t>Mexican Unidad de Inversion (UDI)</t>
  </si>
  <si>
    <t>HH01</t>
  </si>
  <si>
    <t>Human health and social work activities</t>
  </si>
  <si>
    <t>MZN</t>
  </si>
  <si>
    <t>Mozambique Metical</t>
  </si>
  <si>
    <t>AR01</t>
  </si>
  <si>
    <t>Arts, entertainment and recreation</t>
  </si>
  <si>
    <t>NAD</t>
  </si>
  <si>
    <t>Namibia Dollar</t>
  </si>
  <si>
    <t>OS01</t>
  </si>
  <si>
    <t>Other service activities</t>
  </si>
  <si>
    <t>NGN</t>
  </si>
  <si>
    <t>Naira</t>
  </si>
  <si>
    <t>AE01</t>
  </si>
  <si>
    <t>Activities of extraterritorial organisations and bodies (supranational)</t>
  </si>
  <si>
    <t>NIO</t>
  </si>
  <si>
    <t>Cordoba Oro</t>
  </si>
  <si>
    <t>GV01</t>
  </si>
  <si>
    <t>Federal Government</t>
  </si>
  <si>
    <t>NOK</t>
  </si>
  <si>
    <t>Norwegian Krone</t>
  </si>
  <si>
    <t>GV02</t>
  </si>
  <si>
    <t>Emirate Government</t>
  </si>
  <si>
    <t>NPR</t>
  </si>
  <si>
    <t>Nepalese Rupee</t>
  </si>
  <si>
    <t>GV03</t>
  </si>
  <si>
    <t>Foreign Government</t>
  </si>
  <si>
    <t>NZD</t>
  </si>
  <si>
    <t>New Zealand Dollar</t>
  </si>
  <si>
    <t>IL01</t>
  </si>
  <si>
    <t>Individual loans for consumption - Personal instalment loans, Overdrafts &amp; Car Loan</t>
  </si>
  <si>
    <t>OMR</t>
  </si>
  <si>
    <t>Rial Omani</t>
  </si>
  <si>
    <t>IL02</t>
  </si>
  <si>
    <t>Individual loans for consumption  - Credit Cards</t>
  </si>
  <si>
    <t>PAB</t>
  </si>
  <si>
    <t>Balboa</t>
  </si>
  <si>
    <t>IL03</t>
  </si>
  <si>
    <t>Individual loans for consumption - Housing Loans</t>
  </si>
  <si>
    <t>PEN</t>
  </si>
  <si>
    <t>Sol</t>
  </si>
  <si>
    <t>IB01</t>
  </si>
  <si>
    <t>Individual loans for business – Term loans and overdraft</t>
  </si>
  <si>
    <t>PGK</t>
  </si>
  <si>
    <t>Kina</t>
  </si>
  <si>
    <t>IB02</t>
  </si>
  <si>
    <t>Individual loans for business – loans against shares or other investments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</si>
  <si>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</si>
  <si>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</si>
  <si>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</si>
  <si>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</si>
  <si>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</si>
  <si>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</si>
  <si>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</si>
  <si>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</si>
  <si>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</si>
  <si>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</si>
  <si>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</si>
  <si>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</si>
  <si>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</si>
  <si>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</si>
  <si>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</si>
  <si>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</si>
  <si>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</si>
  <si>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</si>
  <si>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</si>
  <si>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</si>
  <si>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</si>
  <si>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</si>
  <si>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</si>
  <si>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</si>
  <si>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</si>
  <si>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</si>
  <si>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</si>
  <si>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</si>
  <si>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</si>
  <si>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</si>
  <si>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</si>
  <si>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</si>
  <si>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</si>
  <si>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</si>
  <si>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</si>
  <si>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</si>
  <si>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</si>
  <si>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</si>
  <si>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</si>
  <si>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</si>
  <si>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STN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</si>
  <si>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</si>
  <si>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</si>
  <si>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</si>
  <si>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</si>
  <si>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</si>
  <si>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</si>
  <si>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</si>
  <si>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</si>
  <si>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</si>
  <si>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</si>
  <si>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</si>
  <si>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</si>
  <si>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</si>
  <si>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</si>
  <si>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</si>
  <si>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</si>
  <si>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</si>
  <si>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</si>
  <si>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</si>
  <si>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</si>
  <si>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</si>
  <si>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</si>
  <si>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</si>
  <si>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</si>
  <si>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</si>
  <si>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</si>
  <si>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</si>
  <si>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</si>
  <si>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</si>
  <si>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</si>
  <si>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</si>
  <si>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</si>
  <si>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</si>
  <si>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</si>
  <si>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(UI)</t>
  </si>
  <si>
    <t>UYU</t>
  </si>
  <si>
    <t>Peso Uruguayo</t>
  </si>
  <si>
    <t>UYW</t>
  </si>
  <si>
    <t>Unidad Previsional</t>
  </si>
  <si>
    <t>UZS</t>
  </si>
  <si>
    <t>Uzbekistan Sum</t>
  </si>
  <si>
    <t>VES</t>
  </si>
  <si>
    <t>Bolívar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</si>
  <si>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</si>
  <si>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</si>
  <si>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</si>
  <si>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</si>
  <si>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</si>
  <si>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</si>
  <si>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</si>
  <si>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</si>
  <si>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</si>
  <si>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</si>
  <si>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</si>
  <si>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SDR (Special Drawing Right)</t>
  </si>
  <si>
    <t>XOF</t>
  </si>
  <si>
    <t>CFA Franc BCEAO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</si>
  <si>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</si>
  <si>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</si>
  <si>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</si>
  <si>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</si>
  <si>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</si>
  <si>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</si>
  <si>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</si>
  <si>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</si>
  <si>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</si>
  <si>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</si>
  <si>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</si>
  <si>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</si>
  <si>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</si>
  <si>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</si>
  <si>
    <t>XAU</t>
  </si>
  <si>
    <t>XAG</t>
  </si>
  <si>
    <t>Silver</t>
  </si>
  <si>
    <t>XPD</t>
  </si>
  <si>
    <t>Palladium</t>
  </si>
  <si>
    <t>XPT</t>
  </si>
  <si>
    <t>Platinum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</si>
</sst>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3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2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20" applyNumberFormat="0" applyAlignment="0" applyProtection="0"/>
    <xf numFmtId="0" fontId="24" fillId="9" borderId="21" applyNumberFormat="0" applyAlignment="0" applyProtection="0"/>
    <xf numFmtId="0" fontId="25" fillId="9" borderId="20" applyNumberFormat="0" applyAlignment="0" applyProtection="0"/>
    <xf numFmtId="0" fontId="5" fillId="10" borderId="22" applyNumberFormat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6" fillId="37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4" fillId="0" borderId="0"/>
  </cellStyleXfs>
  <cellXfs count="1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3" borderId="6" xfId="0" applyFont="1" applyFill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4" borderId="1" xfId="52" applyFill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 applyFill="1" applyBorder="1"/>
    <xf numFmtId="0" fontId="8" fillId="3" borderId="2" xfId="51" applyFont="1" applyFill="1" applyBorder="1" applyAlignment="1">
      <alignment horizontal="center" vertical="center"/>
    </xf>
    <xf numFmtId="0" fontId="8" fillId="3" borderId="12" xfId="51" applyFont="1" applyFill="1" applyBorder="1" applyAlignment="1">
      <alignment horizontal="center" vertical="center"/>
    </xf>
    <xf numFmtId="0" fontId="9" fillId="5" borderId="11" xfId="49" applyFont="1" applyFill="1" applyBorder="1" applyAlignment="1" applyProtection="1"/>
    <xf numFmtId="15" fontId="10" fillId="0" borderId="2" xfId="50" applyNumberFormat="1" applyFont="1" applyFill="1" applyBorder="1" applyAlignment="1" applyProtection="1">
      <alignment horizontal="center"/>
    </xf>
    <xf numFmtId="15" fontId="10" fillId="0" borderId="3" xfId="50" applyNumberFormat="1" applyFont="1" applyFill="1" applyBorder="1" applyAlignment="1" applyProtection="1">
      <alignment horizontal="center"/>
    </xf>
    <xf numFmtId="15" fontId="10" fillId="0" borderId="13" xfId="50" applyNumberFormat="1" applyFont="1" applyFill="1" applyBorder="1" applyAlignment="1" applyProtection="1">
      <alignment horizontal="left"/>
    </xf>
    <xf numFmtId="15" fontId="10" fillId="0" borderId="13" xfId="50" applyNumberFormat="1" applyFont="1" applyFill="1" applyBorder="1" applyAlignment="1" applyProtection="1">
      <alignment horizontal="center"/>
    </xf>
    <xf numFmtId="15" fontId="10" fillId="5" borderId="2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center"/>
    </xf>
    <xf numFmtId="0" fontId="10" fillId="5" borderId="9" xfId="50" applyFont="1" applyFill="1" applyBorder="1" applyProtection="1"/>
    <xf numFmtId="0" fontId="10" fillId="0" borderId="11" xfId="50" applyFont="1" applyFill="1" applyBorder="1" applyAlignment="1" applyProtection="1">
      <alignment horizontal="center"/>
    </xf>
    <xf numFmtId="0" fontId="10" fillId="0" borderId="5" xfId="50" applyFont="1" applyFill="1" applyBorder="1" applyAlignment="1" applyProtection="1">
      <alignment horizontal="center"/>
    </xf>
    <xf numFmtId="0" fontId="10" fillId="0" borderId="4" xfId="50" applyFont="1" applyFill="1" applyBorder="1" applyAlignment="1" applyProtection="1">
      <alignment horizontal="left"/>
    </xf>
    <xf numFmtId="15" fontId="10" fillId="0" borderId="4" xfId="50" applyNumberFormat="1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8" xfId="51" applyFont="1" applyBorder="1">
      <alignment vertical="center"/>
    </xf>
    <xf numFmtId="0" fontId="0" fillId="0" borderId="2" xfId="0" applyBorder="1" applyAlignment="1"/>
    <xf numFmtId="0" fontId="0" fillId="0" borderId="12" xfId="0" applyBorder="1" applyAlignment="1"/>
    <xf numFmtId="0" fontId="10" fillId="3" borderId="2" xfId="51" applyFont="1" applyFill="1" applyBorder="1" applyAlignment="1"/>
    <xf numFmtId="0" fontId="10" fillId="4" borderId="3" xfId="51" applyFont="1" applyFill="1" applyBorder="1" applyAlignment="1">
      <alignment horizontal="left" vertical="center"/>
    </xf>
    <xf numFmtId="3" fontId="10" fillId="0" borderId="1" xfId="51" applyNumberFormat="1" applyFont="1" applyFill="1" applyBorder="1" applyAlignment="1" applyProtection="1">
      <alignment horizontal="right" vertical="center"/>
      <protection locked="0"/>
    </xf>
    <xf numFmtId="0" fontId="13" fillId="3" borderId="12" xfId="51" applyFont="1" applyFill="1" applyBorder="1">
      <alignment vertical="center"/>
    </xf>
    <xf numFmtId="0" fontId="10" fillId="3" borderId="2" xfId="51" applyFont="1" applyFill="1" applyBorder="1" applyAlignment="1">
      <alignment horizontal="left" vertical="center"/>
    </xf>
    <xf numFmtId="0" fontId="10" fillId="3" borderId="12" xfId="51" applyFont="1" applyFill="1" applyBorder="1" applyAlignment="1">
      <alignment horizontal="left" vertical="center"/>
    </xf>
    <xf numFmtId="0" fontId="10" fillId="3" borderId="8" xfId="51" applyFont="1" applyFill="1" applyBorder="1" applyAlignment="1">
      <alignment vertical="center" wrapText="1"/>
    </xf>
    <xf numFmtId="0" fontId="10" fillId="4" borderId="8" xfId="51" applyFont="1" applyFill="1" applyBorder="1" applyAlignment="1">
      <alignment horizontal="center" vertical="center" wrapText="1"/>
    </xf>
    <xf numFmtId="0" fontId="13" fillId="0" borderId="1" xfId="51" applyFont="1" applyFill="1" applyBorder="1" applyAlignment="1">
      <alignment horizontal="center" vertical="center" wrapText="1"/>
    </xf>
    <xf numFmtId="0" fontId="13" fillId="0" borderId="1" xfId="51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13" fillId="6" borderId="1" xfId="51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vertical="center"/>
    </xf>
    <xf numFmtId="3" fontId="13" fillId="6" borderId="12" xfId="0" applyNumberFormat="1" applyFont="1" applyFill="1" applyBorder="1" applyAlignment="1">
      <alignment vertical="center"/>
    </xf>
    <xf numFmtId="0" fontId="11" fillId="6" borderId="2" xfId="51" applyFont="1" applyFill="1" applyBorder="1" applyAlignment="1">
      <alignment vertical="center"/>
    </xf>
    <xf numFmtId="0" fontId="11" fillId="6" borderId="12" xfId="51" applyFont="1" applyFill="1" applyBorder="1" applyAlignment="1">
      <alignment vertical="center" wrapText="1"/>
    </xf>
    <xf numFmtId="0" fontId="13" fillId="6" borderId="2" xfId="51" applyFont="1" applyFill="1" applyBorder="1" applyAlignment="1">
      <alignment vertical="center"/>
    </xf>
    <xf numFmtId="0" fontId="13" fillId="6" borderId="12" xfId="5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76" fontId="10" fillId="3" borderId="12" xfId="1" applyNumberFormat="1" applyFont="1" applyFill="1" applyBorder="1" applyAlignment="1" applyProtection="1">
      <alignment vertical="top" wrapText="1"/>
      <protection locked="0"/>
    </xf>
    <xf numFmtId="0" fontId="10" fillId="3" borderId="12" xfId="51" applyFont="1" applyFill="1" applyBorder="1" applyAlignment="1" applyProtection="1">
      <alignment vertical="top" wrapText="1"/>
      <protection locked="0"/>
    </xf>
    <xf numFmtId="0" fontId="10" fillId="3" borderId="12" xfId="51" applyFont="1" applyFill="1" applyBorder="1" applyAlignment="1">
      <alignment vertical="top" wrapText="1"/>
    </xf>
    <xf numFmtId="0" fontId="10" fillId="3" borderId="8" xfId="51" applyFont="1" applyFill="1" applyBorder="1" applyAlignment="1">
      <alignment horizontal="center" vertical="center" wrapText="1"/>
    </xf>
    <xf numFmtId="3" fontId="13" fillId="0" borderId="1" xfId="51" applyNumberFormat="1" applyFont="1" applyFill="1" applyBorder="1" applyAlignment="1" applyProtection="1">
      <alignment vertical="center" wrapText="1"/>
      <protection locked="0"/>
    </xf>
    <xf numFmtId="0" fontId="14" fillId="3" borderId="6" xfId="0" applyFont="1" applyFill="1" applyBorder="1" applyAlignment="1">
      <alignment horizontal="center" vertical="center"/>
    </xf>
    <xf numFmtId="0" fontId="13" fillId="3" borderId="6" xfId="51" applyFont="1" applyFill="1" applyBorder="1">
      <alignment vertical="center"/>
    </xf>
    <xf numFmtId="3" fontId="10" fillId="3" borderId="6" xfId="1" applyNumberFormat="1" applyFont="1" applyFill="1" applyBorder="1" applyAlignment="1">
      <alignment vertical="center"/>
    </xf>
    <xf numFmtId="0" fontId="14" fillId="3" borderId="13" xfId="0" applyFont="1" applyFill="1" applyBorder="1" applyAlignment="1">
      <alignment horizontal="center" vertical="center"/>
    </xf>
    <xf numFmtId="0" fontId="13" fillId="3" borderId="13" xfId="51" applyFont="1" applyFill="1" applyBorder="1">
      <alignment vertical="center"/>
    </xf>
    <xf numFmtId="3" fontId="10" fillId="3" borderId="13" xfId="1" applyNumberFormat="1" applyFont="1" applyFill="1" applyBorder="1" applyAlignment="1">
      <alignment horizontal="right" vertical="center"/>
    </xf>
    <xf numFmtId="0" fontId="7" fillId="0" borderId="0" xfId="51" applyFont="1">
      <alignment vertical="center"/>
    </xf>
    <xf numFmtId="0" fontId="13" fillId="0" borderId="12" xfId="51" applyFont="1" applyBorder="1">
      <alignment vertical="center"/>
    </xf>
    <xf numFmtId="3" fontId="10" fillId="3" borderId="1" xfId="51" applyNumberFormat="1" applyFont="1" applyFill="1" applyBorder="1" applyAlignment="1">
      <alignment vertical="center" wrapText="1"/>
    </xf>
    <xf numFmtId="10" fontId="10" fillId="3" borderId="1" xfId="3" applyNumberFormat="1" applyFont="1" applyFill="1" applyBorder="1" applyAlignment="1">
      <alignment vertical="center" wrapText="1"/>
    </xf>
    <xf numFmtId="0" fontId="13" fillId="0" borderId="1" xfId="51" applyFont="1" applyFill="1" applyBorder="1" applyAlignment="1" applyProtection="1">
      <alignment vertical="center" wrapText="1"/>
      <protection locked="0"/>
    </xf>
    <xf numFmtId="0" fontId="13" fillId="3" borderId="6" xfId="51" applyFont="1" applyFill="1" applyBorder="1" applyAlignment="1">
      <alignment vertical="center"/>
    </xf>
    <xf numFmtId="10" fontId="10" fillId="3" borderId="13" xfId="3" applyNumberFormat="1" applyFont="1" applyFill="1" applyBorder="1" applyAlignment="1">
      <alignment horizontal="center" vertical="center"/>
    </xf>
    <xf numFmtId="0" fontId="13" fillId="0" borderId="12" xfId="51" applyFont="1" applyFill="1" applyBorder="1">
      <alignment vertical="center"/>
    </xf>
    <xf numFmtId="0" fontId="8" fillId="3" borderId="3" xfId="51" applyFont="1" applyFill="1" applyBorder="1" applyAlignment="1">
      <alignment horizontal="center" vertical="center"/>
    </xf>
    <xf numFmtId="15" fontId="10" fillId="0" borderId="14" xfId="50" applyNumberFormat="1" applyFont="1" applyFill="1" applyBorder="1" applyAlignment="1" applyProtection="1">
      <alignment horizontal="center"/>
    </xf>
    <xf numFmtId="15" fontId="10" fillId="0" borderId="15" xfId="50" applyNumberFormat="1" applyFont="1" applyFill="1" applyBorder="1" applyAlignment="1" applyProtection="1">
      <alignment horizontal="center"/>
    </xf>
    <xf numFmtId="15" fontId="10" fillId="0" borderId="5" xfId="50" applyNumberFormat="1" applyFont="1" applyFill="1" applyBorder="1" applyAlignment="1" applyProtection="1">
      <alignment horizontal="center"/>
    </xf>
    <xf numFmtId="0" fontId="13" fillId="0" borderId="3" xfId="51" applyFont="1" applyBorder="1">
      <alignment vertical="center"/>
    </xf>
    <xf numFmtId="0" fontId="13" fillId="3" borderId="3" xfId="51" applyFont="1" applyFill="1" applyBorder="1">
      <alignment vertical="center"/>
    </xf>
    <xf numFmtId="3" fontId="13" fillId="0" borderId="1" xfId="51" applyNumberFormat="1" applyFont="1" applyFill="1" applyBorder="1" applyAlignment="1" applyProtection="1">
      <alignment horizontal="right" vertical="center" wrapText="1"/>
      <protection locked="0"/>
    </xf>
    <xf numFmtId="3" fontId="10" fillId="3" borderId="6" xfId="1" applyNumberFormat="1" applyFont="1" applyFill="1" applyBorder="1" applyAlignment="1">
      <alignment horizontal="right" vertical="center"/>
    </xf>
    <xf numFmtId="0" fontId="13" fillId="3" borderId="14" xfId="51" applyFont="1" applyFill="1" applyBorder="1">
      <alignment vertical="center"/>
    </xf>
    <xf numFmtId="0" fontId="13" fillId="0" borderId="3" xfId="51" applyFont="1" applyFill="1" applyBorder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1273175</xdr:colOff>
          <xdr:row>3</xdr:row>
          <xdr:rowOff>45720</xdr:rowOff>
        </xdr:from>
        <xdr:to>
          <xdr:col>14</xdr:col>
          <xdr:colOff>1172210</xdr:colOff>
          <xdr:row>4</xdr:row>
          <xdr:rowOff>121920</xdr:rowOff>
        </xdr:to>
        <xdr:sp macro="[0]!InsertRow80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750425" y="598170"/>
              <a:ext cx="1506220" cy="2603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154940</xdr:colOff>
          <xdr:row>3</xdr:row>
          <xdr:rowOff>60960</xdr:rowOff>
        </xdr:from>
        <xdr:to>
          <xdr:col>16</xdr:col>
          <xdr:colOff>706755</xdr:colOff>
          <xdr:row>4</xdr:row>
          <xdr:rowOff>129540</xdr:rowOff>
        </xdr:to>
        <xdr:sp macro="[0]!DeleteRow80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1411585" y="613410"/>
              <a:ext cx="1304925" cy="25273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17"/>
  <sheetViews>
    <sheetView showGridLines="0" tabSelected="1" zoomScale="90" zoomScaleNormal="90" zoomScaleSheetLayoutView="60" workbookViewId="0">
      <selection activeCell="H19" sqref="H19"/>
    </sheetView>
  </sheetViews>
  <sheetFormatPr defaultColWidth="8.72727272727273" defaultRowHeight="14.5"/>
  <cols>
    <col min="1" max="1" width="3.78181818181818" style="42" customWidth="1"/>
    <col min="2" max="2" width="11.8909090909091" customWidth="1"/>
    <col min="3" max="3" width="17.2181818181818" customWidth="1"/>
    <col min="4" max="4" width="9.66363636363636" customWidth="1"/>
    <col min="5" max="24" width="10.7818181818182" customWidth="1"/>
    <col min="25" max="25" width="9" customWidth="1"/>
    <col min="26" max="26" width="10.7818181818182" customWidth="1"/>
  </cols>
  <sheetData>
    <row r="1" s="40" customFormat="1" spans="1:20">
      <c r="A1" s="43" t="s">
        <v>0</v>
      </c>
      <c r="S1" s="97" t="s">
        <v>1</v>
      </c>
      <c r="T1" s="97" t="s">
        <v>2</v>
      </c>
    </row>
    <row r="2" spans="1:26">
      <c r="A2" s="43" t="s">
        <v>0</v>
      </c>
      <c r="B2" s="44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105"/>
    </row>
    <row r="3" spans="1:26">
      <c r="A3" s="43" t="s">
        <v>0</v>
      </c>
      <c r="B3" s="46" t="s">
        <v>4</v>
      </c>
      <c r="C3" s="47" t="s">
        <v>5</v>
      </c>
      <c r="D3" s="48"/>
      <c r="E3" s="49"/>
      <c r="F3" s="49"/>
      <c r="G3" s="49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106"/>
    </row>
    <row r="4" spans="1:26">
      <c r="A4" s="43" t="s">
        <v>0</v>
      </c>
      <c r="B4" s="51" t="s">
        <v>6</v>
      </c>
      <c r="C4" s="47" t="s">
        <v>7</v>
      </c>
      <c r="D4" s="48"/>
      <c r="E4" s="52"/>
      <c r="F4" s="52"/>
      <c r="G4" s="52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107"/>
    </row>
    <row r="5" spans="1:26">
      <c r="A5" s="43" t="s">
        <v>0</v>
      </c>
      <c r="B5" s="54" t="s">
        <v>8</v>
      </c>
      <c r="C5" s="55"/>
      <c r="D5" s="56"/>
      <c r="E5" s="57"/>
      <c r="F5" s="57"/>
      <c r="G5" s="57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108"/>
    </row>
    <row r="6" spans="1:26">
      <c r="A6" s="43" t="s">
        <v>0</v>
      </c>
      <c r="B6" s="59"/>
      <c r="C6" s="60"/>
      <c r="D6" s="61">
        <v>1</v>
      </c>
      <c r="E6" s="57"/>
      <c r="F6" s="57"/>
      <c r="G6" s="57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08"/>
    </row>
    <row r="7" spans="1:26">
      <c r="A7" s="43" t="s">
        <v>0</v>
      </c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98"/>
      <c r="W7" s="98"/>
      <c r="X7" s="98"/>
      <c r="Y7" s="98"/>
      <c r="Z7" s="109"/>
    </row>
    <row r="8" spans="1:26">
      <c r="A8" s="43" t="s">
        <v>9</v>
      </c>
      <c r="B8" s="64"/>
      <c r="C8" s="65" t="s">
        <v>10</v>
      </c>
      <c r="D8" s="66">
        <v>0</v>
      </c>
      <c r="E8" s="67"/>
      <c r="F8" s="68"/>
      <c r="G8" s="69"/>
      <c r="H8" s="69"/>
      <c r="I8" s="86"/>
      <c r="J8" s="87"/>
      <c r="K8" s="87"/>
      <c r="L8" s="87"/>
      <c r="M8" s="88"/>
      <c r="N8" s="88"/>
      <c r="O8" s="88"/>
      <c r="P8" s="88"/>
      <c r="Q8" s="88"/>
      <c r="R8" s="88"/>
      <c r="S8" s="88"/>
      <c r="T8" s="88"/>
      <c r="U8" s="88"/>
      <c r="V8" s="67"/>
      <c r="W8" s="67"/>
      <c r="X8" s="67"/>
      <c r="Y8" s="67"/>
      <c r="Z8" s="110"/>
    </row>
    <row r="9" ht="94.5" spans="1:26">
      <c r="A9" s="43" t="s">
        <v>9</v>
      </c>
      <c r="B9" s="70" t="s">
        <v>11</v>
      </c>
      <c r="C9" s="70" t="s">
        <v>12</v>
      </c>
      <c r="D9" s="70" t="s">
        <v>13</v>
      </c>
      <c r="E9" s="71" t="s">
        <v>14</v>
      </c>
      <c r="F9" s="71" t="s">
        <v>15</v>
      </c>
      <c r="G9" s="71" t="s">
        <v>16</v>
      </c>
      <c r="H9" s="71" t="s">
        <v>17</v>
      </c>
      <c r="I9" s="71" t="s">
        <v>18</v>
      </c>
      <c r="J9" s="71" t="s">
        <v>19</v>
      </c>
      <c r="K9" s="71" t="s">
        <v>20</v>
      </c>
      <c r="L9" s="71" t="s">
        <v>21</v>
      </c>
      <c r="M9" s="71" t="s">
        <v>22</v>
      </c>
      <c r="N9" s="89" t="s">
        <v>23</v>
      </c>
      <c r="O9" s="71" t="s">
        <v>24</v>
      </c>
      <c r="P9" s="89" t="s">
        <v>25</v>
      </c>
      <c r="Q9" s="89" t="s">
        <v>26</v>
      </c>
      <c r="R9" s="89" t="s">
        <v>27</v>
      </c>
      <c r="S9" s="89" t="s">
        <v>28</v>
      </c>
      <c r="T9" s="71" t="s">
        <v>29</v>
      </c>
      <c r="U9" s="71" t="s">
        <v>30</v>
      </c>
      <c r="V9" s="71" t="s">
        <v>31</v>
      </c>
      <c r="W9" s="71" t="s">
        <v>32</v>
      </c>
      <c r="X9" s="71" t="s">
        <v>33</v>
      </c>
      <c r="Y9" s="71" t="s">
        <v>34</v>
      </c>
      <c r="Z9" s="71" t="s">
        <v>35</v>
      </c>
    </row>
    <row r="10" spans="1:26">
      <c r="A10" s="43" t="s">
        <v>36</v>
      </c>
      <c r="B10" s="72">
        <v>1</v>
      </c>
      <c r="C10" s="73" t="s">
        <v>37</v>
      </c>
      <c r="D10" s="73" t="s">
        <v>37</v>
      </c>
      <c r="E10" s="73" t="s">
        <v>37</v>
      </c>
      <c r="F10" s="73" t="s">
        <v>37</v>
      </c>
      <c r="G10" s="73" t="s">
        <v>37</v>
      </c>
      <c r="H10" s="73" t="s">
        <v>37</v>
      </c>
      <c r="I10" s="73" t="s">
        <v>37</v>
      </c>
      <c r="J10" s="73" t="s">
        <v>37</v>
      </c>
      <c r="K10" s="73" t="s">
        <v>37</v>
      </c>
      <c r="L10" s="73" t="s">
        <v>37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9">
        <f>M10+N10+O10+Q10+R10</f>
        <v>0</v>
      </c>
      <c r="T10" s="100">
        <f>IF(D8=0,0,+S10/D8)</f>
        <v>0</v>
      </c>
      <c r="U10" s="101">
        <v>0</v>
      </c>
      <c r="V10" s="90">
        <v>0</v>
      </c>
      <c r="W10" s="90">
        <v>0</v>
      </c>
      <c r="X10" s="73" t="s">
        <v>37</v>
      </c>
      <c r="Y10" s="111">
        <v>0</v>
      </c>
      <c r="Z10" s="73" t="s">
        <v>37</v>
      </c>
    </row>
    <row r="11" spans="1:26">
      <c r="A11" s="43" t="s">
        <v>38</v>
      </c>
      <c r="B11" s="74" t="s">
        <v>39</v>
      </c>
      <c r="C11" s="75"/>
      <c r="D11" s="75"/>
      <c r="E11" s="75"/>
      <c r="F11" s="75"/>
      <c r="G11" s="75"/>
      <c r="H11" s="75"/>
      <c r="I11" s="91"/>
      <c r="J11" s="91"/>
      <c r="K11" s="91"/>
      <c r="L11" s="92"/>
      <c r="M11" s="93">
        <f>SUM(SUMIFS(M10:M50002,$G$10:$G$50002,{"s","g"}))</f>
        <v>0</v>
      </c>
      <c r="N11" s="93">
        <f>SUM(SUMIFS(N10:N50002,$G$10:$G$50002,{"s","g"}))</f>
        <v>0</v>
      </c>
      <c r="O11" s="93">
        <f>SUM(SUMIFS(O10:O50002,$G$10:$G$50002,{"s","g"}))</f>
        <v>0</v>
      </c>
      <c r="P11" s="93">
        <f>SUM(SUMIFS(P10:P50002,$G$10:$G$50002,{"s","g"}))</f>
        <v>0</v>
      </c>
      <c r="Q11" s="93">
        <f>SUM(SUMIFS(Q10:Q50002,$G$10:$G$50002,{"s","g"}))</f>
        <v>0</v>
      </c>
      <c r="R11" s="93">
        <f>SUM(SUMIFS(R10:R50002,$G$10:$G$50002,{"s","g"}))</f>
        <v>0</v>
      </c>
      <c r="S11" s="99">
        <f>M11+N11+O11+Q11+R11</f>
        <v>0</v>
      </c>
      <c r="T11" s="100">
        <f>IF(D8=0,0,+S11/D8)</f>
        <v>0</v>
      </c>
      <c r="U11" s="102"/>
      <c r="V11" s="93">
        <f>SUM(SUMIFS(V10:V50002,$G$10:$G$50002,{"s","g"}))</f>
        <v>0</v>
      </c>
      <c r="W11" s="93">
        <f>SUM(SUMIFS(W10:W50002,$G$10:$G$50002,{"s","g"}))</f>
        <v>0</v>
      </c>
      <c r="X11" s="92"/>
      <c r="Y11" s="112">
        <f>SUM(SUMIFS(Y10:Y50002,$G$10:$G$50002,{"s","g"}))</f>
        <v>0</v>
      </c>
      <c r="Z11" s="92"/>
    </row>
    <row r="12" spans="1:26">
      <c r="A12" s="43" t="s">
        <v>0</v>
      </c>
      <c r="B12" s="74"/>
      <c r="C12" s="76"/>
      <c r="D12" s="76"/>
      <c r="E12" s="77"/>
      <c r="F12" s="77"/>
      <c r="G12" s="77"/>
      <c r="H12" s="77"/>
      <c r="I12" s="94"/>
      <c r="J12" s="94"/>
      <c r="K12" s="94"/>
      <c r="L12" s="95"/>
      <c r="M12" s="96"/>
      <c r="N12" s="96"/>
      <c r="O12" s="96"/>
      <c r="P12" s="96"/>
      <c r="Q12" s="96"/>
      <c r="R12" s="96"/>
      <c r="S12" s="96"/>
      <c r="T12" s="103"/>
      <c r="U12" s="95"/>
      <c r="V12" s="96"/>
      <c r="W12" s="96"/>
      <c r="X12" s="95"/>
      <c r="Y12" s="96"/>
      <c r="Z12" s="113"/>
    </row>
    <row r="13" spans="1:26">
      <c r="A13" s="43" t="s">
        <v>0</v>
      </c>
      <c r="B13" s="78"/>
      <c r="C13" s="79" t="s">
        <v>40</v>
      </c>
      <c r="D13" s="79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104"/>
      <c r="W13" s="104"/>
      <c r="X13" s="104"/>
      <c r="Y13" s="104"/>
      <c r="Z13" s="114"/>
    </row>
    <row r="14" spans="1:26">
      <c r="A14" s="43" t="s">
        <v>0</v>
      </c>
      <c r="B14" s="78"/>
      <c r="C14" s="81" t="s">
        <v>41</v>
      </c>
      <c r="D14" s="81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104"/>
      <c r="W14" s="104"/>
      <c r="X14" s="104"/>
      <c r="Y14" s="104"/>
      <c r="Z14" s="114"/>
    </row>
    <row r="15" spans="1:26">
      <c r="A15" s="43" t="s">
        <v>0</v>
      </c>
      <c r="B15" s="78"/>
      <c r="C15" s="83" t="s">
        <v>42</v>
      </c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98"/>
      <c r="W15" s="98"/>
      <c r="X15" s="98"/>
      <c r="Y15" s="98"/>
      <c r="Z15" s="109"/>
    </row>
    <row r="16" s="41" customFormat="1" spans="1:1">
      <c r="A16" s="85"/>
    </row>
    <row r="17" s="41" customFormat="1" spans="1:1">
      <c r="A17" s="85"/>
    </row>
  </sheetData>
  <sheetProtection password="DE1B" sheet="1" objects="1" scenarios="1"/>
  <mergeCells count="6">
    <mergeCell ref="B2:Z2"/>
    <mergeCell ref="C3:D3"/>
    <mergeCell ref="C4:D4"/>
    <mergeCell ref="C5:D5"/>
    <mergeCell ref="B6:C6"/>
    <mergeCell ref="B13:B15"/>
  </mergeCells>
  <dataValidations count="9">
    <dataValidation type="whole" operator="greaterThanOrEqual" allowBlank="1" showInputMessage="1" showErrorMessage="1" error="Please input a valid data!" sqref="I8:L8">
      <formula1>0</formula1>
    </dataValidation>
    <dataValidation type="list" allowBlank="1" showInputMessage="1" showErrorMessage="1" sqref="D10">
      <formula1>EMIRATE</formula1>
    </dataValidation>
    <dataValidation type="list" allowBlank="1" showInputMessage="1" showErrorMessage="1" sqref="F10">
      <formula1>FEDCODE</formula1>
    </dataValidation>
    <dataValidation type="list" allowBlank="1" showInputMessage="1" showErrorMessage="1" sqref="G10">
      <formula1>BORCODE</formula1>
    </dataValidation>
    <dataValidation type="list" allowBlank="1" showInputMessage="1" showErrorMessage="1" sqref="I10">
      <formula1>CREDITREP</formula1>
    </dataValidation>
    <dataValidation type="list" allowBlank="1" showInputMessage="1" showErrorMessage="1" sqref="J10">
      <formula1>CREDITREPTY</formula1>
    </dataValidation>
    <dataValidation type="list" allowBlank="1" showInputMessage="1" showErrorMessage="1" sqref="K10">
      <formula1>ECONOMIC</formula1>
    </dataValidation>
    <dataValidation type="list" allowBlank="1" showInputMessage="1" showErrorMessage="1" sqref="L10">
      <formula1>CURRENCY</formula1>
    </dataValidation>
    <dataValidation type="whole" operator="greaterThanOrEqual" allowBlank="1" showInputMessage="1" showErrorMessage="1" sqref="M10:R10 U10:W10 Y10">
      <formula1>0</formula1>
    </dataValidation>
  </dataValidations>
  <pageMargins left="0.7" right="0.7" top="0.75" bottom="0.75" header="0.3" footer="0.3"/>
  <pageSetup paperSize="9" scale="48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12</xdr:col>
                    <xdr:colOff>1273175</xdr:colOff>
                    <xdr:row>3</xdr:row>
                    <xdr:rowOff>45720</xdr:rowOff>
                  </from>
                  <to>
                    <xdr:col>14</xdr:col>
                    <xdr:colOff>1172210</xdr:colOff>
                    <xdr:row>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15</xdr:col>
                    <xdr:colOff>154940</xdr:colOff>
                    <xdr:row>3</xdr:row>
                    <xdr:rowOff>60960</xdr:rowOff>
                  </from>
                  <to>
                    <xdr:col>16</xdr:col>
                    <xdr:colOff>706755</xdr:colOff>
                    <xdr:row>4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75"/>
  <sheetViews>
    <sheetView zoomScaleSheetLayoutView="60" topLeftCell="C1" workbookViewId="0">
      <selection activeCell="L12" sqref="L12"/>
    </sheetView>
  </sheetViews>
  <sheetFormatPr defaultColWidth="8.72727272727273" defaultRowHeight="14.5"/>
  <cols>
    <col min="1" max="1" width="12.6636363636364" style="1" customWidth="1"/>
    <col min="2" max="2" width="17" style="1" customWidth="1"/>
    <col min="3" max="3" width="5.66363636363636" style="1" customWidth="1"/>
    <col min="4" max="4" width="12.6636363636364" style="1" customWidth="1"/>
    <col min="5" max="5" width="29.1090909090909" style="1" customWidth="1"/>
    <col min="6" max="6" width="5.66363636363636" style="1" customWidth="1"/>
    <col min="7" max="7" width="11" style="1" customWidth="1"/>
    <col min="8" max="8" width="29.6636363636364" style="1" customWidth="1"/>
    <col min="9" max="9" width="5.66363636363636" style="1" customWidth="1"/>
    <col min="10" max="13" width="8.78181818181818" customWidth="1"/>
    <col min="14" max="14" width="5.66363636363636" customWidth="1"/>
    <col min="15" max="15" width="8.78181818181818" customWidth="1"/>
    <col min="16" max="16" width="23.5545454545455"/>
    <col min="17" max="17" width="5.66363636363636" style="1" customWidth="1"/>
    <col min="18" max="18" width="8.89090909090909" style="1"/>
    <col min="19" max="19" width="126.445454545455" style="1" customWidth="1"/>
    <col min="20" max="20" width="5.66363636363636" style="1" customWidth="1"/>
    <col min="21" max="21" width="8.89090909090909" style="1"/>
    <col min="22" max="22" width="32" style="1" customWidth="1"/>
    <col min="23" max="23" width="5.66363636363636" style="1" customWidth="1"/>
    <col min="24" max="24" width="8.89090909090909" style="1"/>
    <col min="25" max="25" width="63.8909090909091" style="1" customWidth="1"/>
    <col min="26" max="16384" width="8.89090909090909" style="1"/>
  </cols>
  <sheetData>
    <row r="1" spans="1:25">
      <c r="A1" s="2" t="s">
        <v>13</v>
      </c>
      <c r="B1" s="2"/>
      <c r="D1" s="3" t="s">
        <v>43</v>
      </c>
      <c r="E1" s="4"/>
      <c r="G1" s="3" t="s">
        <v>44</v>
      </c>
      <c r="H1" s="4"/>
      <c r="J1" s="12" t="s">
        <v>45</v>
      </c>
      <c r="K1" s="12"/>
      <c r="L1" s="12"/>
      <c r="M1" s="13"/>
      <c r="N1" s="14"/>
      <c r="O1" s="15" t="s">
        <v>19</v>
      </c>
      <c r="P1" s="15"/>
      <c r="R1" s="19" t="s">
        <v>20</v>
      </c>
      <c r="S1" s="20"/>
      <c r="U1" s="21" t="s">
        <v>21</v>
      </c>
      <c r="V1" s="21"/>
      <c r="X1" s="21" t="s">
        <v>46</v>
      </c>
      <c r="Y1" s="21"/>
    </row>
    <row r="2" spans="1:25">
      <c r="A2" s="5" t="s">
        <v>47</v>
      </c>
      <c r="B2" s="6" t="s">
        <v>48</v>
      </c>
      <c r="D2" s="6" t="s">
        <v>47</v>
      </c>
      <c r="E2" s="6" t="s">
        <v>48</v>
      </c>
      <c r="G2" s="5" t="s">
        <v>47</v>
      </c>
      <c r="H2" s="6" t="s">
        <v>48</v>
      </c>
      <c r="J2" s="5" t="s">
        <v>47</v>
      </c>
      <c r="K2" s="5" t="s">
        <v>49</v>
      </c>
      <c r="L2" s="5" t="s">
        <v>50</v>
      </c>
      <c r="M2" s="5" t="s">
        <v>51</v>
      </c>
      <c r="N2" s="14"/>
      <c r="O2" s="6" t="s">
        <v>47</v>
      </c>
      <c r="P2" s="6" t="s">
        <v>48</v>
      </c>
      <c r="R2" s="6" t="s">
        <v>47</v>
      </c>
      <c r="S2" s="6" t="s">
        <v>48</v>
      </c>
      <c r="U2" s="5" t="s">
        <v>47</v>
      </c>
      <c r="V2" s="22" t="s">
        <v>48</v>
      </c>
      <c r="X2" s="5" t="s">
        <v>47</v>
      </c>
      <c r="Y2" s="34" t="s">
        <v>48</v>
      </c>
    </row>
    <row r="3" spans="1:25">
      <c r="A3" s="7" t="s">
        <v>52</v>
      </c>
      <c r="B3" s="7" t="s">
        <v>52</v>
      </c>
      <c r="D3" s="7" t="s">
        <v>53</v>
      </c>
      <c r="E3" s="7" t="s">
        <v>54</v>
      </c>
      <c r="G3" s="8" t="s">
        <v>55</v>
      </c>
      <c r="H3" s="7" t="s">
        <v>56</v>
      </c>
      <c r="J3" s="8">
        <v>1</v>
      </c>
      <c r="K3" s="8" t="s">
        <v>57</v>
      </c>
      <c r="L3" s="8" t="s">
        <v>58</v>
      </c>
      <c r="M3" s="8" t="s">
        <v>57</v>
      </c>
      <c r="N3" s="16"/>
      <c r="O3" s="17" t="s">
        <v>49</v>
      </c>
      <c r="P3" s="17" t="s">
        <v>59</v>
      </c>
      <c r="R3" s="7" t="s">
        <v>60</v>
      </c>
      <c r="S3" s="23" t="s">
        <v>61</v>
      </c>
      <c r="U3" s="7" t="s">
        <v>62</v>
      </c>
      <c r="V3" s="7" t="s">
        <v>63</v>
      </c>
      <c r="X3" s="24" t="s">
        <v>64</v>
      </c>
      <c r="Y3" s="35" t="s">
        <v>65</v>
      </c>
    </row>
    <row r="4" spans="1:25">
      <c r="A4" s="7" t="s">
        <v>66</v>
      </c>
      <c r="B4" s="7" t="s">
        <v>66</v>
      </c>
      <c r="D4" s="7" t="s">
        <v>67</v>
      </c>
      <c r="E4" s="7" t="s">
        <v>13</v>
      </c>
      <c r="G4" s="8" t="s">
        <v>68</v>
      </c>
      <c r="H4" s="7" t="s">
        <v>69</v>
      </c>
      <c r="J4" s="8">
        <v>2</v>
      </c>
      <c r="K4" s="8" t="s">
        <v>70</v>
      </c>
      <c r="L4" s="8" t="s">
        <v>71</v>
      </c>
      <c r="M4" s="8" t="s">
        <v>70</v>
      </c>
      <c r="N4" s="16"/>
      <c r="O4" s="17" t="s">
        <v>72</v>
      </c>
      <c r="P4" s="17" t="s">
        <v>73</v>
      </c>
      <c r="R4" s="7" t="s">
        <v>74</v>
      </c>
      <c r="S4" s="23" t="s">
        <v>75</v>
      </c>
      <c r="U4" s="7" t="s">
        <v>76</v>
      </c>
      <c r="V4" s="7" t="s">
        <v>77</v>
      </c>
      <c r="X4" s="25"/>
      <c r="Y4" s="36" t="s">
        <v>78</v>
      </c>
    </row>
    <row r="5" spans="1:25">
      <c r="A5" s="7" t="s">
        <v>79</v>
      </c>
      <c r="B5" s="7" t="s">
        <v>79</v>
      </c>
      <c r="G5" s="8" t="s">
        <v>80</v>
      </c>
      <c r="H5" s="7" t="s">
        <v>81</v>
      </c>
      <c r="J5" s="8">
        <v>3</v>
      </c>
      <c r="K5" s="8" t="s">
        <v>82</v>
      </c>
      <c r="L5" s="8" t="s">
        <v>83</v>
      </c>
      <c r="M5" s="8" t="s">
        <v>82</v>
      </c>
      <c r="N5" s="16"/>
      <c r="O5" s="7" t="s">
        <v>51</v>
      </c>
      <c r="P5" s="17" t="s">
        <v>84</v>
      </c>
      <c r="R5" s="7" t="s">
        <v>85</v>
      </c>
      <c r="S5" s="23" t="s">
        <v>86</v>
      </c>
      <c r="U5" s="7" t="s">
        <v>87</v>
      </c>
      <c r="V5" s="7" t="s">
        <v>88</v>
      </c>
      <c r="X5" s="25"/>
      <c r="Y5" s="36" t="s">
        <v>89</v>
      </c>
    </row>
    <row r="6" spans="1:25">
      <c r="A6" s="9" t="s">
        <v>90</v>
      </c>
      <c r="B6" s="9" t="s">
        <v>90</v>
      </c>
      <c r="G6" s="10"/>
      <c r="H6" s="11"/>
      <c r="J6" s="8">
        <v>4</v>
      </c>
      <c r="K6" s="8" t="s">
        <v>91</v>
      </c>
      <c r="L6" s="8" t="s">
        <v>92</v>
      </c>
      <c r="M6" s="8" t="s">
        <v>91</v>
      </c>
      <c r="N6" s="16"/>
      <c r="O6" s="18" t="s">
        <v>93</v>
      </c>
      <c r="P6" s="9" t="s">
        <v>94</v>
      </c>
      <c r="R6" s="7" t="s">
        <v>95</v>
      </c>
      <c r="S6" s="23" t="s">
        <v>96</v>
      </c>
      <c r="U6" s="7" t="s">
        <v>97</v>
      </c>
      <c r="V6" s="7" t="s">
        <v>98</v>
      </c>
      <c r="X6" s="25"/>
      <c r="Y6" s="36" t="s">
        <v>99</v>
      </c>
    </row>
    <row r="7" spans="1:25">
      <c r="A7" s="7" t="s">
        <v>100</v>
      </c>
      <c r="B7" s="7" t="s">
        <v>101</v>
      </c>
      <c r="J7" s="8">
        <v>5</v>
      </c>
      <c r="K7" s="8" t="s">
        <v>102</v>
      </c>
      <c r="L7" s="8" t="s">
        <v>103</v>
      </c>
      <c r="M7" s="8" t="s">
        <v>102</v>
      </c>
      <c r="N7" s="16"/>
      <c r="O7" s="16"/>
      <c r="P7" s="16"/>
      <c r="R7" s="7" t="s">
        <v>104</v>
      </c>
      <c r="S7" s="23" t="s">
        <v>105</v>
      </c>
      <c r="U7" s="7" t="s">
        <v>106</v>
      </c>
      <c r="V7" s="7" t="s">
        <v>107</v>
      </c>
      <c r="X7" s="25"/>
      <c r="Y7" s="36" t="s">
        <v>108</v>
      </c>
    </row>
    <row r="8" spans="1:25">
      <c r="A8" s="7" t="s">
        <v>109</v>
      </c>
      <c r="B8" s="7" t="s">
        <v>110</v>
      </c>
      <c r="J8" s="8">
        <v>6</v>
      </c>
      <c r="K8" s="8" t="s">
        <v>64</v>
      </c>
      <c r="L8" s="8" t="s">
        <v>111</v>
      </c>
      <c r="M8" s="8" t="s">
        <v>64</v>
      </c>
      <c r="N8" s="16"/>
      <c r="O8" s="16"/>
      <c r="P8" s="16"/>
      <c r="R8" s="7" t="s">
        <v>112</v>
      </c>
      <c r="S8" s="23" t="s">
        <v>113</v>
      </c>
      <c r="U8" s="7" t="s">
        <v>114</v>
      </c>
      <c r="V8" s="7" t="s">
        <v>115</v>
      </c>
      <c r="X8" s="25"/>
      <c r="Y8" s="36" t="s">
        <v>116</v>
      </c>
    </row>
    <row r="9" spans="1:25">
      <c r="A9" s="7" t="s">
        <v>117</v>
      </c>
      <c r="B9" s="7" t="s">
        <v>117</v>
      </c>
      <c r="J9" s="8">
        <v>7</v>
      </c>
      <c r="K9" s="8" t="s">
        <v>118</v>
      </c>
      <c r="L9" s="8" t="s">
        <v>119</v>
      </c>
      <c r="M9" s="8" t="s">
        <v>118</v>
      </c>
      <c r="N9" s="16"/>
      <c r="O9" s="16"/>
      <c r="P9" s="16"/>
      <c r="R9" s="7" t="s">
        <v>120</v>
      </c>
      <c r="S9" s="23" t="s">
        <v>121</v>
      </c>
      <c r="U9" s="7" t="s">
        <v>122</v>
      </c>
      <c r="V9" s="7" t="s">
        <v>123</v>
      </c>
      <c r="X9" s="25"/>
      <c r="Y9" s="36" t="s">
        <v>124</v>
      </c>
    </row>
    <row r="10" spans="10:25">
      <c r="J10" s="8">
        <v>8</v>
      </c>
      <c r="K10" s="8" t="s">
        <v>125</v>
      </c>
      <c r="L10" s="8" t="s">
        <v>126</v>
      </c>
      <c r="M10" s="8" t="s">
        <v>125</v>
      </c>
      <c r="N10" s="16"/>
      <c r="O10" s="16"/>
      <c r="P10" s="16"/>
      <c r="R10" s="7" t="s">
        <v>127</v>
      </c>
      <c r="S10" s="23" t="s">
        <v>128</v>
      </c>
      <c r="U10" s="7" t="s">
        <v>129</v>
      </c>
      <c r="V10" s="7" t="s">
        <v>130</v>
      </c>
      <c r="X10" s="25"/>
      <c r="Y10" s="36" t="s">
        <v>131</v>
      </c>
    </row>
    <row r="11" spans="10:25">
      <c r="J11" s="8">
        <v>9</v>
      </c>
      <c r="K11" s="8" t="s">
        <v>132</v>
      </c>
      <c r="L11" s="8" t="s">
        <v>133</v>
      </c>
      <c r="M11" s="8" t="s">
        <v>132</v>
      </c>
      <c r="N11" s="16"/>
      <c r="O11" s="16"/>
      <c r="P11" s="16"/>
      <c r="R11" s="7" t="s">
        <v>134</v>
      </c>
      <c r="S11" s="23" t="s">
        <v>135</v>
      </c>
      <c r="U11" s="7" t="s">
        <v>136</v>
      </c>
      <c r="V11" s="7" t="s">
        <v>137</v>
      </c>
      <c r="X11" s="25"/>
      <c r="Y11" s="36" t="s">
        <v>138</v>
      </c>
    </row>
    <row r="12" spans="10:25">
      <c r="J12" s="8">
        <v>10</v>
      </c>
      <c r="K12" s="8" t="s">
        <v>139</v>
      </c>
      <c r="L12" s="8" t="s">
        <v>140</v>
      </c>
      <c r="M12" s="8" t="s">
        <v>139</v>
      </c>
      <c r="N12" s="16"/>
      <c r="O12" s="16"/>
      <c r="P12" s="16"/>
      <c r="R12" s="7" t="s">
        <v>141</v>
      </c>
      <c r="S12" s="23" t="s">
        <v>142</v>
      </c>
      <c r="U12" s="7" t="s">
        <v>143</v>
      </c>
      <c r="V12" s="7" t="s">
        <v>144</v>
      </c>
      <c r="X12" s="25"/>
      <c r="Y12" s="36" t="s">
        <v>145</v>
      </c>
    </row>
    <row r="13" spans="10:25">
      <c r="J13" s="8">
        <v>11</v>
      </c>
      <c r="K13" s="8" t="s">
        <v>146</v>
      </c>
      <c r="L13" s="8" t="s">
        <v>147</v>
      </c>
      <c r="M13" s="8" t="s">
        <v>146</v>
      </c>
      <c r="N13" s="16"/>
      <c r="O13" s="16"/>
      <c r="P13" s="16"/>
      <c r="R13" s="7" t="s">
        <v>148</v>
      </c>
      <c r="S13" s="23" t="s">
        <v>149</v>
      </c>
      <c r="U13" s="7" t="s">
        <v>150</v>
      </c>
      <c r="V13" s="7" t="s">
        <v>151</v>
      </c>
      <c r="X13" s="25"/>
      <c r="Y13" s="36" t="s">
        <v>152</v>
      </c>
    </row>
    <row r="14" spans="10:25">
      <c r="J14" s="8">
        <v>12</v>
      </c>
      <c r="K14" s="8" t="s">
        <v>153</v>
      </c>
      <c r="L14" s="8" t="s">
        <v>154</v>
      </c>
      <c r="M14" s="8" t="s">
        <v>153</v>
      </c>
      <c r="N14" s="16"/>
      <c r="O14" s="16"/>
      <c r="P14" s="16"/>
      <c r="R14" s="7" t="s">
        <v>155</v>
      </c>
      <c r="S14" s="23" t="s">
        <v>156</v>
      </c>
      <c r="U14" s="7" t="s">
        <v>157</v>
      </c>
      <c r="V14" s="7" t="s">
        <v>158</v>
      </c>
      <c r="X14" s="25"/>
      <c r="Y14" s="36" t="s">
        <v>159</v>
      </c>
    </row>
    <row r="15" spans="10:25">
      <c r="J15" s="8">
        <v>13</v>
      </c>
      <c r="K15" s="8" t="s">
        <v>160</v>
      </c>
      <c r="L15" s="8" t="s">
        <v>161</v>
      </c>
      <c r="M15" s="8" t="s">
        <v>160</v>
      </c>
      <c r="N15" s="16"/>
      <c r="O15" s="16"/>
      <c r="P15" s="16"/>
      <c r="R15" s="7" t="s">
        <v>162</v>
      </c>
      <c r="S15" s="23" t="s">
        <v>163</v>
      </c>
      <c r="U15" s="7" t="s">
        <v>164</v>
      </c>
      <c r="V15" s="7" t="s">
        <v>165</v>
      </c>
      <c r="X15" s="26"/>
      <c r="Y15" s="37" t="s">
        <v>166</v>
      </c>
    </row>
    <row r="16" spans="10:25">
      <c r="J16" s="8">
        <v>14</v>
      </c>
      <c r="K16" s="8" t="s">
        <v>167</v>
      </c>
      <c r="L16" s="8" t="s">
        <v>36</v>
      </c>
      <c r="M16" s="8" t="s">
        <v>167</v>
      </c>
      <c r="N16" s="16"/>
      <c r="O16" s="16"/>
      <c r="P16" s="16"/>
      <c r="R16" s="7" t="s">
        <v>168</v>
      </c>
      <c r="S16" s="23" t="s">
        <v>169</v>
      </c>
      <c r="U16" s="7" t="s">
        <v>170</v>
      </c>
      <c r="V16" s="7" t="s">
        <v>171</v>
      </c>
      <c r="X16" s="27" t="s">
        <v>172</v>
      </c>
      <c r="Y16" s="38" t="s">
        <v>173</v>
      </c>
    </row>
    <row r="17" spans="10:25">
      <c r="J17" s="8">
        <v>15</v>
      </c>
      <c r="K17" s="8" t="s">
        <v>172</v>
      </c>
      <c r="L17" s="8" t="s">
        <v>174</v>
      </c>
      <c r="M17" s="8" t="s">
        <v>172</v>
      </c>
      <c r="N17" s="16"/>
      <c r="O17" s="16"/>
      <c r="P17" s="16"/>
      <c r="R17" s="7" t="s">
        <v>175</v>
      </c>
      <c r="S17" s="23" t="s">
        <v>176</v>
      </c>
      <c r="U17" s="7" t="s">
        <v>177</v>
      </c>
      <c r="V17" s="7" t="s">
        <v>178</v>
      </c>
      <c r="X17" s="28" t="s">
        <v>80</v>
      </c>
      <c r="Y17" s="35" t="s">
        <v>179</v>
      </c>
    </row>
    <row r="18" spans="10:25">
      <c r="J18" s="8">
        <v>16</v>
      </c>
      <c r="K18" s="8" t="s">
        <v>180</v>
      </c>
      <c r="L18" s="8" t="s">
        <v>181</v>
      </c>
      <c r="M18" s="8" t="s">
        <v>180</v>
      </c>
      <c r="N18" s="16"/>
      <c r="O18" s="16"/>
      <c r="P18" s="16"/>
      <c r="R18" s="7" t="s">
        <v>182</v>
      </c>
      <c r="S18" s="23" t="s">
        <v>183</v>
      </c>
      <c r="U18" s="7" t="s">
        <v>184</v>
      </c>
      <c r="V18" s="7" t="s">
        <v>185</v>
      </c>
      <c r="X18" s="29"/>
      <c r="Y18" s="36" t="s">
        <v>186</v>
      </c>
    </row>
    <row r="19" spans="10:25">
      <c r="J19" s="8">
        <v>17</v>
      </c>
      <c r="K19" s="8" t="s">
        <v>187</v>
      </c>
      <c r="L19" s="8" t="s">
        <v>188</v>
      </c>
      <c r="M19" s="8" t="s">
        <v>187</v>
      </c>
      <c r="N19" s="16"/>
      <c r="O19" s="16"/>
      <c r="P19" s="16"/>
      <c r="R19" s="7" t="s">
        <v>189</v>
      </c>
      <c r="S19" s="23" t="s">
        <v>190</v>
      </c>
      <c r="U19" s="7" t="s">
        <v>191</v>
      </c>
      <c r="V19" s="7" t="s">
        <v>192</v>
      </c>
      <c r="X19" s="29"/>
      <c r="Y19" s="36" t="s">
        <v>193</v>
      </c>
    </row>
    <row r="20" spans="10:25">
      <c r="J20" s="8">
        <v>18</v>
      </c>
      <c r="K20" s="8" t="s">
        <v>194</v>
      </c>
      <c r="L20" s="8" t="s">
        <v>195</v>
      </c>
      <c r="M20" s="8" t="s">
        <v>194</v>
      </c>
      <c r="N20" s="16"/>
      <c r="O20" s="16"/>
      <c r="P20" s="16"/>
      <c r="R20" s="7" t="s">
        <v>196</v>
      </c>
      <c r="S20" s="23" t="s">
        <v>197</v>
      </c>
      <c r="U20" s="7" t="s">
        <v>198</v>
      </c>
      <c r="V20" s="7" t="s">
        <v>199</v>
      </c>
      <c r="X20" s="29"/>
      <c r="Y20" s="36" t="s">
        <v>200</v>
      </c>
    </row>
    <row r="21" spans="10:25">
      <c r="J21" s="8">
        <v>19</v>
      </c>
      <c r="K21" s="8" t="s">
        <v>201</v>
      </c>
      <c r="L21" s="8" t="s">
        <v>202</v>
      </c>
      <c r="M21" s="8" t="s">
        <v>201</v>
      </c>
      <c r="N21" s="16"/>
      <c r="O21" s="16"/>
      <c r="P21" s="16"/>
      <c r="R21" s="7" t="s">
        <v>203</v>
      </c>
      <c r="S21" s="23" t="s">
        <v>204</v>
      </c>
      <c r="U21" s="7" t="s">
        <v>205</v>
      </c>
      <c r="V21" s="7" t="s">
        <v>206</v>
      </c>
      <c r="X21" s="29"/>
      <c r="Y21" s="36" t="s">
        <v>207</v>
      </c>
    </row>
    <row r="22" spans="10:25">
      <c r="J22" s="8">
        <v>20</v>
      </c>
      <c r="K22" s="8" t="s">
        <v>208</v>
      </c>
      <c r="L22" s="8" t="s">
        <v>209</v>
      </c>
      <c r="M22" s="8" t="s">
        <v>208</v>
      </c>
      <c r="N22" s="16"/>
      <c r="O22" s="16"/>
      <c r="P22" s="16"/>
      <c r="R22" s="7" t="s">
        <v>210</v>
      </c>
      <c r="S22" s="23" t="s">
        <v>211</v>
      </c>
      <c r="U22" s="7" t="s">
        <v>212</v>
      </c>
      <c r="V22" s="7" t="s">
        <v>213</v>
      </c>
      <c r="X22" s="29"/>
      <c r="Y22" s="36" t="s">
        <v>214</v>
      </c>
    </row>
    <row r="23" spans="10:25">
      <c r="J23" s="8">
        <v>21</v>
      </c>
      <c r="K23" s="8" t="s">
        <v>80</v>
      </c>
      <c r="L23" s="8" t="s">
        <v>80</v>
      </c>
      <c r="M23" s="8" t="s">
        <v>80</v>
      </c>
      <c r="N23" s="16"/>
      <c r="O23" s="16"/>
      <c r="P23" s="16"/>
      <c r="R23" s="7" t="s">
        <v>215</v>
      </c>
      <c r="S23" s="23" t="s">
        <v>216</v>
      </c>
      <c r="U23" s="7" t="s">
        <v>217</v>
      </c>
      <c r="V23" s="7" t="s">
        <v>218</v>
      </c>
      <c r="X23" s="30"/>
      <c r="Y23" s="36" t="s">
        <v>219</v>
      </c>
    </row>
    <row r="24" spans="10:25">
      <c r="J24" s="8">
        <v>22</v>
      </c>
      <c r="K24" s="8" t="s">
        <v>220</v>
      </c>
      <c r="L24" s="8" t="s">
        <v>221</v>
      </c>
      <c r="M24" s="8" t="s">
        <v>220</v>
      </c>
      <c r="N24" s="16"/>
      <c r="O24" s="16"/>
      <c r="P24" s="16"/>
      <c r="R24" s="7" t="s">
        <v>222</v>
      </c>
      <c r="S24" s="23" t="s">
        <v>223</v>
      </c>
      <c r="U24" s="7" t="s">
        <v>224</v>
      </c>
      <c r="V24" s="7" t="s">
        <v>225</v>
      </c>
      <c r="X24" s="31" t="s">
        <v>220</v>
      </c>
      <c r="Y24" s="35" t="s">
        <v>226</v>
      </c>
    </row>
    <row r="25" spans="18:25">
      <c r="R25" s="7" t="s">
        <v>227</v>
      </c>
      <c r="S25" s="23" t="s">
        <v>228</v>
      </c>
      <c r="U25" s="7" t="s">
        <v>229</v>
      </c>
      <c r="V25" s="7" t="s">
        <v>230</v>
      </c>
      <c r="X25" s="32"/>
      <c r="Y25" s="36" t="s">
        <v>231</v>
      </c>
    </row>
    <row r="26" spans="18:25">
      <c r="R26" s="7" t="s">
        <v>232</v>
      </c>
      <c r="S26" s="23" t="s">
        <v>233</v>
      </c>
      <c r="U26" s="7" t="s">
        <v>234</v>
      </c>
      <c r="V26" s="7" t="s">
        <v>235</v>
      </c>
      <c r="X26" s="32"/>
      <c r="Y26" s="36" t="s">
        <v>236</v>
      </c>
    </row>
    <row r="27" spans="18:25">
      <c r="R27" s="7" t="s">
        <v>237</v>
      </c>
      <c r="S27" s="23" t="s">
        <v>238</v>
      </c>
      <c r="U27" s="7" t="s">
        <v>239</v>
      </c>
      <c r="V27" s="7" t="s">
        <v>240</v>
      </c>
      <c r="X27" s="32"/>
      <c r="Y27" s="36" t="s">
        <v>241</v>
      </c>
    </row>
    <row r="28" spans="18:25">
      <c r="R28" s="7" t="s">
        <v>242</v>
      </c>
      <c r="S28" s="23" t="s">
        <v>243</v>
      </c>
      <c r="U28" s="7" t="s">
        <v>244</v>
      </c>
      <c r="V28" s="7" t="s">
        <v>245</v>
      </c>
      <c r="X28" s="32"/>
      <c r="Y28" s="36" t="s">
        <v>246</v>
      </c>
    </row>
    <row r="29" spans="18:25">
      <c r="R29" s="7" t="s">
        <v>247</v>
      </c>
      <c r="S29" s="23" t="s">
        <v>248</v>
      </c>
      <c r="U29" s="7" t="s">
        <v>249</v>
      </c>
      <c r="V29" s="7" t="s">
        <v>250</v>
      </c>
      <c r="X29" s="32"/>
      <c r="Y29" s="36" t="s">
        <v>251</v>
      </c>
    </row>
    <row r="30" spans="18:25">
      <c r="R30" s="7" t="s">
        <v>252</v>
      </c>
      <c r="S30" s="23" t="s">
        <v>253</v>
      </c>
      <c r="U30" s="7" t="s">
        <v>254</v>
      </c>
      <c r="V30" s="7" t="s">
        <v>255</v>
      </c>
      <c r="X30" s="32"/>
      <c r="Y30" s="36" t="s">
        <v>256</v>
      </c>
    </row>
    <row r="31" spans="18:25">
      <c r="R31" s="7" t="s">
        <v>257</v>
      </c>
      <c r="S31" s="23" t="s">
        <v>258</v>
      </c>
      <c r="U31" s="7" t="s">
        <v>259</v>
      </c>
      <c r="V31" s="7" t="s">
        <v>260</v>
      </c>
      <c r="X31" s="32"/>
      <c r="Y31" s="36" t="s">
        <v>261</v>
      </c>
    </row>
    <row r="32" spans="18:25">
      <c r="R32" s="7" t="s">
        <v>262</v>
      </c>
      <c r="S32" s="23" t="s">
        <v>263</v>
      </c>
      <c r="U32" s="7" t="s">
        <v>264</v>
      </c>
      <c r="V32" s="7" t="s">
        <v>265</v>
      </c>
      <c r="X32" s="32"/>
      <c r="Y32" s="36" t="s">
        <v>266</v>
      </c>
    </row>
    <row r="33" spans="18:25">
      <c r="R33" s="7" t="s">
        <v>267</v>
      </c>
      <c r="S33" s="23" t="s">
        <v>268</v>
      </c>
      <c r="U33" s="7" t="s">
        <v>269</v>
      </c>
      <c r="V33" s="7" t="s">
        <v>270</v>
      </c>
      <c r="X33" s="32"/>
      <c r="Y33" s="36" t="s">
        <v>271</v>
      </c>
    </row>
    <row r="34" spans="18:25">
      <c r="R34" s="7" t="s">
        <v>272</v>
      </c>
      <c r="S34" s="23" t="s">
        <v>273</v>
      </c>
      <c r="U34" s="7" t="s">
        <v>274</v>
      </c>
      <c r="V34" s="7" t="s">
        <v>275</v>
      </c>
      <c r="X34" s="32"/>
      <c r="Y34" s="36" t="s">
        <v>276</v>
      </c>
    </row>
    <row r="35" spans="18:25">
      <c r="R35" s="7" t="s">
        <v>277</v>
      </c>
      <c r="S35" s="23" t="s">
        <v>278</v>
      </c>
      <c r="U35" s="7" t="s">
        <v>279</v>
      </c>
      <c r="V35" s="7" t="s">
        <v>280</v>
      </c>
      <c r="X35" s="32"/>
      <c r="Y35" s="36" t="s">
        <v>281</v>
      </c>
    </row>
    <row r="36" spans="18:25">
      <c r="R36" s="7" t="s">
        <v>282</v>
      </c>
      <c r="S36" s="23" t="s">
        <v>283</v>
      </c>
      <c r="U36" s="7" t="s">
        <v>284</v>
      </c>
      <c r="V36" s="7" t="s">
        <v>285</v>
      </c>
      <c r="X36" s="33"/>
      <c r="Y36" s="37" t="s">
        <v>286</v>
      </c>
    </row>
    <row r="37" spans="18:25">
      <c r="R37" s="7" t="s">
        <v>287</v>
      </c>
      <c r="S37" s="23" t="s">
        <v>288</v>
      </c>
      <c r="U37" s="7" t="s">
        <v>289</v>
      </c>
      <c r="V37" s="7" t="s">
        <v>290</v>
      </c>
      <c r="X37" s="28" t="s">
        <v>67</v>
      </c>
      <c r="Y37" s="35" t="s">
        <v>291</v>
      </c>
    </row>
    <row r="38" spans="18:25">
      <c r="R38" s="7" t="s">
        <v>292</v>
      </c>
      <c r="S38" s="23" t="s">
        <v>293</v>
      </c>
      <c r="U38" s="7" t="s">
        <v>294</v>
      </c>
      <c r="V38" s="7" t="s">
        <v>295</v>
      </c>
      <c r="X38" s="30"/>
      <c r="Y38" s="37" t="s">
        <v>296</v>
      </c>
    </row>
    <row r="39" spans="18:25">
      <c r="R39" s="7" t="s">
        <v>297</v>
      </c>
      <c r="S39" s="23" t="s">
        <v>298</v>
      </c>
      <c r="U39" s="7" t="s">
        <v>299</v>
      </c>
      <c r="V39" s="7" t="s">
        <v>300</v>
      </c>
      <c r="X39" s="28" t="s">
        <v>53</v>
      </c>
      <c r="Y39" s="35" t="s">
        <v>301</v>
      </c>
    </row>
    <row r="40" spans="18:25">
      <c r="R40" s="7" t="s">
        <v>302</v>
      </c>
      <c r="S40" s="23" t="s">
        <v>303</v>
      </c>
      <c r="U40" s="7" t="s">
        <v>304</v>
      </c>
      <c r="V40" s="7" t="s">
        <v>305</v>
      </c>
      <c r="X40" s="30"/>
      <c r="Y40" s="37" t="s">
        <v>296</v>
      </c>
    </row>
    <row r="41" spans="18:25">
      <c r="R41" s="7" t="s">
        <v>306</v>
      </c>
      <c r="S41" s="23" t="s">
        <v>307</v>
      </c>
      <c r="U41" s="7" t="s">
        <v>308</v>
      </c>
      <c r="V41" s="7" t="s">
        <v>309</v>
      </c>
      <c r="X41" s="28" t="s">
        <v>68</v>
      </c>
      <c r="Y41" s="35" t="s">
        <v>310</v>
      </c>
    </row>
    <row r="42" spans="18:25">
      <c r="R42" s="7" t="s">
        <v>311</v>
      </c>
      <c r="S42" s="23" t="s">
        <v>312</v>
      </c>
      <c r="U42" s="7" t="s">
        <v>313</v>
      </c>
      <c r="V42" s="7" t="s">
        <v>314</v>
      </c>
      <c r="X42" s="30"/>
      <c r="Y42" s="37" t="s">
        <v>315</v>
      </c>
    </row>
    <row r="43" spans="18:25">
      <c r="R43" s="7" t="s">
        <v>316</v>
      </c>
      <c r="S43" s="23" t="s">
        <v>317</v>
      </c>
      <c r="U43" s="7" t="s">
        <v>318</v>
      </c>
      <c r="V43" s="7" t="s">
        <v>319</v>
      </c>
      <c r="X43" s="28" t="s">
        <v>320</v>
      </c>
      <c r="Y43" s="35" t="s">
        <v>321</v>
      </c>
    </row>
    <row r="44" spans="18:25">
      <c r="R44" s="7" t="s">
        <v>322</v>
      </c>
      <c r="S44" s="23" t="s">
        <v>323</v>
      </c>
      <c r="U44" s="7" t="s">
        <v>324</v>
      </c>
      <c r="V44" s="7" t="s">
        <v>325</v>
      </c>
      <c r="X44" s="30"/>
      <c r="Y44" s="37" t="s">
        <v>315</v>
      </c>
    </row>
    <row r="45" spans="18:25">
      <c r="R45" s="7" t="s">
        <v>326</v>
      </c>
      <c r="S45" s="23" t="s">
        <v>327</v>
      </c>
      <c r="U45" s="7" t="s">
        <v>328</v>
      </c>
      <c r="V45" s="7" t="s">
        <v>329</v>
      </c>
      <c r="X45" s="28" t="s">
        <v>330</v>
      </c>
      <c r="Y45" s="35" t="s">
        <v>331</v>
      </c>
    </row>
    <row r="46" spans="18:25">
      <c r="R46" s="7" t="s">
        <v>332</v>
      </c>
      <c r="S46" s="23" t="s">
        <v>333</v>
      </c>
      <c r="U46" s="7" t="s">
        <v>334</v>
      </c>
      <c r="V46" s="7" t="s">
        <v>335</v>
      </c>
      <c r="X46" s="30"/>
      <c r="Y46" s="37" t="s">
        <v>336</v>
      </c>
    </row>
    <row r="47" spans="18:25">
      <c r="R47" s="7" t="s">
        <v>337</v>
      </c>
      <c r="S47" s="23" t="s">
        <v>338</v>
      </c>
      <c r="U47" s="7" t="s">
        <v>339</v>
      </c>
      <c r="V47" s="7" t="s">
        <v>340</v>
      </c>
      <c r="X47"/>
      <c r="Y47"/>
    </row>
    <row r="48" spans="18:25">
      <c r="R48" s="7" t="s">
        <v>341</v>
      </c>
      <c r="S48" s="23" t="s">
        <v>342</v>
      </c>
      <c r="U48" s="7" t="s">
        <v>343</v>
      </c>
      <c r="V48" s="7" t="s">
        <v>344</v>
      </c>
      <c r="X48"/>
      <c r="Y48"/>
    </row>
    <row r="49" spans="18:25">
      <c r="R49" s="7" t="s">
        <v>345</v>
      </c>
      <c r="S49" s="23" t="s">
        <v>346</v>
      </c>
      <c r="U49" s="7" t="s">
        <v>347</v>
      </c>
      <c r="V49" s="7" t="s">
        <v>348</v>
      </c>
      <c r="X49"/>
      <c r="Y49"/>
    </row>
    <row r="50" spans="18:25">
      <c r="R50" s="7" t="s">
        <v>349</v>
      </c>
      <c r="S50" s="23" t="s">
        <v>350</v>
      </c>
      <c r="U50" s="7" t="s">
        <v>351</v>
      </c>
      <c r="V50" s="7" t="s">
        <v>352</v>
      </c>
      <c r="X50"/>
      <c r="Y50"/>
    </row>
    <row r="51" spans="18:25">
      <c r="R51" s="7" t="s">
        <v>353</v>
      </c>
      <c r="S51" s="23" t="s">
        <v>354</v>
      </c>
      <c r="U51" s="7" t="s">
        <v>355</v>
      </c>
      <c r="V51" s="7" t="s">
        <v>356</v>
      </c>
      <c r="X51"/>
      <c r="Y51"/>
    </row>
    <row r="52" spans="18:25">
      <c r="R52" s="7" t="s">
        <v>357</v>
      </c>
      <c r="S52" s="23" t="s">
        <v>358</v>
      </c>
      <c r="U52" s="7" t="s">
        <v>359</v>
      </c>
      <c r="V52" s="7" t="s">
        <v>360</v>
      </c>
      <c r="X52"/>
      <c r="Y52"/>
    </row>
    <row r="53" spans="18:25">
      <c r="R53" s="7" t="s">
        <v>361</v>
      </c>
      <c r="S53" s="23" t="s">
        <v>362</v>
      </c>
      <c r="U53" s="7" t="s">
        <v>363</v>
      </c>
      <c r="V53" s="7" t="s">
        <v>364</v>
      </c>
      <c r="X53"/>
      <c r="Y53"/>
    </row>
    <row r="54" spans="18:25">
      <c r="R54" s="7" t="s">
        <v>365</v>
      </c>
      <c r="S54" s="23" t="s">
        <v>366</v>
      </c>
      <c r="U54" s="7" t="s">
        <v>367</v>
      </c>
      <c r="V54" s="7" t="s">
        <v>368</v>
      </c>
      <c r="X54"/>
      <c r="Y54"/>
    </row>
    <row r="55" spans="18:25">
      <c r="R55" s="7" t="s">
        <v>369</v>
      </c>
      <c r="S55" s="23" t="s">
        <v>370</v>
      </c>
      <c r="U55" s="7" t="s">
        <v>371</v>
      </c>
      <c r="V55" s="7" t="s">
        <v>372</v>
      </c>
      <c r="X55"/>
      <c r="Y55"/>
    </row>
    <row r="56" spans="18:25">
      <c r="R56" s="7" t="s">
        <v>373</v>
      </c>
      <c r="S56" s="23" t="s">
        <v>374</v>
      </c>
      <c r="U56" s="7" t="s">
        <v>375</v>
      </c>
      <c r="V56" s="7" t="s">
        <v>376</v>
      </c>
      <c r="X56"/>
      <c r="Y56"/>
    </row>
    <row r="57" spans="18:25">
      <c r="R57" s="7" t="s">
        <v>377</v>
      </c>
      <c r="S57" s="23" t="s">
        <v>378</v>
      </c>
      <c r="U57" s="7" t="s">
        <v>379</v>
      </c>
      <c r="V57" s="7" t="s">
        <v>380</v>
      </c>
      <c r="X57"/>
      <c r="Y57"/>
    </row>
    <row r="58" ht="25" spans="18:25">
      <c r="R58" s="7" t="s">
        <v>381</v>
      </c>
      <c r="S58" s="23" t="s">
        <v>382</v>
      </c>
      <c r="U58" s="7" t="s">
        <v>383</v>
      </c>
      <c r="V58" s="7" t="s">
        <v>384</v>
      </c>
      <c r="X58"/>
      <c r="Y58"/>
    </row>
    <row r="59" spans="18:25">
      <c r="R59" s="7" t="s">
        <v>385</v>
      </c>
      <c r="S59" s="23" t="s">
        <v>386</v>
      </c>
      <c r="U59" s="7" t="s">
        <v>387</v>
      </c>
      <c r="V59" s="7" t="s">
        <v>388</v>
      </c>
      <c r="X59"/>
      <c r="Y59"/>
    </row>
    <row r="60" spans="18:25">
      <c r="R60" s="7" t="s">
        <v>389</v>
      </c>
      <c r="S60" s="23" t="s">
        <v>390</v>
      </c>
      <c r="U60" s="7" t="s">
        <v>391</v>
      </c>
      <c r="V60" s="7" t="s">
        <v>392</v>
      </c>
      <c r="X60"/>
      <c r="Y60"/>
    </row>
    <row r="61" spans="18:25">
      <c r="R61" s="7" t="s">
        <v>393</v>
      </c>
      <c r="S61" s="23" t="s">
        <v>394</v>
      </c>
      <c r="U61" s="7" t="s">
        <v>395</v>
      </c>
      <c r="V61" s="7" t="s">
        <v>396</v>
      </c>
      <c r="X61"/>
      <c r="Y61"/>
    </row>
    <row r="62" spans="18:25">
      <c r="R62" s="7" t="s">
        <v>397</v>
      </c>
      <c r="S62" s="23" t="s">
        <v>398</v>
      </c>
      <c r="U62" s="7" t="s">
        <v>399</v>
      </c>
      <c r="V62" s="7" t="s">
        <v>400</v>
      </c>
      <c r="X62"/>
      <c r="Y62"/>
    </row>
    <row r="63" spans="18:25">
      <c r="R63" s="7" t="s">
        <v>401</v>
      </c>
      <c r="S63" s="23" t="s">
        <v>402</v>
      </c>
      <c r="U63" s="7" t="s">
        <v>403</v>
      </c>
      <c r="V63" s="7" t="s">
        <v>404</v>
      </c>
      <c r="X63"/>
      <c r="Y63"/>
    </row>
    <row r="64" spans="18:25">
      <c r="R64" s="7" t="s">
        <v>405</v>
      </c>
      <c r="S64" s="23" t="s">
        <v>406</v>
      </c>
      <c r="U64" s="7" t="s">
        <v>407</v>
      </c>
      <c r="V64" s="7" t="s">
        <v>408</v>
      </c>
      <c r="X64"/>
      <c r="Y64"/>
    </row>
    <row r="65" spans="18:25">
      <c r="R65" s="7" t="s">
        <v>409</v>
      </c>
      <c r="S65" s="23" t="s">
        <v>410</v>
      </c>
      <c r="U65" s="7" t="s">
        <v>411</v>
      </c>
      <c r="V65" s="7" t="s">
        <v>412</v>
      </c>
      <c r="X65"/>
      <c r="Y65"/>
    </row>
    <row r="66" spans="18:25">
      <c r="R66" s="7" t="s">
        <v>413</v>
      </c>
      <c r="S66" s="23" t="s">
        <v>414</v>
      </c>
      <c r="U66" s="7" t="s">
        <v>415</v>
      </c>
      <c r="V66" s="7" t="s">
        <v>416</v>
      </c>
      <c r="X66"/>
      <c r="Y66"/>
    </row>
    <row r="67" spans="18:25">
      <c r="R67" s="7" t="s">
        <v>417</v>
      </c>
      <c r="S67" s="23" t="s">
        <v>418</v>
      </c>
      <c r="U67" s="7" t="s">
        <v>419</v>
      </c>
      <c r="V67" s="7" t="s">
        <v>420</v>
      </c>
      <c r="X67"/>
      <c r="Y67"/>
    </row>
    <row r="68" spans="18:25">
      <c r="R68" s="7" t="s">
        <v>421</v>
      </c>
      <c r="S68" s="23" t="s">
        <v>422</v>
      </c>
      <c r="U68" s="7" t="s">
        <v>423</v>
      </c>
      <c r="V68" s="7" t="s">
        <v>424</v>
      </c>
      <c r="X68"/>
      <c r="Y68"/>
    </row>
    <row r="69" spans="18:25">
      <c r="R69" s="7" t="s">
        <v>425</v>
      </c>
      <c r="S69" s="23" t="s">
        <v>426</v>
      </c>
      <c r="U69" s="7" t="s">
        <v>427</v>
      </c>
      <c r="V69" s="7" t="s">
        <v>428</v>
      </c>
      <c r="X69"/>
      <c r="Y69"/>
    </row>
    <row r="70" spans="18:25">
      <c r="R70" s="7" t="s">
        <v>429</v>
      </c>
      <c r="S70" s="23" t="s">
        <v>430</v>
      </c>
      <c r="U70" s="7" t="s">
        <v>431</v>
      </c>
      <c r="V70" s="7" t="s">
        <v>432</v>
      </c>
      <c r="X70"/>
      <c r="Y70"/>
    </row>
    <row r="71" spans="18:25">
      <c r="R71" s="7" t="s">
        <v>433</v>
      </c>
      <c r="S71" s="23" t="s">
        <v>434</v>
      </c>
      <c r="U71" s="7" t="s">
        <v>435</v>
      </c>
      <c r="V71" s="7" t="s">
        <v>436</v>
      </c>
      <c r="X71"/>
      <c r="Y71"/>
    </row>
    <row r="72" spans="18:25">
      <c r="R72" s="7" t="s">
        <v>437</v>
      </c>
      <c r="S72" s="23" t="s">
        <v>438</v>
      </c>
      <c r="U72" s="7" t="s">
        <v>439</v>
      </c>
      <c r="V72" s="7" t="s">
        <v>440</v>
      </c>
      <c r="X72"/>
      <c r="Y72"/>
    </row>
    <row r="73" spans="18:25">
      <c r="R73" s="7" t="s">
        <v>441</v>
      </c>
      <c r="S73" s="23" t="s">
        <v>442</v>
      </c>
      <c r="U73" s="7" t="s">
        <v>443</v>
      </c>
      <c r="V73" s="7" t="s">
        <v>444</v>
      </c>
      <c r="X73"/>
      <c r="Y73"/>
    </row>
    <row r="74" spans="18:25">
      <c r="R74" s="7" t="s">
        <v>445</v>
      </c>
      <c r="S74" s="23" t="s">
        <v>446</v>
      </c>
      <c r="U74" s="7" t="s">
        <v>447</v>
      </c>
      <c r="V74" s="7" t="s">
        <v>448</v>
      </c>
      <c r="X74"/>
      <c r="Y74"/>
    </row>
    <row r="75" spans="18:25">
      <c r="R75" s="7" t="s">
        <v>449</v>
      </c>
      <c r="S75" s="23" t="s">
        <v>450</v>
      </c>
      <c r="U75" s="7" t="s">
        <v>451</v>
      </c>
      <c r="V75" s="7" t="s">
        <v>452</v>
      </c>
      <c r="X75"/>
      <c r="Y75"/>
    </row>
    <row r="76" spans="18:25">
      <c r="R76" s="7" t="s">
        <v>453</v>
      </c>
      <c r="S76" s="23" t="s">
        <v>454</v>
      </c>
      <c r="U76" s="7" t="s">
        <v>455</v>
      </c>
      <c r="V76" s="7" t="s">
        <v>456</v>
      </c>
      <c r="X76"/>
      <c r="Y76"/>
    </row>
    <row r="77" spans="18:25">
      <c r="R77" s="7" t="s">
        <v>457</v>
      </c>
      <c r="S77" s="23" t="s">
        <v>458</v>
      </c>
      <c r="U77" s="7" t="s">
        <v>459</v>
      </c>
      <c r="V77" s="7" t="s">
        <v>460</v>
      </c>
      <c r="X77"/>
      <c r="Y77"/>
    </row>
    <row r="78" spans="18:25">
      <c r="R78" s="7" t="s">
        <v>461</v>
      </c>
      <c r="S78" s="23" t="s">
        <v>462</v>
      </c>
      <c r="U78" s="7" t="s">
        <v>463</v>
      </c>
      <c r="V78" s="7" t="s">
        <v>464</v>
      </c>
      <c r="X78"/>
      <c r="Y78"/>
    </row>
    <row r="79" spans="18:25">
      <c r="R79" s="7" t="s">
        <v>465</v>
      </c>
      <c r="S79" s="23" t="s">
        <v>466</v>
      </c>
      <c r="U79" s="7" t="s">
        <v>467</v>
      </c>
      <c r="V79" s="7" t="s">
        <v>468</v>
      </c>
      <c r="X79"/>
      <c r="Y79"/>
    </row>
    <row r="80" spans="18:25">
      <c r="R80" s="7" t="s">
        <v>469</v>
      </c>
      <c r="S80" s="23" t="s">
        <v>470</v>
      </c>
      <c r="U80" s="7" t="s">
        <v>471</v>
      </c>
      <c r="V80" s="7" t="s">
        <v>472</v>
      </c>
      <c r="X80"/>
      <c r="Y80"/>
    </row>
    <row r="81" spans="18:25">
      <c r="R81" s="7" t="s">
        <v>473</v>
      </c>
      <c r="S81" s="23" t="s">
        <v>474</v>
      </c>
      <c r="U81" s="7" t="s">
        <v>475</v>
      </c>
      <c r="V81" s="7" t="s">
        <v>476</v>
      </c>
      <c r="X81"/>
      <c r="Y81"/>
    </row>
    <row r="82" spans="18:25">
      <c r="R82" s="7" t="s">
        <v>477</v>
      </c>
      <c r="S82" s="23" t="s">
        <v>478</v>
      </c>
      <c r="U82" s="7" t="s">
        <v>479</v>
      </c>
      <c r="V82" s="7" t="s">
        <v>480</v>
      </c>
      <c r="X82"/>
      <c r="Y82"/>
    </row>
    <row r="83" spans="18:25">
      <c r="R83" s="7" t="s">
        <v>481</v>
      </c>
      <c r="S83" s="23" t="s">
        <v>482</v>
      </c>
      <c r="U83" s="7" t="s">
        <v>483</v>
      </c>
      <c r="V83" s="7" t="s">
        <v>484</v>
      </c>
      <c r="X83"/>
      <c r="Y83"/>
    </row>
    <row r="84" spans="18:25">
      <c r="R84" s="7" t="s">
        <v>485</v>
      </c>
      <c r="S84" s="23" t="s">
        <v>486</v>
      </c>
      <c r="U84" s="7" t="s">
        <v>487</v>
      </c>
      <c r="V84" s="7" t="s">
        <v>488</v>
      </c>
      <c r="X84"/>
      <c r="Y84"/>
    </row>
    <row r="85" spans="18:25">
      <c r="R85" s="7" t="s">
        <v>489</v>
      </c>
      <c r="S85" s="23" t="s">
        <v>490</v>
      </c>
      <c r="U85" s="7" t="s">
        <v>491</v>
      </c>
      <c r="V85" s="7" t="s">
        <v>492</v>
      </c>
      <c r="X85"/>
      <c r="Y85"/>
    </row>
    <row r="86" spans="18:25">
      <c r="R86" s="7" t="s">
        <v>493</v>
      </c>
      <c r="S86" s="23" t="s">
        <v>494</v>
      </c>
      <c r="U86" s="7" t="s">
        <v>495</v>
      </c>
      <c r="V86" s="7" t="s">
        <v>496</v>
      </c>
      <c r="X86"/>
      <c r="Y86"/>
    </row>
    <row r="87" spans="18:25">
      <c r="R87" s="7" t="s">
        <v>497</v>
      </c>
      <c r="S87" s="23" t="s">
        <v>498</v>
      </c>
      <c r="U87" s="7" t="s">
        <v>499</v>
      </c>
      <c r="V87" s="7" t="s">
        <v>500</v>
      </c>
      <c r="X87"/>
      <c r="Y87"/>
    </row>
    <row r="88" spans="18:25">
      <c r="R88" s="7" t="s">
        <v>501</v>
      </c>
      <c r="S88" s="23" t="s">
        <v>502</v>
      </c>
      <c r="U88" s="7" t="s">
        <v>503</v>
      </c>
      <c r="V88" s="7" t="s">
        <v>504</v>
      </c>
      <c r="X88"/>
      <c r="Y88"/>
    </row>
    <row r="89" spans="18:25">
      <c r="R89" s="7" t="s">
        <v>505</v>
      </c>
      <c r="S89" s="23" t="s">
        <v>506</v>
      </c>
      <c r="U89" s="7" t="s">
        <v>507</v>
      </c>
      <c r="V89" s="7" t="s">
        <v>508</v>
      </c>
      <c r="X89"/>
      <c r="Y89"/>
    </row>
    <row r="90" spans="18:25">
      <c r="R90" s="7" t="s">
        <v>509</v>
      </c>
      <c r="S90" s="23" t="s">
        <v>510</v>
      </c>
      <c r="U90" s="7" t="s">
        <v>511</v>
      </c>
      <c r="V90" s="7" t="s">
        <v>512</v>
      </c>
      <c r="X90"/>
      <c r="Y90"/>
    </row>
    <row r="91" spans="18:25">
      <c r="R91" s="7" t="s">
        <v>513</v>
      </c>
      <c r="S91" s="23" t="s">
        <v>514</v>
      </c>
      <c r="U91" s="7" t="s">
        <v>515</v>
      </c>
      <c r="V91" s="7" t="s">
        <v>516</v>
      </c>
      <c r="X91"/>
      <c r="Y91"/>
    </row>
    <row r="92" spans="18:25">
      <c r="R92" s="7" t="s">
        <v>517</v>
      </c>
      <c r="S92" s="23" t="s">
        <v>518</v>
      </c>
      <c r="U92" s="7" t="s">
        <v>519</v>
      </c>
      <c r="V92" s="7" t="s">
        <v>520</v>
      </c>
      <c r="X92"/>
      <c r="Y92"/>
    </row>
    <row r="93" spans="18:25">
      <c r="R93" s="7" t="s">
        <v>521</v>
      </c>
      <c r="S93" s="23" t="s">
        <v>522</v>
      </c>
      <c r="U93" s="7" t="s">
        <v>523</v>
      </c>
      <c r="V93" s="7" t="s">
        <v>524</v>
      </c>
      <c r="X93"/>
      <c r="Y93"/>
    </row>
    <row r="94" spans="18:25">
      <c r="R94" s="7" t="s">
        <v>525</v>
      </c>
      <c r="S94" s="23" t="s">
        <v>526</v>
      </c>
      <c r="U94" s="7" t="s">
        <v>527</v>
      </c>
      <c r="V94" s="7" t="s">
        <v>528</v>
      </c>
      <c r="X94"/>
      <c r="Y94"/>
    </row>
    <row r="95" spans="18:25">
      <c r="R95" s="7" t="s">
        <v>529</v>
      </c>
      <c r="S95" s="23" t="s">
        <v>530</v>
      </c>
      <c r="U95" s="7" t="s">
        <v>531</v>
      </c>
      <c r="V95" s="7" t="s">
        <v>532</v>
      </c>
      <c r="X95"/>
      <c r="Y95"/>
    </row>
    <row r="96" spans="18:25">
      <c r="R96" s="7" t="s">
        <v>533</v>
      </c>
      <c r="S96" s="23" t="s">
        <v>534</v>
      </c>
      <c r="U96" s="7" t="s">
        <v>535</v>
      </c>
      <c r="V96" s="7" t="s">
        <v>536</v>
      </c>
      <c r="X96"/>
      <c r="Y96"/>
    </row>
    <row r="97" spans="18:25">
      <c r="R97" s="7" t="s">
        <v>537</v>
      </c>
      <c r="S97" s="23" t="s">
        <v>538</v>
      </c>
      <c r="U97" s="7" t="s">
        <v>539</v>
      </c>
      <c r="V97" s="7" t="s">
        <v>540</v>
      </c>
      <c r="X97"/>
      <c r="Y97"/>
    </row>
    <row r="98" spans="18:25">
      <c r="R98" s="7" t="s">
        <v>541</v>
      </c>
      <c r="S98" s="23" t="s">
        <v>542</v>
      </c>
      <c r="U98" s="7" t="s">
        <v>543</v>
      </c>
      <c r="V98" s="7" t="s">
        <v>544</v>
      </c>
      <c r="X98"/>
      <c r="Y98"/>
    </row>
    <row r="99" spans="18:25">
      <c r="R99" s="7" t="s">
        <v>545</v>
      </c>
      <c r="S99" s="23" t="s">
        <v>546</v>
      </c>
      <c r="U99" s="7" t="s">
        <v>547</v>
      </c>
      <c r="V99" s="7" t="s">
        <v>548</v>
      </c>
      <c r="X99"/>
      <c r="Y99"/>
    </row>
    <row r="100" ht="25" spans="18:25">
      <c r="R100" s="7" t="s">
        <v>549</v>
      </c>
      <c r="S100" s="23" t="s">
        <v>550</v>
      </c>
      <c r="U100" s="7" t="s">
        <v>551</v>
      </c>
      <c r="V100" s="7" t="s">
        <v>552</v>
      </c>
      <c r="X100"/>
      <c r="Y100"/>
    </row>
    <row r="101" spans="18:25">
      <c r="R101" s="7" t="s">
        <v>553</v>
      </c>
      <c r="S101" s="23" t="s">
        <v>554</v>
      </c>
      <c r="U101" s="7" t="s">
        <v>555</v>
      </c>
      <c r="V101" s="7" t="s">
        <v>556</v>
      </c>
      <c r="X101"/>
      <c r="Y101"/>
    </row>
    <row r="102" spans="18:25">
      <c r="R102" s="7" t="s">
        <v>557</v>
      </c>
      <c r="S102" s="23" t="s">
        <v>558</v>
      </c>
      <c r="U102" s="7" t="s">
        <v>559</v>
      </c>
      <c r="V102" s="7" t="s">
        <v>560</v>
      </c>
      <c r="X102"/>
      <c r="Y102"/>
    </row>
    <row r="103" spans="18:25">
      <c r="R103" s="7" t="s">
        <v>561</v>
      </c>
      <c r="S103" s="23" t="s">
        <v>562</v>
      </c>
      <c r="U103" s="7" t="s">
        <v>563</v>
      </c>
      <c r="V103" s="7" t="s">
        <v>564</v>
      </c>
      <c r="X103"/>
      <c r="Y103"/>
    </row>
    <row r="104" spans="18:25">
      <c r="R104" s="7" t="s">
        <v>565</v>
      </c>
      <c r="S104" s="23" t="s">
        <v>566</v>
      </c>
      <c r="U104" s="7" t="s">
        <v>567</v>
      </c>
      <c r="V104" s="7" t="s">
        <v>568</v>
      </c>
      <c r="X104"/>
      <c r="Y104"/>
    </row>
    <row r="105" spans="18:25">
      <c r="R105" s="7" t="s">
        <v>569</v>
      </c>
      <c r="S105" s="23" t="s">
        <v>570</v>
      </c>
      <c r="U105" s="7" t="s">
        <v>571</v>
      </c>
      <c r="V105" s="7" t="s">
        <v>572</v>
      </c>
      <c r="X105"/>
      <c r="Y105"/>
    </row>
    <row r="106" spans="18:25">
      <c r="R106" s="7" t="s">
        <v>573</v>
      </c>
      <c r="S106" s="23" t="s">
        <v>574</v>
      </c>
      <c r="U106" s="7" t="s">
        <v>575</v>
      </c>
      <c r="V106" s="7" t="s">
        <v>576</v>
      </c>
      <c r="X106"/>
      <c r="Y106"/>
    </row>
    <row r="107" spans="18:25">
      <c r="R107" s="7" t="s">
        <v>577</v>
      </c>
      <c r="S107" s="23" t="s">
        <v>578</v>
      </c>
      <c r="U107" s="7" t="s">
        <v>579</v>
      </c>
      <c r="V107" s="7" t="s">
        <v>580</v>
      </c>
      <c r="X107"/>
      <c r="Y107"/>
    </row>
    <row r="108" spans="18:25">
      <c r="R108" s="7" t="s">
        <v>581</v>
      </c>
      <c r="S108" s="23" t="s">
        <v>582</v>
      </c>
      <c r="U108" s="7" t="s">
        <v>583</v>
      </c>
      <c r="V108" s="7" t="s">
        <v>584</v>
      </c>
      <c r="X108"/>
      <c r="Y108"/>
    </row>
    <row r="109" spans="18:25">
      <c r="R109" s="7" t="s">
        <v>585</v>
      </c>
      <c r="S109" s="23" t="s">
        <v>586</v>
      </c>
      <c r="U109" s="7" t="s">
        <v>587</v>
      </c>
      <c r="V109" s="7" t="s">
        <v>588</v>
      </c>
      <c r="X109"/>
      <c r="Y109"/>
    </row>
    <row r="110" spans="18:25">
      <c r="R110" s="7" t="s">
        <v>589</v>
      </c>
      <c r="S110" s="23" t="s">
        <v>590</v>
      </c>
      <c r="U110" s="7" t="s">
        <v>591</v>
      </c>
      <c r="V110" s="7" t="s">
        <v>592</v>
      </c>
      <c r="X110"/>
      <c r="Y110"/>
    </row>
    <row r="111" spans="18:25">
      <c r="R111" s="7" t="s">
        <v>593</v>
      </c>
      <c r="S111" s="23" t="s">
        <v>594</v>
      </c>
      <c r="U111" s="7" t="s">
        <v>595</v>
      </c>
      <c r="V111" s="7" t="s">
        <v>596</v>
      </c>
      <c r="X111"/>
      <c r="Y111"/>
    </row>
    <row r="112" spans="18:25">
      <c r="R112" s="7" t="s">
        <v>597</v>
      </c>
      <c r="S112" s="23" t="s">
        <v>598</v>
      </c>
      <c r="U112" s="7" t="s">
        <v>599</v>
      </c>
      <c r="V112" s="7" t="s">
        <v>600</v>
      </c>
      <c r="X112"/>
      <c r="Y112"/>
    </row>
    <row r="113" spans="18:25">
      <c r="R113" s="7" t="s">
        <v>601</v>
      </c>
      <c r="S113" s="23" t="s">
        <v>602</v>
      </c>
      <c r="U113" s="7" t="s">
        <v>603</v>
      </c>
      <c r="V113" s="7" t="s">
        <v>604</v>
      </c>
      <c r="X113"/>
      <c r="Y113"/>
    </row>
    <row r="114" spans="18:25">
      <c r="R114" s="7" t="s">
        <v>605</v>
      </c>
      <c r="S114" s="23" t="s">
        <v>606</v>
      </c>
      <c r="U114" s="7" t="s">
        <v>607</v>
      </c>
      <c r="V114" s="7" t="s">
        <v>608</v>
      </c>
      <c r="X114"/>
      <c r="Y114"/>
    </row>
    <row r="115" spans="18:25">
      <c r="R115" s="7" t="s">
        <v>609</v>
      </c>
      <c r="S115" s="23" t="s">
        <v>610</v>
      </c>
      <c r="U115" s="7" t="s">
        <v>611</v>
      </c>
      <c r="V115" s="7" t="s">
        <v>612</v>
      </c>
      <c r="X115"/>
      <c r="Y115"/>
    </row>
    <row r="116" spans="18:25">
      <c r="R116" s="7" t="s">
        <v>613</v>
      </c>
      <c r="S116" s="23" t="s">
        <v>614</v>
      </c>
      <c r="U116" s="7" t="s">
        <v>615</v>
      </c>
      <c r="V116" s="7" t="s">
        <v>616</v>
      </c>
      <c r="X116"/>
      <c r="Y116"/>
    </row>
    <row r="117" spans="21:25">
      <c r="U117" s="7" t="s">
        <v>617</v>
      </c>
      <c r="V117" s="7" t="s">
        <v>618</v>
      </c>
      <c r="X117"/>
      <c r="Y117"/>
    </row>
    <row r="118" spans="21:25">
      <c r="U118" s="7" t="s">
        <v>619</v>
      </c>
      <c r="V118" s="7" t="s">
        <v>620</v>
      </c>
      <c r="X118"/>
      <c r="Y118"/>
    </row>
    <row r="119" spans="21:25">
      <c r="U119" s="7" t="s">
        <v>621</v>
      </c>
      <c r="V119" s="7" t="s">
        <v>622</v>
      </c>
      <c r="X119"/>
      <c r="Y119"/>
    </row>
    <row r="120" spans="21:25">
      <c r="U120" s="7" t="s">
        <v>623</v>
      </c>
      <c r="V120" s="7" t="s">
        <v>624</v>
      </c>
      <c r="X120"/>
      <c r="Y120"/>
    </row>
    <row r="121" spans="21:25">
      <c r="U121" s="7" t="s">
        <v>625</v>
      </c>
      <c r="V121" s="7" t="s">
        <v>626</v>
      </c>
      <c r="X121"/>
      <c r="Y121"/>
    </row>
    <row r="122" spans="21:25">
      <c r="U122" s="7" t="s">
        <v>627</v>
      </c>
      <c r="V122" s="7" t="s">
        <v>628</v>
      </c>
      <c r="X122"/>
      <c r="Y122"/>
    </row>
    <row r="123" spans="21:25">
      <c r="U123" s="7" t="s">
        <v>629</v>
      </c>
      <c r="V123" s="7" t="s">
        <v>630</v>
      </c>
      <c r="X123"/>
      <c r="Y123"/>
    </row>
    <row r="124" spans="21:25">
      <c r="U124" s="7" t="s">
        <v>631</v>
      </c>
      <c r="V124" s="7" t="s">
        <v>632</v>
      </c>
      <c r="X124"/>
      <c r="Y124"/>
    </row>
    <row r="125" spans="21:25">
      <c r="U125" s="7" t="s">
        <v>633</v>
      </c>
      <c r="V125" s="7" t="s">
        <v>634</v>
      </c>
      <c r="X125"/>
      <c r="Y125"/>
    </row>
    <row r="126" spans="21:25">
      <c r="U126" s="7" t="s">
        <v>635</v>
      </c>
      <c r="V126" s="7" t="s">
        <v>636</v>
      </c>
      <c r="X126"/>
      <c r="Y126"/>
    </row>
    <row r="127" spans="21:25">
      <c r="U127" s="7" t="s">
        <v>637</v>
      </c>
      <c r="V127" s="7" t="s">
        <v>638</v>
      </c>
      <c r="X127"/>
      <c r="Y127"/>
    </row>
    <row r="128" spans="21:25">
      <c r="U128" s="7" t="s">
        <v>639</v>
      </c>
      <c r="V128" s="7" t="s">
        <v>640</v>
      </c>
      <c r="X128"/>
      <c r="Y128"/>
    </row>
    <row r="129" spans="21:25">
      <c r="U129" s="7" t="s">
        <v>641</v>
      </c>
      <c r="V129" s="7" t="s">
        <v>642</v>
      </c>
      <c r="X129"/>
      <c r="Y129"/>
    </row>
    <row r="130" spans="21:25">
      <c r="U130" s="7" t="s">
        <v>643</v>
      </c>
      <c r="V130" s="7" t="s">
        <v>644</v>
      </c>
      <c r="X130"/>
      <c r="Y130"/>
    </row>
    <row r="131" spans="21:25">
      <c r="U131" s="7" t="s">
        <v>645</v>
      </c>
      <c r="V131" s="7" t="s">
        <v>646</v>
      </c>
      <c r="X131"/>
      <c r="Y131"/>
    </row>
    <row r="132" spans="21:25">
      <c r="U132" s="7" t="s">
        <v>647</v>
      </c>
      <c r="V132" s="7" t="s">
        <v>648</v>
      </c>
      <c r="X132"/>
      <c r="Y132"/>
    </row>
    <row r="133" spans="21:25">
      <c r="U133" s="7" t="s">
        <v>649</v>
      </c>
      <c r="V133" s="7" t="s">
        <v>650</v>
      </c>
      <c r="X133"/>
      <c r="Y133"/>
    </row>
    <row r="134" spans="21:25">
      <c r="U134" s="7" t="s">
        <v>651</v>
      </c>
      <c r="V134" s="7" t="s">
        <v>652</v>
      </c>
      <c r="X134"/>
      <c r="Y134"/>
    </row>
    <row r="135" spans="21:25">
      <c r="U135" s="7" t="s">
        <v>653</v>
      </c>
      <c r="V135" s="7" t="s">
        <v>654</v>
      </c>
      <c r="X135"/>
      <c r="Y135"/>
    </row>
    <row r="136" spans="21:25">
      <c r="U136" s="7" t="s">
        <v>655</v>
      </c>
      <c r="V136" s="7" t="s">
        <v>656</v>
      </c>
      <c r="X136"/>
      <c r="Y136"/>
    </row>
    <row r="137" spans="21:25">
      <c r="U137" s="7" t="s">
        <v>657</v>
      </c>
      <c r="V137" s="7" t="s">
        <v>658</v>
      </c>
      <c r="X137"/>
      <c r="Y137"/>
    </row>
    <row r="138" spans="21:25">
      <c r="U138" s="7" t="s">
        <v>659</v>
      </c>
      <c r="V138" s="7" t="s">
        <v>660</v>
      </c>
      <c r="X138"/>
      <c r="Y138"/>
    </row>
    <row r="139" spans="21:25">
      <c r="U139" s="7" t="s">
        <v>661</v>
      </c>
      <c r="V139" s="7" t="s">
        <v>662</v>
      </c>
      <c r="X139"/>
      <c r="Y139"/>
    </row>
    <row r="140" spans="21:25">
      <c r="U140" s="7" t="s">
        <v>663</v>
      </c>
      <c r="V140" s="7" t="s">
        <v>664</v>
      </c>
      <c r="X140"/>
      <c r="Y140"/>
    </row>
    <row r="141" spans="21:25">
      <c r="U141" s="7" t="s">
        <v>665</v>
      </c>
      <c r="V141" s="7" t="s">
        <v>666</v>
      </c>
      <c r="X141"/>
      <c r="Y141"/>
    </row>
    <row r="142" spans="21:22">
      <c r="U142" s="7" t="s">
        <v>667</v>
      </c>
      <c r="V142" s="7" t="s">
        <v>668</v>
      </c>
    </row>
    <row r="143" spans="21:22">
      <c r="U143" s="7" t="s">
        <v>669</v>
      </c>
      <c r="V143" s="7" t="s">
        <v>670</v>
      </c>
    </row>
    <row r="144" spans="21:22">
      <c r="U144" s="7" t="s">
        <v>671</v>
      </c>
      <c r="V144" s="7" t="s">
        <v>672</v>
      </c>
    </row>
    <row r="145" spans="21:22">
      <c r="U145" s="7" t="s">
        <v>673</v>
      </c>
      <c r="V145" s="7" t="s">
        <v>674</v>
      </c>
    </row>
    <row r="146" spans="21:22">
      <c r="U146" s="7" t="s">
        <v>675</v>
      </c>
      <c r="V146" s="7" t="s">
        <v>676</v>
      </c>
    </row>
    <row r="147" spans="21:22">
      <c r="U147" s="7" t="s">
        <v>677</v>
      </c>
      <c r="V147" s="7" t="s">
        <v>678</v>
      </c>
    </row>
    <row r="148" spans="21:22">
      <c r="U148" s="7" t="s">
        <v>679</v>
      </c>
      <c r="V148" s="7" t="s">
        <v>680</v>
      </c>
    </row>
    <row r="149" spans="21:22">
      <c r="U149" s="7" t="s">
        <v>681</v>
      </c>
      <c r="V149" s="7" t="s">
        <v>682</v>
      </c>
    </row>
    <row r="150" spans="21:22">
      <c r="U150" s="7" t="s">
        <v>683</v>
      </c>
      <c r="V150" s="7" t="s">
        <v>684</v>
      </c>
    </row>
    <row r="151" spans="21:22">
      <c r="U151" s="7" t="s">
        <v>685</v>
      </c>
      <c r="V151" s="7" t="s">
        <v>686</v>
      </c>
    </row>
    <row r="152" spans="21:22">
      <c r="U152" s="7" t="s">
        <v>687</v>
      </c>
      <c r="V152" s="7" t="s">
        <v>688</v>
      </c>
    </row>
    <row r="153" spans="21:22">
      <c r="U153" s="7" t="s">
        <v>689</v>
      </c>
      <c r="V153" s="7" t="s">
        <v>690</v>
      </c>
    </row>
    <row r="154" spans="21:22">
      <c r="U154" s="7" t="s">
        <v>691</v>
      </c>
      <c r="V154" s="7" t="s">
        <v>692</v>
      </c>
    </row>
    <row r="155" spans="21:22">
      <c r="U155" s="7" t="s">
        <v>693</v>
      </c>
      <c r="V155" s="7" t="s">
        <v>694</v>
      </c>
    </row>
    <row r="156" spans="21:22">
      <c r="U156" s="7" t="s">
        <v>695</v>
      </c>
      <c r="V156" s="7" t="s">
        <v>696</v>
      </c>
    </row>
    <row r="157" spans="21:22">
      <c r="U157" s="7" t="s">
        <v>697</v>
      </c>
      <c r="V157" s="7" t="s">
        <v>698</v>
      </c>
    </row>
    <row r="158" spans="21:22">
      <c r="U158" s="7" t="s">
        <v>699</v>
      </c>
      <c r="V158" s="7" t="s">
        <v>700</v>
      </c>
    </row>
    <row r="159" spans="21:22">
      <c r="U159" s="7" t="s">
        <v>701</v>
      </c>
      <c r="V159" s="7" t="s">
        <v>702</v>
      </c>
    </row>
    <row r="160" spans="21:22">
      <c r="U160" s="7" t="s">
        <v>703</v>
      </c>
      <c r="V160" s="7" t="s">
        <v>704</v>
      </c>
    </row>
    <row r="161" spans="21:22">
      <c r="U161" s="7" t="s">
        <v>705</v>
      </c>
      <c r="V161" s="7" t="s">
        <v>706</v>
      </c>
    </row>
    <row r="162" spans="21:22">
      <c r="U162" s="7" t="s">
        <v>707</v>
      </c>
      <c r="V162" s="7" t="s">
        <v>708</v>
      </c>
    </row>
    <row r="163" spans="21:22">
      <c r="U163" s="7" t="s">
        <v>709</v>
      </c>
      <c r="V163" s="7" t="s">
        <v>710</v>
      </c>
    </row>
    <row r="164" spans="21:22">
      <c r="U164" s="7" t="s">
        <v>711</v>
      </c>
      <c r="V164" s="7" t="s">
        <v>712</v>
      </c>
    </row>
    <row r="165" spans="21:22">
      <c r="U165" s="7" t="s">
        <v>713</v>
      </c>
      <c r="V165" s="7" t="s">
        <v>714</v>
      </c>
    </row>
    <row r="166" spans="21:22">
      <c r="U166" s="7" t="s">
        <v>715</v>
      </c>
      <c r="V166" s="7" t="s">
        <v>716</v>
      </c>
    </row>
    <row r="167" spans="21:22">
      <c r="U167" s="7" t="s">
        <v>717</v>
      </c>
      <c r="V167" s="7" t="s">
        <v>718</v>
      </c>
    </row>
    <row r="168" spans="21:22">
      <c r="U168" s="7" t="s">
        <v>719</v>
      </c>
      <c r="V168" s="7" t="s">
        <v>720</v>
      </c>
    </row>
    <row r="169" spans="21:22">
      <c r="U169" s="7" t="s">
        <v>721</v>
      </c>
      <c r="V169" s="7" t="s">
        <v>722</v>
      </c>
    </row>
    <row r="170" spans="21:22">
      <c r="U170" s="7" t="s">
        <v>723</v>
      </c>
      <c r="V170" s="7" t="s">
        <v>724</v>
      </c>
    </row>
    <row r="171" spans="21:22">
      <c r="U171" s="7" t="s">
        <v>725</v>
      </c>
      <c r="V171" s="7" t="s">
        <v>726</v>
      </c>
    </row>
    <row r="172" spans="21:22">
      <c r="U172" s="39" t="s">
        <v>727</v>
      </c>
      <c r="V172" s="39" t="s">
        <v>173</v>
      </c>
    </row>
    <row r="173" spans="21:22">
      <c r="U173" s="39" t="s">
        <v>728</v>
      </c>
      <c r="V173" s="39" t="s">
        <v>729</v>
      </c>
    </row>
    <row r="174" spans="21:22">
      <c r="U174" s="39" t="s">
        <v>730</v>
      </c>
      <c r="V174" s="39" t="s">
        <v>731</v>
      </c>
    </row>
    <row r="175" spans="21:22">
      <c r="U175" s="39" t="s">
        <v>732</v>
      </c>
      <c r="V175" s="39" t="s">
        <v>733</v>
      </c>
    </row>
  </sheetData>
  <mergeCells count="16">
    <mergeCell ref="A1:B1"/>
    <mergeCell ref="D1:E1"/>
    <mergeCell ref="G1:H1"/>
    <mergeCell ref="J1:M1"/>
    <mergeCell ref="O1:P1"/>
    <mergeCell ref="R1:S1"/>
    <mergeCell ref="U1:V1"/>
    <mergeCell ref="X1:Y1"/>
    <mergeCell ref="X3:X15"/>
    <mergeCell ref="X17:X23"/>
    <mergeCell ref="X24:X36"/>
    <mergeCell ref="X37:X38"/>
    <mergeCell ref="X39:X40"/>
    <mergeCell ref="X41:X42"/>
    <mergeCell ref="X43:X44"/>
    <mergeCell ref="X45:X46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80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2023-10-26T09:19:13Z</dcterms:created>
  <dcterms:modified xsi:type="dcterms:W3CDTF">2024-02-22T06:21:49Z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5DDC108DE5CD48BD8C6E86CB6F23F4CA_13</vt:lpwstr>
  </property>
  <property fmtid="{D5CDD505-2E9C-101B-9397-08002B2CF9AE}" pid="3" name="KSOProductBuildVer">
    <vt:lpwstr>1033-12.2.0.13431</vt:lpwstr>
  </property>
</Properties>
</file>