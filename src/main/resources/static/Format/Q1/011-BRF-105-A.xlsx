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BRF 105" sheetId="1" r:id="rId1"/>
  </sheets>
  <definedNames>
    <definedName name="_xlnm.Print_Area" localSheetId="0">'BRF 105'!$B$2:$X$91</definedName>
  </definedNames>
  <calcPr calcId="144525"/>
</workbook>
</file>

<file path=xl/sharedStrings.xml><?xml version="1.0" encoding="utf-8"?>
<sst xmlns="http://schemas.openxmlformats.org/spreadsheetml/2006/main" count="146" uniqueCount="116">
  <si>
    <r>
      <t>BANKING AND MONETARY STATISTICS - REAL ESTATE EXPOSURE</t>
    </r>
    <r>
      <rPr>
        <b/>
        <sz val="11"/>
        <color indexed="13"/>
        <rFont val="Arial"/>
        <family val="2"/>
        <charset val="0"/>
      </rPr>
      <t xml:space="preserve"> </t>
    </r>
    <r>
      <rPr>
        <b/>
        <sz val="11"/>
        <rFont val="Arial"/>
        <family val="2"/>
        <charset val="0"/>
      </rPr>
      <t>- BRF 105 (AED IN 000s)</t>
    </r>
  </si>
  <si>
    <t>ID</t>
  </si>
  <si>
    <t>4-105-1-0</t>
  </si>
  <si>
    <t>Bank</t>
  </si>
  <si>
    <t>Bank of Baroda</t>
  </si>
  <si>
    <t>As on</t>
  </si>
  <si>
    <t>Amount in AED'000</t>
  </si>
  <si>
    <t xml:space="preserve"> Consolidated Exposures</t>
  </si>
  <si>
    <t>UAE Nationals &amp; Their Entities</t>
  </si>
  <si>
    <t>Non-UAE Nationals &amp; Their Entities</t>
  </si>
  <si>
    <t>Consolidated Real Estate Exposure with Respect to Location of the Real Estate Property</t>
  </si>
  <si>
    <t>Asset Quality of Consolidated Exposures</t>
  </si>
  <si>
    <t>Reserved Cells</t>
  </si>
  <si>
    <t>Resident</t>
  </si>
  <si>
    <t xml:space="preserve">Non-Resident </t>
  </si>
  <si>
    <t>Inside UAE</t>
  </si>
  <si>
    <t>Outside UAE</t>
  </si>
  <si>
    <r>
      <t>Total Exposures</t>
    </r>
    <r>
      <rPr>
        <b/>
        <sz val="11"/>
        <rFont val="Calibri"/>
        <family val="2"/>
        <charset val="0"/>
      </rPr>
      <t>¹</t>
    </r>
  </si>
  <si>
    <r>
      <t>CRWA</t>
    </r>
    <r>
      <rPr>
        <b/>
        <sz val="11"/>
        <rFont val="Arial"/>
        <family val="2"/>
        <charset val="0"/>
      </rPr>
      <t xml:space="preserve"> of Exposures²</t>
    </r>
  </si>
  <si>
    <r>
      <t>Exposures</t>
    </r>
    <r>
      <rPr>
        <b/>
        <sz val="11"/>
        <rFont val="Calibri"/>
        <family val="2"/>
        <charset val="0"/>
      </rPr>
      <t>¹</t>
    </r>
  </si>
  <si>
    <t>Exposures¹</t>
  </si>
  <si>
    <t>Non-performing Exposures³</t>
  </si>
  <si>
    <t>Specific Provision</t>
  </si>
  <si>
    <t>Interest in Suspense</t>
  </si>
  <si>
    <r>
      <t>Defaulted Exposures</t>
    </r>
    <r>
      <rPr>
        <b/>
        <sz val="11"/>
        <rFont val="Calibri"/>
        <family val="2"/>
        <charset val="0"/>
      </rPr>
      <t>⁴</t>
    </r>
  </si>
  <si>
    <t xml:space="preserve">Reserved </t>
  </si>
  <si>
    <r>
      <t>Real Estate Loans/Financing to Individuals</t>
    </r>
    <r>
      <rPr>
        <b/>
        <sz val="11"/>
        <rFont val="Calibri"/>
        <family val="2"/>
        <charset val="0"/>
      </rPr>
      <t>⁵</t>
    </r>
  </si>
  <si>
    <t>Completed real estate</t>
  </si>
  <si>
    <t>1.1.1</t>
  </si>
  <si>
    <t xml:space="preserve">Residential real estate for self-use </t>
  </si>
  <si>
    <t>1.1.2</t>
  </si>
  <si>
    <t xml:space="preserve">Residential real estate for investment </t>
  </si>
  <si>
    <t>1.1.3</t>
  </si>
  <si>
    <t xml:space="preserve">Commercial real estate for investment </t>
  </si>
  <si>
    <t xml:space="preserve">For/Under construction </t>
  </si>
  <si>
    <t>1.2.1</t>
  </si>
  <si>
    <t>1.2.2</t>
  </si>
  <si>
    <t>1.2.3</t>
  </si>
  <si>
    <r>
      <t>Real estate Loans/Financing to Corporates</t>
    </r>
    <r>
      <rPr>
        <b/>
        <sz val="11"/>
        <rFont val="Calibri"/>
        <family val="2"/>
        <charset val="0"/>
      </rPr>
      <t>⁶</t>
    </r>
  </si>
  <si>
    <t xml:space="preserve">Completed real estate </t>
  </si>
  <si>
    <t>2.1.1</t>
  </si>
  <si>
    <t xml:space="preserve">Plots </t>
  </si>
  <si>
    <t>2.1.2</t>
  </si>
  <si>
    <t>Residential real estate (buildings and villas)</t>
  </si>
  <si>
    <t>2.1.3</t>
  </si>
  <si>
    <t>Commercial buildings</t>
  </si>
  <si>
    <t>2.1.4</t>
  </si>
  <si>
    <t>Shopping complexes and malls</t>
  </si>
  <si>
    <t>2.1.5</t>
  </si>
  <si>
    <t>Warehouses</t>
  </si>
  <si>
    <t>2.1.6</t>
  </si>
  <si>
    <t>Labour complexes</t>
  </si>
  <si>
    <t>2.1.7</t>
  </si>
  <si>
    <t>Hotels (including hotel apartments)</t>
  </si>
  <si>
    <t>2.1.8</t>
  </si>
  <si>
    <t>Entertainment and leisure</t>
  </si>
  <si>
    <t>2.1.9</t>
  </si>
  <si>
    <t>Completed schools</t>
  </si>
  <si>
    <t>2.1.10</t>
  </si>
  <si>
    <t>Completed hospitals</t>
  </si>
  <si>
    <t>2.2.1</t>
  </si>
  <si>
    <t>Plots</t>
  </si>
  <si>
    <t>2.2.2</t>
  </si>
  <si>
    <t>2.2.3</t>
  </si>
  <si>
    <t>2.2.4</t>
  </si>
  <si>
    <t>2.2.5</t>
  </si>
  <si>
    <t>2.2.6</t>
  </si>
  <si>
    <t>2.2.7</t>
  </si>
  <si>
    <t>2.2.8</t>
  </si>
  <si>
    <t>2.2.9</t>
  </si>
  <si>
    <t>Under-construction schools</t>
  </si>
  <si>
    <t>2.2.10</t>
  </si>
  <si>
    <t>Under-construction hospitals</t>
  </si>
  <si>
    <t>Loans/financing (including working capital loans) to real-estate companies</t>
  </si>
  <si>
    <t>Banks' Investment in Real Estate</t>
  </si>
  <si>
    <t>Bank's own investments in real estate (other than own premises)</t>
  </si>
  <si>
    <t>Bank's investment in real estate entities (equity, including SPVs)</t>
  </si>
  <si>
    <t>Bank's investment in real estate debt securities and debt securities issued by real estate entities</t>
  </si>
  <si>
    <t xml:space="preserve">Property Acquired In Settlement of Debt </t>
  </si>
  <si>
    <t>Property acquired in settlement of debt less than 3 years (or extended by an approval from the Central Bank)</t>
  </si>
  <si>
    <t>Property acquired in settlement of debt more than 3 years (or outside of the Central Bank approved timeline)</t>
  </si>
  <si>
    <r>
      <t>Off-balance Sheet Exposures</t>
    </r>
    <r>
      <rPr>
        <b/>
        <sz val="11"/>
        <rFont val="Calibri"/>
        <family val="2"/>
        <charset val="0"/>
      </rPr>
      <t xml:space="preserve"> </t>
    </r>
    <r>
      <rPr>
        <b/>
        <sz val="11"/>
        <rFont val="Arial"/>
        <family val="2"/>
        <charset val="0"/>
      </rPr>
      <t>to Real Estate</t>
    </r>
    <r>
      <rPr>
        <b/>
        <sz val="11"/>
        <rFont val="Calibri"/>
        <family val="2"/>
        <charset val="0"/>
      </rPr>
      <t>⁷</t>
    </r>
  </si>
  <si>
    <t>Guarantees and letters of credit and other contingent liabilities extended to finance real estate</t>
  </si>
  <si>
    <t>Commitments (unfunded) extended to finance real estate</t>
  </si>
  <si>
    <t xml:space="preserve">Other off-balance real estate sheet exposures </t>
  </si>
  <si>
    <t>Deductions</t>
  </si>
  <si>
    <t xml:space="preserve">Fully secured real estate exposures by cash or irrevocable bank guarantees </t>
  </si>
  <si>
    <t>Loans under UAE Governments Housing Program (if included as subset of Item 1)</t>
  </si>
  <si>
    <t>Completed and operational schools (if included as subset of 2.1.9)</t>
  </si>
  <si>
    <t>Completed and operational hospitals (if included as subset of 2.1.10)</t>
  </si>
  <si>
    <t>100% self-occupied completed commercial real estate by corporate or government entities (if included as subset of Item 2)</t>
  </si>
  <si>
    <r>
      <t>Total Real Estate Exposure (</t>
    </r>
    <r>
      <rPr>
        <b/>
        <sz val="11"/>
        <rFont val="Arial"/>
        <family val="2"/>
        <charset val="0"/>
      </rPr>
      <t>1+2+3+4+5-6)</t>
    </r>
  </si>
  <si>
    <r>
      <t>Total Credit Risk Weighted Assets</t>
    </r>
    <r>
      <rPr>
        <b/>
        <sz val="11"/>
        <rFont val="Calibri"/>
        <family val="2"/>
        <charset val="0"/>
      </rPr>
      <t>⁸</t>
    </r>
  </si>
  <si>
    <t>Total Gross Outstanding Assets⁹ (on balance sheet)</t>
  </si>
  <si>
    <r>
      <t>Total Gross Off-balance Sheet Exposures</t>
    </r>
    <r>
      <rPr>
        <b/>
        <sz val="11"/>
        <rFont val="Calibri"/>
        <family val="2"/>
        <charset val="0"/>
      </rPr>
      <t>¹⁰</t>
    </r>
  </si>
  <si>
    <t>Real Estate Exposure Ratio</t>
  </si>
  <si>
    <t>Memorandum Items: Real Estate Exposures Monitored</t>
  </si>
  <si>
    <t>Exposures to infrastructure projects</t>
  </si>
  <si>
    <t>Loans under Government Housing Program</t>
  </si>
  <si>
    <r>
      <t>Exposure to Bank's own</t>
    </r>
    <r>
      <rPr>
        <sz val="11"/>
        <color indexed="10"/>
        <rFont val="Arial"/>
        <family val="2"/>
        <charset val="0"/>
      </rPr>
      <t xml:space="preserve"> </t>
    </r>
    <r>
      <rPr>
        <sz val="11"/>
        <rFont val="Arial"/>
        <family val="2"/>
        <charset val="0"/>
      </rPr>
      <t xml:space="preserve">Office/Staff Quarters </t>
    </r>
  </si>
  <si>
    <t>Investment in real estate securities which are HQLA (LCR) or Eligible Liquid Assets (ELAR)</t>
  </si>
  <si>
    <t>Explanatory Notes</t>
  </si>
  <si>
    <t>a. Consolidation level follows the applicable capital adequacy standards for banks in the UAE and the corresponding banking return form (BRF 95).</t>
  </si>
  <si>
    <t>b. Item no. 1, 2, 3 and 4 are inclusive of all data points mentioned under item no. 6</t>
  </si>
  <si>
    <t>c. Cells G61, I61, K61, M61, E63, O63, Q63 are to be reported on a best effort basis.</t>
  </si>
  <si>
    <t>1) Exposures are to be reported on a gross basis (including interest in suspense) as per the applicable capital adequacy standards for banks in the UAE and the corresponding banking return form (BRF 95).</t>
  </si>
  <si>
    <t>2) CRWA of Exposures are as per the applicable capital adequacy standards for banks in the UAE.</t>
  </si>
  <si>
    <t xml:space="preserve">3) Non-performing exposures as per Circular No 28/2010 Regulation for the Classification of Loans and their Provisions. 
</t>
  </si>
  <si>
    <t>4) Defaulted Exposures are exposures that are more than 90 days past due (or, if applicable, the bank considers that the obligor is unlikely to pay its credit obligations in full) as per the applicable capital adequacy standards for banks in the UAE.</t>
  </si>
  <si>
    <t>5) Real Estate Loans/Financing to Individuals for plots shall be covered under item 1.2.</t>
  </si>
  <si>
    <t>6) Real estate Loans/Financing to Corporates includes real estate developers, GREs, HNIs, SMEs, and all other non-retail exposures. The definition of SMEs follows the corresponding bank return form (BRF 74).</t>
  </si>
  <si>
    <t>7) Item no. 5 represent off-balance sheet (unfunded) gross exposures and CRWA of exposures reported as per the applicable capital adequacy standards for banks in the UAE.</t>
  </si>
  <si>
    <t>8) Total CRWA of total bank risk-weighted assets per the applicable capital adequacy standards for banks in the UAE and the corresponding banking return form (BRF 95).</t>
  </si>
  <si>
    <t>9) Total Gross Outstanding Assets shall be reported on a gross basis, including interest in suspense.</t>
  </si>
  <si>
    <t>10) Total Gross Off-balance Sheet Exposure shall be reported on a gross basis, including interest in suspense.</t>
  </si>
  <si>
    <t>FORM NO: BSD/BRF105- RE EXP/DEC2021</t>
  </si>
</sst>
</file>

<file path=xl/styles.xml><?xml version="1.0" encoding="utf-8"?>
<styleSheet xmlns="http://schemas.openxmlformats.org/spreadsheetml/2006/main" xmlns:xr9="http://schemas.microsoft.com/office/spreadsheetml/2016/revision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0_);_(* \(#,##0\);_(* &quot;-&quot;??_);_(@_)"/>
  </numFmts>
  <fonts count="29">
    <font>
      <sz val="11"/>
      <color theme="1"/>
      <name val="Calibri"/>
      <family val="2"/>
      <charset val="0"/>
      <scheme val="minor"/>
    </font>
    <font>
      <b/>
      <sz val="11"/>
      <name val="Arial"/>
      <family val="2"/>
      <charset val="0"/>
    </font>
    <font>
      <sz val="11"/>
      <name val="Arial"/>
      <family val="2"/>
      <charset val="0"/>
    </font>
    <font>
      <sz val="11"/>
      <color theme="1"/>
      <name val="Arial"/>
      <family val="2"/>
      <charset val="0"/>
    </font>
    <font>
      <sz val="11"/>
      <color theme="0"/>
      <name val="Arial"/>
      <family val="2"/>
      <charset val="0"/>
    </font>
    <font>
      <b/>
      <sz val="11"/>
      <color theme="1"/>
      <name val="Arial"/>
      <family val="2"/>
      <charset val="0"/>
    </font>
    <font>
      <b/>
      <sz val="11"/>
      <color theme="0"/>
      <name val="Arial"/>
      <family val="2"/>
      <charset val="0"/>
    </font>
    <font>
      <sz val="11"/>
      <color theme="0"/>
      <name val="Calibri"/>
      <family val="2"/>
      <charset val="0"/>
      <scheme val="minor"/>
    </font>
    <font>
      <u/>
      <sz val="11"/>
      <color theme="10"/>
      <name val="Calibri"/>
      <family val="2"/>
      <charset val="0"/>
      <scheme val="minor"/>
    </font>
    <font>
      <u/>
      <sz val="11"/>
      <color theme="11"/>
      <name val="Calibri"/>
      <family val="2"/>
      <charset val="0"/>
      <scheme val="minor"/>
    </font>
    <font>
      <sz val="11"/>
      <color rgb="FFFF0000"/>
      <name val="Calibri"/>
      <family val="2"/>
      <charset val="0"/>
      <scheme val="minor"/>
    </font>
    <font>
      <sz val="18"/>
      <color theme="3"/>
      <name val="Calibri Light"/>
      <family val="2"/>
      <charset val="0"/>
      <scheme val="major"/>
    </font>
    <font>
      <i/>
      <sz val="11"/>
      <color rgb="FF7F7F7F"/>
      <name val="Calibri"/>
      <family val="2"/>
      <charset val="0"/>
      <scheme val="minor"/>
    </font>
    <font>
      <b/>
      <sz val="15"/>
      <color theme="3"/>
      <name val="Calibri"/>
      <family val="2"/>
      <charset val="0"/>
      <scheme val="minor"/>
    </font>
    <font>
      <b/>
      <sz val="13"/>
      <color theme="3"/>
      <name val="Calibri"/>
      <family val="2"/>
      <charset val="0"/>
      <scheme val="minor"/>
    </font>
    <font>
      <b/>
      <sz val="11"/>
      <color theme="3"/>
      <name val="Calibri"/>
      <family val="2"/>
      <charset val="0"/>
      <scheme val="minor"/>
    </font>
    <font>
      <sz val="11"/>
      <color rgb="FF3F3F76"/>
      <name val="Calibri"/>
      <family val="2"/>
      <charset val="0"/>
      <scheme val="minor"/>
    </font>
    <font>
      <b/>
      <sz val="11"/>
      <color rgb="FF3F3F3F"/>
      <name val="Calibri"/>
      <family val="2"/>
      <charset val="0"/>
      <scheme val="minor"/>
    </font>
    <font>
      <b/>
      <sz val="11"/>
      <color rgb="FFFA7D00"/>
      <name val="Calibri"/>
      <family val="2"/>
      <charset val="0"/>
      <scheme val="minor"/>
    </font>
    <font>
      <b/>
      <sz val="11"/>
      <color theme="0"/>
      <name val="Calibri"/>
      <family val="2"/>
      <charset val="0"/>
      <scheme val="minor"/>
    </font>
    <font>
      <sz val="11"/>
      <color rgb="FFFA7D00"/>
      <name val="Calibri"/>
      <family val="2"/>
      <charset val="0"/>
      <scheme val="minor"/>
    </font>
    <font>
      <b/>
      <sz val="11"/>
      <color theme="1"/>
      <name val="Calibri"/>
      <family val="2"/>
      <charset val="0"/>
      <scheme val="minor"/>
    </font>
    <font>
      <sz val="11"/>
      <color rgb="FF006100"/>
      <name val="Calibri"/>
      <family val="2"/>
      <charset val="0"/>
      <scheme val="minor"/>
    </font>
    <font>
      <sz val="11"/>
      <color rgb="FF9C0006"/>
      <name val="Calibri"/>
      <family val="2"/>
      <charset val="0"/>
      <scheme val="minor"/>
    </font>
    <font>
      <sz val="11"/>
      <color rgb="FF9C6500"/>
      <name val="Calibri"/>
      <family val="2"/>
      <charset val="0"/>
      <scheme val="minor"/>
    </font>
    <font>
      <sz val="12"/>
      <name val="Times New Roman"/>
      <family val="1"/>
      <charset val="0"/>
    </font>
    <font>
      <b/>
      <sz val="11"/>
      <color indexed="13"/>
      <name val="Arial"/>
      <family val="2"/>
      <charset val="0"/>
    </font>
    <font>
      <b/>
      <sz val="11"/>
      <name val="Calibri"/>
      <family val="2"/>
      <charset val="0"/>
    </font>
    <font>
      <sz val="11"/>
      <color indexed="10"/>
      <name val="Arial"/>
      <family val="2"/>
      <charset val="0"/>
    </font>
  </fonts>
  <fills count="3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0" fillId="4" borderId="15"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16" applyNumberFormat="0" applyFill="0" applyAlignment="0" applyProtection="0"/>
    <xf numFmtId="0" fontId="14" fillId="0" borderId="17" applyNumberFormat="0" applyFill="0" applyAlignment="0" applyProtection="0"/>
    <xf numFmtId="0" fontId="15" fillId="0" borderId="18" applyNumberFormat="0" applyFill="0" applyAlignment="0" applyProtection="0"/>
    <xf numFmtId="0" fontId="15" fillId="0" borderId="0" applyNumberFormat="0" applyFill="0" applyBorder="0" applyAlignment="0" applyProtection="0"/>
    <xf numFmtId="0" fontId="16" fillId="5" borderId="19" applyNumberFormat="0" applyAlignment="0" applyProtection="0"/>
    <xf numFmtId="0" fontId="17" fillId="6" borderId="20" applyNumberFormat="0" applyAlignment="0" applyProtection="0"/>
    <xf numFmtId="0" fontId="18" fillId="6" borderId="19" applyNumberFormat="0" applyAlignment="0" applyProtection="0"/>
    <xf numFmtId="0" fontId="19" fillId="7" borderId="21" applyNumberFormat="0" applyAlignment="0" applyProtection="0"/>
    <xf numFmtId="0" fontId="20" fillId="0" borderId="22" applyNumberFormat="0" applyFill="0" applyAlignment="0" applyProtection="0"/>
    <xf numFmtId="0" fontId="21" fillId="0" borderId="23" applyNumberFormat="0" applyFill="0" applyAlignment="0" applyProtection="0"/>
    <xf numFmtId="0" fontId="22" fillId="8" borderId="0" applyNumberFormat="0" applyBorder="0" applyAlignment="0" applyProtection="0"/>
    <xf numFmtId="0" fontId="23" fillId="9" borderId="0" applyNumberFormat="0" applyBorder="0" applyAlignment="0" applyProtection="0"/>
    <xf numFmtId="0" fontId="24" fillId="10" borderId="0" applyNumberFormat="0" applyBorder="0" applyAlignment="0" applyProtection="0"/>
    <xf numFmtId="0" fontId="7"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xf numFmtId="0" fontId="7" fillId="34" borderId="0" applyNumberFormat="0" applyBorder="0" applyAlignment="0" applyProtection="0"/>
    <xf numFmtId="0" fontId="25" fillId="0" borderId="0">
      <alignment vertical="center"/>
    </xf>
  </cellStyleXfs>
  <cellXfs count="89">
    <xf numFmtId="0" fontId="0" fillId="0" borderId="0" xfId="0"/>
    <xf numFmtId="0" fontId="0" fillId="0" borderId="0" xfId="0" applyProtection="1"/>
    <xf numFmtId="0" fontId="0" fillId="0" borderId="0" xfId="0" applyFont="1"/>
    <xf numFmtId="0" fontId="1" fillId="2" borderId="1" xfId="0" applyFont="1" applyFill="1" applyBorder="1" applyAlignment="1" applyProtection="1">
      <alignment horizontal="center" vertical="top" wrapText="1"/>
    </xf>
    <xf numFmtId="0" fontId="1" fillId="2" borderId="2" xfId="0" applyFont="1" applyFill="1" applyBorder="1" applyAlignment="1" applyProtection="1">
      <alignment horizontal="center" vertical="top" wrapText="1"/>
    </xf>
    <xf numFmtId="49" fontId="1" fillId="2" borderId="1" xfId="49" applyNumberFormat="1" applyFont="1" applyFill="1" applyBorder="1" applyAlignment="1" applyProtection="1">
      <alignment horizontal="left" vertical="center"/>
    </xf>
    <xf numFmtId="176" fontId="2" fillId="3" borderId="3" xfId="1" applyNumberFormat="1" applyFont="1" applyFill="1" applyBorder="1" applyAlignment="1" applyProtection="1">
      <alignment horizontal="center" vertical="center"/>
    </xf>
    <xf numFmtId="176" fontId="2" fillId="3" borderId="4" xfId="1" applyNumberFormat="1" applyFont="1" applyFill="1" applyBorder="1" applyAlignment="1" applyProtection="1">
      <alignment horizontal="center" vertical="center"/>
    </xf>
    <xf numFmtId="0" fontId="2" fillId="3" borderId="5" xfId="0" applyFont="1" applyFill="1" applyBorder="1" applyAlignment="1" applyProtection="1">
      <alignment horizontal="center"/>
    </xf>
    <xf numFmtId="0" fontId="2" fillId="3" borderId="6" xfId="0" applyFont="1" applyFill="1" applyBorder="1" applyAlignment="1" applyProtection="1">
      <alignment horizontal="center"/>
    </xf>
    <xf numFmtId="0" fontId="2" fillId="3" borderId="7" xfId="0" applyFont="1" applyFill="1" applyBorder="1" applyAlignment="1" applyProtection="1">
      <alignment horizontal="center"/>
    </xf>
    <xf numFmtId="0" fontId="2" fillId="3" borderId="0" xfId="0" applyFont="1" applyFill="1" applyBorder="1" applyAlignment="1" applyProtection="1">
      <alignment horizontal="center"/>
    </xf>
    <xf numFmtId="49" fontId="1" fillId="2" borderId="2" xfId="49" applyNumberFormat="1" applyFont="1" applyFill="1" applyBorder="1" applyAlignment="1" applyProtection="1">
      <alignment horizontal="left" vertical="center"/>
    </xf>
    <xf numFmtId="176" fontId="2" fillId="3" borderId="5" xfId="1" applyNumberFormat="1" applyFont="1" applyFill="1" applyBorder="1" applyAlignment="1" applyProtection="1">
      <alignment horizontal="center" vertical="center"/>
    </xf>
    <xf numFmtId="176" fontId="2" fillId="3" borderId="6" xfId="1" applyNumberFormat="1" applyFont="1" applyFill="1" applyBorder="1" applyAlignment="1" applyProtection="1">
      <alignment horizontal="center" vertical="center"/>
    </xf>
    <xf numFmtId="49" fontId="1" fillId="3" borderId="3" xfId="49" applyNumberFormat="1" applyFont="1" applyFill="1" applyBorder="1" applyAlignment="1" applyProtection="1">
      <alignment horizontal="left" vertical="center"/>
    </xf>
    <xf numFmtId="176" fontId="2" fillId="3" borderId="4" xfId="1" applyNumberFormat="1" applyFont="1" applyFill="1" applyBorder="1" applyAlignment="1" applyProtection="1">
      <alignment vertical="center"/>
    </xf>
    <xf numFmtId="176" fontId="2" fillId="3" borderId="4" xfId="1" applyNumberFormat="1" applyFont="1" applyFill="1" applyBorder="1" applyAlignment="1" applyProtection="1">
      <alignment vertical="center" wrapText="1"/>
    </xf>
    <xf numFmtId="0" fontId="1" fillId="2" borderId="8" xfId="0" applyFont="1" applyFill="1" applyBorder="1" applyAlignment="1" applyProtection="1">
      <alignment horizontal="center" vertical="center"/>
    </xf>
    <xf numFmtId="176" fontId="1" fillId="2" borderId="7" xfId="1" applyNumberFormat="1" applyFont="1" applyFill="1" applyBorder="1" applyAlignment="1" applyProtection="1">
      <alignment horizontal="center" vertical="center" wrapText="1"/>
    </xf>
    <xf numFmtId="176" fontId="1" fillId="2" borderId="9" xfId="1" applyNumberFormat="1" applyFont="1" applyFill="1" applyBorder="1" applyAlignment="1" applyProtection="1">
      <alignment horizontal="center" vertical="center" wrapText="1"/>
    </xf>
    <xf numFmtId="176" fontId="1" fillId="2" borderId="8" xfId="1"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xf>
    <xf numFmtId="176" fontId="1" fillId="2" borderId="10" xfId="1" applyNumberFormat="1" applyFont="1" applyFill="1" applyBorder="1" applyAlignment="1" applyProtection="1">
      <alignment horizontal="center" vertical="center" wrapText="1"/>
    </xf>
    <xf numFmtId="176" fontId="1" fillId="2" borderId="11" xfId="1" applyNumberFormat="1" applyFont="1" applyFill="1" applyBorder="1" applyAlignment="1" applyProtection="1">
      <alignment horizontal="center" vertical="center" wrapText="1"/>
    </xf>
    <xf numFmtId="176" fontId="1" fillId="2" borderId="1" xfId="1" applyNumberFormat="1" applyFont="1" applyFill="1" applyBorder="1" applyAlignment="1" applyProtection="1">
      <alignment horizontal="center" vertical="center" wrapText="1"/>
    </xf>
    <xf numFmtId="0" fontId="1" fillId="2" borderId="1" xfId="49" applyNumberFormat="1" applyFont="1" applyFill="1" applyBorder="1" applyAlignment="1" applyProtection="1">
      <alignment horizontal="right" vertical="center" wrapText="1"/>
    </xf>
    <xf numFmtId="0" fontId="1" fillId="2" borderId="1" xfId="49" applyFont="1" applyFill="1" applyBorder="1" applyAlignment="1" applyProtection="1">
      <alignment horizontal="left" vertical="center"/>
    </xf>
    <xf numFmtId="2" fontId="1" fillId="2" borderId="1" xfId="1" applyNumberFormat="1" applyFont="1" applyFill="1" applyBorder="1" applyAlignment="1" applyProtection="1">
      <alignment horizontal="right" vertical="center" wrapText="1"/>
    </xf>
    <xf numFmtId="49" fontId="2" fillId="3" borderId="1" xfId="49" applyNumberFormat="1" applyFont="1" applyFill="1" applyBorder="1" applyAlignment="1" applyProtection="1">
      <alignment horizontal="right" vertical="center" wrapText="1"/>
    </xf>
    <xf numFmtId="0" fontId="2" fillId="3" borderId="1" xfId="49" applyFont="1" applyFill="1" applyBorder="1" applyAlignment="1" applyProtection="1">
      <alignment horizontal="left" vertical="center" wrapText="1"/>
    </xf>
    <xf numFmtId="1" fontId="2" fillId="3" borderId="1" xfId="1" applyNumberFormat="1" applyFont="1" applyFill="1" applyBorder="1" applyAlignment="1" applyProtection="1">
      <alignment horizontal="right" vertical="center" wrapText="1"/>
      <protection locked="0"/>
    </xf>
    <xf numFmtId="0" fontId="2" fillId="3" borderId="1" xfId="49" applyFont="1" applyFill="1" applyBorder="1" applyAlignment="1" applyProtection="1">
      <alignment vertical="center" wrapText="1"/>
    </xf>
    <xf numFmtId="0" fontId="1" fillId="2" borderId="1" xfId="49" applyFont="1" applyFill="1" applyBorder="1" applyAlignment="1" applyProtection="1">
      <alignment vertical="center" wrapText="1"/>
    </xf>
    <xf numFmtId="0" fontId="2" fillId="3" borderId="1" xfId="49" applyNumberFormat="1" applyFont="1" applyFill="1" applyBorder="1" applyAlignment="1" applyProtection="1">
      <alignment horizontal="right" vertical="center" wrapText="1"/>
    </xf>
    <xf numFmtId="176" fontId="1" fillId="2" borderId="1" xfId="1" applyNumberFormat="1" applyFont="1" applyFill="1" applyBorder="1" applyAlignment="1" applyProtection="1">
      <alignment horizontal="right" vertical="center" wrapText="1"/>
    </xf>
    <xf numFmtId="1" fontId="2" fillId="2" borderId="1" xfId="1" applyNumberFormat="1" applyFont="1" applyFill="1" applyBorder="1" applyAlignment="1" applyProtection="1">
      <alignment horizontal="right" vertical="center" wrapText="1"/>
    </xf>
    <xf numFmtId="0" fontId="3" fillId="3" borderId="6" xfId="0" applyFont="1" applyFill="1" applyBorder="1" applyAlignment="1" applyProtection="1">
      <alignment horizontal="center"/>
    </xf>
    <xf numFmtId="0" fontId="3" fillId="3" borderId="12" xfId="0" applyFont="1" applyFill="1" applyBorder="1" applyAlignment="1" applyProtection="1">
      <alignment horizontal="center"/>
    </xf>
    <xf numFmtId="0" fontId="3" fillId="3" borderId="0" xfId="0" applyFont="1" applyFill="1" applyBorder="1" applyAlignment="1" applyProtection="1">
      <alignment horizontal="center"/>
    </xf>
    <xf numFmtId="0" fontId="3" fillId="3" borderId="9" xfId="0" applyFont="1" applyFill="1" applyBorder="1" applyAlignment="1" applyProtection="1">
      <alignment horizontal="center"/>
    </xf>
    <xf numFmtId="176" fontId="2" fillId="3" borderId="13" xfId="1" applyNumberFormat="1" applyFont="1" applyFill="1" applyBorder="1" applyAlignment="1" applyProtection="1">
      <alignment vertical="center" wrapText="1"/>
    </xf>
    <xf numFmtId="176" fontId="4" fillId="3" borderId="6" xfId="1" applyNumberFormat="1" applyFont="1" applyFill="1" applyBorder="1" applyAlignment="1" applyProtection="1">
      <alignment vertical="center" wrapText="1"/>
    </xf>
    <xf numFmtId="176" fontId="4" fillId="3" borderId="12" xfId="1" applyNumberFormat="1" applyFont="1" applyFill="1" applyBorder="1" applyAlignment="1" applyProtection="1">
      <alignment vertical="center" wrapText="1"/>
    </xf>
    <xf numFmtId="0" fontId="5" fillId="2" borderId="1" xfId="0" applyFont="1" applyFill="1" applyBorder="1" applyAlignment="1" applyProtection="1">
      <alignment horizontal="center" vertical="center"/>
    </xf>
    <xf numFmtId="0" fontId="6" fillId="3" borderId="0" xfId="0" applyFont="1" applyFill="1" applyBorder="1" applyAlignment="1" applyProtection="1">
      <alignment horizontal="center" vertical="center"/>
    </xf>
    <xf numFmtId="0" fontId="6" fillId="3" borderId="9" xfId="0" applyFont="1" applyFill="1" applyBorder="1" applyAlignment="1" applyProtection="1">
      <alignment horizontal="center" vertical="center"/>
    </xf>
    <xf numFmtId="176" fontId="6" fillId="3" borderId="0" xfId="1" applyNumberFormat="1" applyFont="1" applyFill="1" applyBorder="1" applyAlignment="1" applyProtection="1">
      <alignment horizontal="center" vertical="center" wrapText="1"/>
    </xf>
    <xf numFmtId="176" fontId="6" fillId="3" borderId="9" xfId="1" applyNumberFormat="1" applyFont="1" applyFill="1" applyBorder="1" applyAlignment="1" applyProtection="1">
      <alignment horizontal="center" vertical="center" wrapText="1"/>
    </xf>
    <xf numFmtId="2" fontId="6" fillId="3" borderId="0" xfId="1" applyNumberFormat="1" applyFont="1" applyFill="1" applyBorder="1" applyAlignment="1" applyProtection="1">
      <alignment horizontal="right" vertical="center" wrapText="1"/>
    </xf>
    <xf numFmtId="2" fontId="6" fillId="3" borderId="9" xfId="1" applyNumberFormat="1" applyFont="1" applyFill="1" applyBorder="1" applyAlignment="1" applyProtection="1">
      <alignment horizontal="right" vertical="center" wrapText="1"/>
    </xf>
    <xf numFmtId="1" fontId="4" fillId="3" borderId="0" xfId="1" applyNumberFormat="1" applyFont="1" applyFill="1" applyBorder="1" applyAlignment="1" applyProtection="1">
      <alignment horizontal="right" vertical="center" wrapText="1"/>
    </xf>
    <xf numFmtId="1" fontId="4" fillId="3" borderId="9" xfId="1" applyNumberFormat="1" applyFont="1" applyFill="1" applyBorder="1" applyAlignment="1" applyProtection="1">
      <alignment horizontal="right" vertical="center" wrapText="1"/>
    </xf>
    <xf numFmtId="0" fontId="4" fillId="3" borderId="1" xfId="49" applyNumberFormat="1" applyFont="1" applyFill="1" applyBorder="1" applyAlignment="1" applyProtection="1">
      <alignment horizontal="right" vertical="center" wrapText="1"/>
    </xf>
    <xf numFmtId="0" fontId="6" fillId="3" borderId="1" xfId="49" applyFont="1" applyFill="1" applyBorder="1" applyAlignment="1" applyProtection="1">
      <alignment horizontal="left" vertical="center"/>
    </xf>
    <xf numFmtId="1" fontId="4" fillId="3" borderId="1" xfId="1" applyNumberFormat="1" applyFont="1" applyFill="1" applyBorder="1" applyAlignment="1" applyProtection="1">
      <alignment horizontal="right" vertical="center" wrapText="1"/>
    </xf>
    <xf numFmtId="0" fontId="2" fillId="3" borderId="1" xfId="49" applyFont="1" applyFill="1" applyBorder="1" applyAlignment="1" applyProtection="1">
      <alignment horizontal="left" vertical="center"/>
    </xf>
    <xf numFmtId="0" fontId="2" fillId="3" borderId="2" xfId="49" applyFont="1" applyFill="1" applyBorder="1" applyAlignment="1" applyProtection="1">
      <alignment horizontal="left" vertical="center"/>
    </xf>
    <xf numFmtId="0" fontId="4" fillId="3" borderId="5" xfId="49" applyNumberFormat="1" applyFont="1" applyFill="1" applyBorder="1" applyAlignment="1" applyProtection="1">
      <alignment horizontal="right" vertical="center" wrapText="1"/>
    </xf>
    <xf numFmtId="0" fontId="3" fillId="3" borderId="5" xfId="49" applyNumberFormat="1" applyFont="1" applyFill="1" applyBorder="1" applyAlignment="1" applyProtection="1">
      <alignment horizontal="right" vertical="center" wrapText="1"/>
    </xf>
    <xf numFmtId="0" fontId="5" fillId="3" borderId="6" xfId="49" applyFont="1" applyFill="1" applyBorder="1" applyAlignment="1" applyProtection="1">
      <alignment horizontal="left" vertical="center"/>
    </xf>
    <xf numFmtId="1" fontId="3" fillId="3" borderId="6" xfId="1" applyNumberFormat="1" applyFont="1" applyFill="1" applyBorder="1" applyAlignment="1" applyProtection="1">
      <alignment horizontal="right" vertical="center" wrapText="1"/>
    </xf>
    <xf numFmtId="0" fontId="1" fillId="3" borderId="3" xfId="0" applyFont="1" applyFill="1" applyBorder="1" applyAlignment="1" applyProtection="1"/>
    <xf numFmtId="0" fontId="1" fillId="3" borderId="4" xfId="0" applyFont="1" applyFill="1" applyBorder="1" applyAlignment="1" applyProtection="1"/>
    <xf numFmtId="0" fontId="2" fillId="3" borderId="4" xfId="0" applyFont="1" applyFill="1" applyBorder="1" applyProtection="1"/>
    <xf numFmtId="0" fontId="1" fillId="3" borderId="7" xfId="0" applyFont="1" applyFill="1" applyBorder="1" applyAlignment="1" applyProtection="1"/>
    <xf numFmtId="0" fontId="1" fillId="3" borderId="0" xfId="0" applyFont="1" applyFill="1" applyBorder="1" applyAlignment="1" applyProtection="1"/>
    <xf numFmtId="0" fontId="2" fillId="3" borderId="0" xfId="0" applyFont="1" applyFill="1" applyBorder="1" applyProtection="1"/>
    <xf numFmtId="0" fontId="1" fillId="3" borderId="7" xfId="0" applyFont="1" applyFill="1" applyBorder="1" applyAlignment="1" applyProtection="1">
      <alignment horizontal="left"/>
    </xf>
    <xf numFmtId="0" fontId="1" fillId="3" borderId="10" xfId="0" applyFont="1" applyFill="1" applyBorder="1" applyAlignment="1" applyProtection="1">
      <alignment horizontal="left"/>
    </xf>
    <xf numFmtId="0" fontId="1" fillId="3" borderId="14" xfId="0" applyFont="1" applyFill="1" applyBorder="1" applyAlignment="1" applyProtection="1"/>
    <xf numFmtId="0" fontId="2" fillId="3" borderId="14" xfId="0" applyFont="1" applyFill="1" applyBorder="1" applyProtection="1"/>
    <xf numFmtId="0" fontId="1" fillId="2" borderId="3" xfId="0" applyFont="1" applyFill="1" applyBorder="1" applyAlignment="1" applyProtection="1"/>
    <xf numFmtId="0" fontId="0" fillId="2" borderId="13" xfId="0" applyFill="1" applyBorder="1" applyProtection="1"/>
    <xf numFmtId="0" fontId="1" fillId="0" borderId="3" xfId="0" applyFont="1" applyFill="1" applyBorder="1" applyAlignment="1" applyProtection="1"/>
    <xf numFmtId="0" fontId="1" fillId="0" borderId="4" xfId="0" applyFont="1" applyFill="1" applyBorder="1" applyAlignment="1" applyProtection="1"/>
    <xf numFmtId="0" fontId="0" fillId="0" borderId="4" xfId="0" applyFill="1" applyBorder="1" applyProtection="1"/>
    <xf numFmtId="1" fontId="3" fillId="3" borderId="0" xfId="1" applyNumberFormat="1" applyFont="1" applyFill="1" applyBorder="1" applyAlignment="1" applyProtection="1">
      <alignment horizontal="right" vertical="center" wrapText="1"/>
    </xf>
    <xf numFmtId="1" fontId="3" fillId="3" borderId="12" xfId="1" applyNumberFormat="1" applyFont="1" applyFill="1" applyBorder="1" applyAlignment="1" applyProtection="1">
      <alignment horizontal="right" vertical="center" wrapText="1"/>
    </xf>
    <xf numFmtId="0" fontId="2" fillId="3" borderId="13" xfId="0" applyFont="1" applyFill="1" applyBorder="1" applyProtection="1"/>
    <xf numFmtId="0" fontId="7" fillId="0" borderId="0" xfId="0" applyFont="1" applyBorder="1" applyProtection="1"/>
    <xf numFmtId="0" fontId="7" fillId="0" borderId="9" xfId="0" applyFont="1" applyBorder="1" applyProtection="1"/>
    <xf numFmtId="0" fontId="2" fillId="3" borderId="9" xfId="0" applyFont="1" applyFill="1" applyBorder="1" applyProtection="1"/>
    <xf numFmtId="0" fontId="0" fillId="0" borderId="0" xfId="0" applyFont="1" applyBorder="1" applyProtection="1"/>
    <xf numFmtId="0" fontId="0" fillId="0" borderId="9" xfId="0" applyFont="1" applyBorder="1" applyProtection="1"/>
    <xf numFmtId="0" fontId="2" fillId="3" borderId="11" xfId="0" applyFont="1" applyFill="1" applyBorder="1" applyProtection="1"/>
    <xf numFmtId="0" fontId="1" fillId="0" borderId="13" xfId="0" applyFont="1" applyFill="1" applyBorder="1" applyAlignment="1" applyProtection="1"/>
    <xf numFmtId="0" fontId="5" fillId="0" borderId="4" xfId="0" applyFont="1" applyFill="1" applyBorder="1" applyAlignment="1" applyProtection="1"/>
    <xf numFmtId="0" fontId="5" fillId="0" borderId="13" xfId="0" applyFont="1" applyFill="1" applyBorder="1" applyAlignment="1" applyProtection="1"/>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6" xfId="49"/>
  </cellStyles>
  <tableStyles count="0" defaultTableStyle="TableStyleMedium2" defaultPivotStyle="PivotStyleLight16"/>
  <colors>
    <mruColors>
      <color rgb="00FFFF00"/>
      <color rgb="00FF0000"/>
      <color rgb="00BFBFBF"/>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X96"/>
  <sheetViews>
    <sheetView showGridLines="0" tabSelected="1" zoomScale="60" zoomScaleNormal="60" zoomScaleSheetLayoutView="60" topLeftCell="A4" workbookViewId="0">
      <selection activeCell="D12" sqref="D12"/>
    </sheetView>
  </sheetViews>
  <sheetFormatPr defaultColWidth="0" defaultRowHeight="15" zeroHeight="1"/>
  <cols>
    <col min="1" max="1" width="1.28181818181818" customWidth="1"/>
    <col min="2" max="2" width="9.28181818181818" customWidth="1"/>
    <col min="3" max="3" width="74.7090909090909" customWidth="1"/>
    <col min="4" max="17" width="16.8545454545455" customWidth="1"/>
    <col min="18" max="21" width="17.5727272727273" customWidth="1"/>
    <col min="22" max="24" width="17.5727272727273" style="2" customWidth="1"/>
    <col min="25" max="25" width="9.13636363636364" customWidth="1"/>
    <col min="26" max="16384" width="9.13636363636364" hidden="1"/>
  </cols>
  <sheetData>
    <row r="1" ht="14.5"/>
    <row r="2" ht="14.5" spans="2:24">
      <c r="B2" s="3" t="s">
        <v>0</v>
      </c>
      <c r="C2" s="3"/>
      <c r="D2" s="3"/>
      <c r="E2" s="4"/>
      <c r="F2" s="4"/>
      <c r="G2" s="4"/>
      <c r="H2" s="4"/>
      <c r="I2" s="4"/>
      <c r="J2" s="4"/>
      <c r="K2" s="4"/>
      <c r="L2" s="4"/>
      <c r="M2" s="4"/>
      <c r="N2" s="4"/>
      <c r="O2" s="4"/>
      <c r="P2" s="4"/>
      <c r="Q2" s="4"/>
      <c r="R2" s="4"/>
      <c r="S2" s="4"/>
      <c r="T2" s="4"/>
      <c r="U2" s="4"/>
      <c r="V2" s="4"/>
      <c r="W2" s="4"/>
      <c r="X2" s="4"/>
    </row>
    <row r="3" ht="14.5" spans="2:24">
      <c r="B3" s="5" t="s">
        <v>1</v>
      </c>
      <c r="C3" s="6" t="s">
        <v>2</v>
      </c>
      <c r="D3" s="7"/>
      <c r="E3" s="8"/>
      <c r="F3" s="9"/>
      <c r="G3" s="9"/>
      <c r="H3" s="9"/>
      <c r="I3" s="9"/>
      <c r="J3" s="9"/>
      <c r="K3" s="9"/>
      <c r="L3" s="9"/>
      <c r="M3" s="9"/>
      <c r="N3" s="9"/>
      <c r="O3" s="9"/>
      <c r="P3" s="9"/>
      <c r="Q3" s="9"/>
      <c r="R3" s="9"/>
      <c r="S3" s="9"/>
      <c r="T3" s="9"/>
      <c r="U3" s="9"/>
      <c r="V3" s="37"/>
      <c r="W3" s="37"/>
      <c r="X3" s="38"/>
    </row>
    <row r="4" ht="14.5" spans="2:24">
      <c r="B4" s="5" t="s">
        <v>3</v>
      </c>
      <c r="C4" s="6" t="s">
        <v>4</v>
      </c>
      <c r="D4" s="7"/>
      <c r="E4" s="10"/>
      <c r="F4" s="11"/>
      <c r="G4" s="11"/>
      <c r="H4" s="11"/>
      <c r="I4" s="11"/>
      <c r="J4" s="11"/>
      <c r="K4" s="11"/>
      <c r="L4" s="11"/>
      <c r="M4" s="11"/>
      <c r="N4" s="11"/>
      <c r="O4" s="11"/>
      <c r="P4" s="11"/>
      <c r="Q4" s="11"/>
      <c r="R4" s="11"/>
      <c r="S4" s="11"/>
      <c r="T4" s="11"/>
      <c r="U4" s="11"/>
      <c r="V4" s="39"/>
      <c r="W4" s="39"/>
      <c r="X4" s="40"/>
    </row>
    <row r="5" ht="14.5" spans="2:24">
      <c r="B5" s="12" t="s">
        <v>5</v>
      </c>
      <c r="C5" s="13"/>
      <c r="D5" s="14"/>
      <c r="E5" s="10"/>
      <c r="F5" s="11"/>
      <c r="G5" s="11"/>
      <c r="H5" s="11"/>
      <c r="I5" s="11"/>
      <c r="J5" s="11"/>
      <c r="K5" s="11"/>
      <c r="L5" s="11"/>
      <c r="M5" s="11"/>
      <c r="N5" s="11"/>
      <c r="O5" s="11"/>
      <c r="P5" s="11"/>
      <c r="Q5" s="11"/>
      <c r="R5" s="11"/>
      <c r="S5" s="11"/>
      <c r="T5" s="11"/>
      <c r="U5" s="11"/>
      <c r="V5" s="39"/>
      <c r="W5" s="39"/>
      <c r="X5" s="40"/>
    </row>
    <row r="6" ht="14.5" spans="2:24">
      <c r="B6" s="15"/>
      <c r="C6" s="16"/>
      <c r="D6" s="17"/>
      <c r="E6" s="17"/>
      <c r="F6" s="17"/>
      <c r="G6" s="17"/>
      <c r="H6" s="17"/>
      <c r="I6" s="17"/>
      <c r="J6" s="17"/>
      <c r="K6" s="17"/>
      <c r="L6" s="17"/>
      <c r="M6" s="17"/>
      <c r="N6" s="17"/>
      <c r="O6" s="17"/>
      <c r="P6" s="17"/>
      <c r="Q6" s="17"/>
      <c r="R6" s="17"/>
      <c r="S6" s="17"/>
      <c r="T6" s="17"/>
      <c r="U6" s="41"/>
      <c r="V6" s="42"/>
      <c r="W6" s="42"/>
      <c r="X6" s="43"/>
    </row>
    <row r="7" ht="14.5" spans="2:24">
      <c r="B7" s="18" t="s">
        <v>6</v>
      </c>
      <c r="C7" s="18"/>
      <c r="D7" s="19" t="s">
        <v>7</v>
      </c>
      <c r="E7" s="20"/>
      <c r="F7" s="21" t="s">
        <v>8</v>
      </c>
      <c r="G7" s="21"/>
      <c r="H7" s="21"/>
      <c r="I7" s="21"/>
      <c r="J7" s="21" t="s">
        <v>9</v>
      </c>
      <c r="K7" s="21"/>
      <c r="L7" s="21"/>
      <c r="M7" s="21"/>
      <c r="N7" s="21" t="s">
        <v>10</v>
      </c>
      <c r="O7" s="21"/>
      <c r="P7" s="21"/>
      <c r="Q7" s="21"/>
      <c r="R7" s="44" t="s">
        <v>11</v>
      </c>
      <c r="S7" s="44"/>
      <c r="T7" s="44"/>
      <c r="U7" s="44"/>
      <c r="V7" s="45" t="s">
        <v>12</v>
      </c>
      <c r="W7" s="45"/>
      <c r="X7" s="46"/>
    </row>
    <row r="8" ht="14.5" spans="2:24">
      <c r="B8" s="22"/>
      <c r="C8" s="22"/>
      <c r="D8" s="23"/>
      <c r="E8" s="24"/>
      <c r="F8" s="25" t="s">
        <v>13</v>
      </c>
      <c r="G8" s="25"/>
      <c r="H8" s="25" t="s">
        <v>14</v>
      </c>
      <c r="I8" s="25"/>
      <c r="J8" s="25" t="s">
        <v>13</v>
      </c>
      <c r="K8" s="25"/>
      <c r="L8" s="25" t="s">
        <v>14</v>
      </c>
      <c r="M8" s="25"/>
      <c r="N8" s="25" t="s">
        <v>15</v>
      </c>
      <c r="O8" s="25"/>
      <c r="P8" s="25" t="s">
        <v>16</v>
      </c>
      <c r="Q8" s="25"/>
      <c r="R8" s="44"/>
      <c r="S8" s="44"/>
      <c r="T8" s="44"/>
      <c r="U8" s="44"/>
      <c r="V8" s="45"/>
      <c r="W8" s="45"/>
      <c r="X8" s="46"/>
    </row>
    <row r="9" ht="28.5" spans="2:24">
      <c r="B9" s="22"/>
      <c r="C9" s="22"/>
      <c r="D9" s="25" t="s">
        <v>17</v>
      </c>
      <c r="E9" s="25" t="s">
        <v>18</v>
      </c>
      <c r="F9" s="25" t="s">
        <v>19</v>
      </c>
      <c r="G9" s="25" t="s">
        <v>18</v>
      </c>
      <c r="H9" s="25" t="s">
        <v>20</v>
      </c>
      <c r="I9" s="25" t="s">
        <v>18</v>
      </c>
      <c r="J9" s="25" t="s">
        <v>20</v>
      </c>
      <c r="K9" s="25" t="s">
        <v>18</v>
      </c>
      <c r="L9" s="25" t="s">
        <v>20</v>
      </c>
      <c r="M9" s="25" t="s">
        <v>18</v>
      </c>
      <c r="N9" s="25" t="s">
        <v>20</v>
      </c>
      <c r="O9" s="25" t="s">
        <v>18</v>
      </c>
      <c r="P9" s="25" t="s">
        <v>20</v>
      </c>
      <c r="Q9" s="25" t="s">
        <v>18</v>
      </c>
      <c r="R9" s="25" t="s">
        <v>21</v>
      </c>
      <c r="S9" s="25" t="s">
        <v>22</v>
      </c>
      <c r="T9" s="25" t="s">
        <v>23</v>
      </c>
      <c r="U9" s="25" t="s">
        <v>24</v>
      </c>
      <c r="V9" s="47" t="s">
        <v>25</v>
      </c>
      <c r="W9" s="47" t="s">
        <v>25</v>
      </c>
      <c r="X9" s="48" t="s">
        <v>25</v>
      </c>
    </row>
    <row r="10" ht="14.5" spans="2:24">
      <c r="B10" s="26">
        <v>1</v>
      </c>
      <c r="C10" s="27" t="s">
        <v>26</v>
      </c>
      <c r="D10" s="28">
        <f>SUM(D11,D15)</f>
        <v>0</v>
      </c>
      <c r="E10" s="28">
        <f t="shared" ref="E10:U10" si="0">SUM(E11,E15)</f>
        <v>0</v>
      </c>
      <c r="F10" s="28">
        <f t="shared" si="0"/>
        <v>0</v>
      </c>
      <c r="G10" s="28">
        <f t="shared" si="0"/>
        <v>0</v>
      </c>
      <c r="H10" s="28">
        <f t="shared" si="0"/>
        <v>0</v>
      </c>
      <c r="I10" s="28">
        <f t="shared" si="0"/>
        <v>0</v>
      </c>
      <c r="J10" s="28">
        <f t="shared" si="0"/>
        <v>0</v>
      </c>
      <c r="K10" s="28">
        <f t="shared" si="0"/>
        <v>0</v>
      </c>
      <c r="L10" s="28">
        <f t="shared" si="0"/>
        <v>0</v>
      </c>
      <c r="M10" s="28">
        <f t="shared" si="0"/>
        <v>0</v>
      </c>
      <c r="N10" s="28">
        <f t="shared" si="0"/>
        <v>0</v>
      </c>
      <c r="O10" s="28">
        <f t="shared" si="0"/>
        <v>0</v>
      </c>
      <c r="P10" s="28">
        <f t="shared" si="0"/>
        <v>0</v>
      </c>
      <c r="Q10" s="28">
        <f t="shared" si="0"/>
        <v>0</v>
      </c>
      <c r="R10" s="28">
        <f t="shared" si="0"/>
        <v>0</v>
      </c>
      <c r="S10" s="28">
        <f t="shared" si="0"/>
        <v>0</v>
      </c>
      <c r="T10" s="28">
        <f t="shared" si="0"/>
        <v>0</v>
      </c>
      <c r="U10" s="28">
        <f t="shared" si="0"/>
        <v>0</v>
      </c>
      <c r="V10" s="49">
        <f t="shared" ref="V10:V73" si="1">0</f>
        <v>0</v>
      </c>
      <c r="W10" s="49">
        <f t="shared" ref="W10:W73" si="2">0</f>
        <v>0</v>
      </c>
      <c r="X10" s="50">
        <f t="shared" ref="X10:X73" si="3">0</f>
        <v>0</v>
      </c>
    </row>
    <row r="11" ht="14.5" spans="2:24">
      <c r="B11" s="26">
        <v>1.1</v>
      </c>
      <c r="C11" s="27" t="s">
        <v>27</v>
      </c>
      <c r="D11" s="28">
        <f t="shared" ref="D11:U11" si="4">SUM(D12:D14)</f>
        <v>0</v>
      </c>
      <c r="E11" s="28">
        <f t="shared" si="4"/>
        <v>0</v>
      </c>
      <c r="F11" s="28">
        <f t="shared" si="4"/>
        <v>0</v>
      </c>
      <c r="G11" s="28">
        <f t="shared" si="4"/>
        <v>0</v>
      </c>
      <c r="H11" s="28">
        <f t="shared" si="4"/>
        <v>0</v>
      </c>
      <c r="I11" s="28">
        <f t="shared" si="4"/>
        <v>0</v>
      </c>
      <c r="J11" s="28">
        <f t="shared" si="4"/>
        <v>0</v>
      </c>
      <c r="K11" s="28">
        <f t="shared" si="4"/>
        <v>0</v>
      </c>
      <c r="L11" s="28">
        <f t="shared" si="4"/>
        <v>0</v>
      </c>
      <c r="M11" s="28">
        <f t="shared" si="4"/>
        <v>0</v>
      </c>
      <c r="N11" s="28">
        <f t="shared" si="4"/>
        <v>0</v>
      </c>
      <c r="O11" s="28">
        <f t="shared" si="4"/>
        <v>0</v>
      </c>
      <c r="P11" s="28">
        <f t="shared" si="4"/>
        <v>0</v>
      </c>
      <c r="Q11" s="28">
        <f t="shared" si="4"/>
        <v>0</v>
      </c>
      <c r="R11" s="28">
        <f t="shared" si="4"/>
        <v>0</v>
      </c>
      <c r="S11" s="28">
        <f t="shared" si="4"/>
        <v>0</v>
      </c>
      <c r="T11" s="28">
        <f t="shared" si="4"/>
        <v>0</v>
      </c>
      <c r="U11" s="28">
        <f t="shared" si="4"/>
        <v>0</v>
      </c>
      <c r="V11" s="49">
        <f t="shared" si="1"/>
        <v>0</v>
      </c>
      <c r="W11" s="49">
        <f t="shared" si="2"/>
        <v>0</v>
      </c>
      <c r="X11" s="50">
        <f t="shared" si="3"/>
        <v>0</v>
      </c>
    </row>
    <row r="12" ht="14.5" spans="2:24">
      <c r="B12" s="29" t="s">
        <v>28</v>
      </c>
      <c r="C12" s="30" t="s">
        <v>29</v>
      </c>
      <c r="D12" s="31">
        <v>0</v>
      </c>
      <c r="E12" s="31">
        <v>0</v>
      </c>
      <c r="F12" s="31">
        <v>0</v>
      </c>
      <c r="G12" s="31">
        <v>0</v>
      </c>
      <c r="H12" s="31">
        <v>0</v>
      </c>
      <c r="I12" s="31">
        <v>0</v>
      </c>
      <c r="J12" s="31">
        <v>0</v>
      </c>
      <c r="K12" s="31">
        <v>0</v>
      </c>
      <c r="L12" s="31">
        <v>0</v>
      </c>
      <c r="M12" s="31">
        <v>0</v>
      </c>
      <c r="N12" s="31">
        <v>0</v>
      </c>
      <c r="O12" s="31">
        <v>0</v>
      </c>
      <c r="P12" s="31">
        <v>0</v>
      </c>
      <c r="Q12" s="31">
        <v>0</v>
      </c>
      <c r="R12" s="31">
        <v>0</v>
      </c>
      <c r="S12" s="31">
        <v>0</v>
      </c>
      <c r="T12" s="31">
        <v>0</v>
      </c>
      <c r="U12" s="31">
        <v>0</v>
      </c>
      <c r="V12" s="51">
        <f t="shared" si="1"/>
        <v>0</v>
      </c>
      <c r="W12" s="51">
        <f t="shared" si="2"/>
        <v>0</v>
      </c>
      <c r="X12" s="52">
        <f t="shared" si="3"/>
        <v>0</v>
      </c>
    </row>
    <row r="13" ht="14.5" spans="2:24">
      <c r="B13" s="29" t="s">
        <v>30</v>
      </c>
      <c r="C13" s="30" t="s">
        <v>31</v>
      </c>
      <c r="D13" s="31">
        <v>0</v>
      </c>
      <c r="E13" s="31">
        <v>0</v>
      </c>
      <c r="F13" s="31">
        <v>0</v>
      </c>
      <c r="G13" s="31">
        <v>0</v>
      </c>
      <c r="H13" s="31">
        <v>0</v>
      </c>
      <c r="I13" s="31">
        <v>0</v>
      </c>
      <c r="J13" s="31">
        <v>0</v>
      </c>
      <c r="K13" s="31">
        <v>0</v>
      </c>
      <c r="L13" s="31">
        <v>0</v>
      </c>
      <c r="M13" s="31">
        <v>0</v>
      </c>
      <c r="N13" s="31">
        <v>0</v>
      </c>
      <c r="O13" s="31">
        <v>0</v>
      </c>
      <c r="P13" s="31">
        <v>0</v>
      </c>
      <c r="Q13" s="31">
        <v>0</v>
      </c>
      <c r="R13" s="31">
        <v>0</v>
      </c>
      <c r="S13" s="31">
        <v>0</v>
      </c>
      <c r="T13" s="31">
        <v>0</v>
      </c>
      <c r="U13" s="31">
        <v>0</v>
      </c>
      <c r="V13" s="51">
        <f t="shared" si="1"/>
        <v>0</v>
      </c>
      <c r="W13" s="51">
        <f t="shared" si="2"/>
        <v>0</v>
      </c>
      <c r="X13" s="52">
        <f t="shared" si="3"/>
        <v>0</v>
      </c>
    </row>
    <row r="14" ht="14.5" spans="2:24">
      <c r="B14" s="29" t="s">
        <v>32</v>
      </c>
      <c r="C14" s="30" t="s">
        <v>33</v>
      </c>
      <c r="D14" s="31">
        <v>0</v>
      </c>
      <c r="E14" s="31">
        <v>0</v>
      </c>
      <c r="F14" s="31">
        <v>0</v>
      </c>
      <c r="G14" s="31">
        <v>0</v>
      </c>
      <c r="H14" s="31">
        <v>0</v>
      </c>
      <c r="I14" s="31">
        <v>0</v>
      </c>
      <c r="J14" s="31">
        <v>0</v>
      </c>
      <c r="K14" s="31">
        <v>0</v>
      </c>
      <c r="L14" s="31">
        <v>0</v>
      </c>
      <c r="M14" s="31">
        <v>0</v>
      </c>
      <c r="N14" s="31">
        <v>0</v>
      </c>
      <c r="O14" s="31">
        <v>0</v>
      </c>
      <c r="P14" s="31">
        <v>0</v>
      </c>
      <c r="Q14" s="31">
        <v>0</v>
      </c>
      <c r="R14" s="31">
        <v>0</v>
      </c>
      <c r="S14" s="31">
        <v>0</v>
      </c>
      <c r="T14" s="31">
        <v>0</v>
      </c>
      <c r="U14" s="31">
        <v>0</v>
      </c>
      <c r="V14" s="51">
        <f t="shared" si="1"/>
        <v>0</v>
      </c>
      <c r="W14" s="51">
        <f t="shared" si="2"/>
        <v>0</v>
      </c>
      <c r="X14" s="52">
        <f t="shared" si="3"/>
        <v>0</v>
      </c>
    </row>
    <row r="15" ht="14.5" spans="2:24">
      <c r="B15" s="26">
        <v>1.2</v>
      </c>
      <c r="C15" s="27" t="s">
        <v>34</v>
      </c>
      <c r="D15" s="28">
        <f>SUM(D16:D18)</f>
        <v>0</v>
      </c>
      <c r="E15" s="28">
        <f t="shared" ref="E15:U15" si="5">SUM(E16:E18)</f>
        <v>0</v>
      </c>
      <c r="F15" s="28">
        <f t="shared" si="5"/>
        <v>0</v>
      </c>
      <c r="G15" s="28">
        <f t="shared" si="5"/>
        <v>0</v>
      </c>
      <c r="H15" s="28">
        <f t="shared" si="5"/>
        <v>0</v>
      </c>
      <c r="I15" s="28">
        <f t="shared" si="5"/>
        <v>0</v>
      </c>
      <c r="J15" s="28">
        <f t="shared" si="5"/>
        <v>0</v>
      </c>
      <c r="K15" s="28">
        <f t="shared" si="5"/>
        <v>0</v>
      </c>
      <c r="L15" s="28">
        <f t="shared" si="5"/>
        <v>0</v>
      </c>
      <c r="M15" s="28">
        <f t="shared" si="5"/>
        <v>0</v>
      </c>
      <c r="N15" s="28">
        <f t="shared" si="5"/>
        <v>0</v>
      </c>
      <c r="O15" s="28">
        <f t="shared" si="5"/>
        <v>0</v>
      </c>
      <c r="P15" s="28">
        <f t="shared" si="5"/>
        <v>0</v>
      </c>
      <c r="Q15" s="28">
        <f t="shared" si="5"/>
        <v>0</v>
      </c>
      <c r="R15" s="28">
        <f t="shared" si="5"/>
        <v>0</v>
      </c>
      <c r="S15" s="28">
        <f t="shared" si="5"/>
        <v>0</v>
      </c>
      <c r="T15" s="28">
        <f t="shared" si="5"/>
        <v>0</v>
      </c>
      <c r="U15" s="28">
        <f t="shared" si="5"/>
        <v>0</v>
      </c>
      <c r="V15" s="49">
        <f t="shared" si="1"/>
        <v>0</v>
      </c>
      <c r="W15" s="49">
        <f t="shared" si="2"/>
        <v>0</v>
      </c>
      <c r="X15" s="50">
        <f t="shared" si="3"/>
        <v>0</v>
      </c>
    </row>
    <row r="16" ht="14.5" spans="2:24">
      <c r="B16" s="29" t="s">
        <v>35</v>
      </c>
      <c r="C16" s="30" t="s">
        <v>29</v>
      </c>
      <c r="D16" s="31">
        <v>0</v>
      </c>
      <c r="E16" s="31">
        <v>0</v>
      </c>
      <c r="F16" s="31">
        <v>0</v>
      </c>
      <c r="G16" s="31">
        <v>0</v>
      </c>
      <c r="H16" s="31">
        <v>0</v>
      </c>
      <c r="I16" s="31">
        <v>0</v>
      </c>
      <c r="J16" s="31">
        <v>0</v>
      </c>
      <c r="K16" s="31">
        <v>0</v>
      </c>
      <c r="L16" s="31">
        <v>0</v>
      </c>
      <c r="M16" s="31">
        <v>0</v>
      </c>
      <c r="N16" s="31">
        <v>0</v>
      </c>
      <c r="O16" s="31">
        <v>0</v>
      </c>
      <c r="P16" s="31">
        <v>0</v>
      </c>
      <c r="Q16" s="31">
        <v>0</v>
      </c>
      <c r="R16" s="31">
        <v>0</v>
      </c>
      <c r="S16" s="31">
        <v>0</v>
      </c>
      <c r="T16" s="31">
        <v>0</v>
      </c>
      <c r="U16" s="31">
        <v>0</v>
      </c>
      <c r="V16" s="51">
        <f t="shared" si="1"/>
        <v>0</v>
      </c>
      <c r="W16" s="51">
        <f t="shared" si="2"/>
        <v>0</v>
      </c>
      <c r="X16" s="52">
        <f t="shared" si="3"/>
        <v>0</v>
      </c>
    </row>
    <row r="17" ht="14.5" spans="2:24">
      <c r="B17" s="29" t="s">
        <v>36</v>
      </c>
      <c r="C17" s="30" t="s">
        <v>31</v>
      </c>
      <c r="D17" s="31">
        <v>0</v>
      </c>
      <c r="E17" s="31">
        <v>0</v>
      </c>
      <c r="F17" s="31">
        <v>0</v>
      </c>
      <c r="G17" s="31">
        <v>0</v>
      </c>
      <c r="H17" s="31">
        <v>0</v>
      </c>
      <c r="I17" s="31">
        <v>0</v>
      </c>
      <c r="J17" s="31">
        <v>0</v>
      </c>
      <c r="K17" s="31">
        <v>0</v>
      </c>
      <c r="L17" s="31">
        <v>0</v>
      </c>
      <c r="M17" s="31">
        <v>0</v>
      </c>
      <c r="N17" s="31">
        <v>0</v>
      </c>
      <c r="O17" s="31">
        <v>0</v>
      </c>
      <c r="P17" s="31">
        <v>0</v>
      </c>
      <c r="Q17" s="31">
        <v>0</v>
      </c>
      <c r="R17" s="31">
        <v>0</v>
      </c>
      <c r="S17" s="31">
        <v>0</v>
      </c>
      <c r="T17" s="31">
        <v>0</v>
      </c>
      <c r="U17" s="31">
        <v>0</v>
      </c>
      <c r="V17" s="51">
        <f t="shared" si="1"/>
        <v>0</v>
      </c>
      <c r="W17" s="51">
        <f t="shared" si="2"/>
        <v>0</v>
      </c>
      <c r="X17" s="52">
        <f t="shared" si="3"/>
        <v>0</v>
      </c>
    </row>
    <row r="18" ht="14.5" spans="2:24">
      <c r="B18" s="29" t="s">
        <v>37</v>
      </c>
      <c r="C18" s="30" t="s">
        <v>33</v>
      </c>
      <c r="D18" s="31">
        <v>0</v>
      </c>
      <c r="E18" s="31">
        <v>0</v>
      </c>
      <c r="F18" s="31">
        <v>0</v>
      </c>
      <c r="G18" s="31">
        <v>0</v>
      </c>
      <c r="H18" s="31">
        <v>0</v>
      </c>
      <c r="I18" s="31">
        <v>0</v>
      </c>
      <c r="J18" s="31">
        <v>0</v>
      </c>
      <c r="K18" s="31">
        <v>0</v>
      </c>
      <c r="L18" s="31">
        <v>0</v>
      </c>
      <c r="M18" s="31">
        <v>0</v>
      </c>
      <c r="N18" s="31">
        <v>0</v>
      </c>
      <c r="O18" s="31">
        <v>0</v>
      </c>
      <c r="P18" s="31">
        <v>0</v>
      </c>
      <c r="Q18" s="31">
        <v>0</v>
      </c>
      <c r="R18" s="31">
        <v>0</v>
      </c>
      <c r="S18" s="31">
        <v>0</v>
      </c>
      <c r="T18" s="31">
        <v>0</v>
      </c>
      <c r="U18" s="31">
        <v>0</v>
      </c>
      <c r="V18" s="51">
        <f t="shared" si="1"/>
        <v>0</v>
      </c>
      <c r="W18" s="51">
        <f t="shared" si="2"/>
        <v>0</v>
      </c>
      <c r="X18" s="52">
        <f t="shared" si="3"/>
        <v>0</v>
      </c>
    </row>
    <row r="19" ht="14.5" spans="2:24">
      <c r="B19" s="26">
        <v>2</v>
      </c>
      <c r="C19" s="27" t="s">
        <v>38</v>
      </c>
      <c r="D19" s="28">
        <f>SUM(D20,D31,D42)</f>
        <v>0</v>
      </c>
      <c r="E19" s="28">
        <f t="shared" ref="E19:U19" si="6">SUM(E20,E31,E42)</f>
        <v>0</v>
      </c>
      <c r="F19" s="28">
        <f t="shared" si="6"/>
        <v>0</v>
      </c>
      <c r="G19" s="28">
        <f t="shared" si="6"/>
        <v>0</v>
      </c>
      <c r="H19" s="28">
        <f t="shared" si="6"/>
        <v>0</v>
      </c>
      <c r="I19" s="28">
        <f t="shared" si="6"/>
        <v>0</v>
      </c>
      <c r="J19" s="28">
        <f t="shared" si="6"/>
        <v>0</v>
      </c>
      <c r="K19" s="28">
        <f t="shared" si="6"/>
        <v>0</v>
      </c>
      <c r="L19" s="28">
        <f t="shared" si="6"/>
        <v>0</v>
      </c>
      <c r="M19" s="28">
        <f t="shared" si="6"/>
        <v>0</v>
      </c>
      <c r="N19" s="28">
        <f t="shared" si="6"/>
        <v>0</v>
      </c>
      <c r="O19" s="28">
        <f t="shared" si="6"/>
        <v>0</v>
      </c>
      <c r="P19" s="28">
        <f t="shared" si="6"/>
        <v>0</v>
      </c>
      <c r="Q19" s="28">
        <f t="shared" si="6"/>
        <v>0</v>
      </c>
      <c r="R19" s="28">
        <f t="shared" si="6"/>
        <v>0</v>
      </c>
      <c r="S19" s="28">
        <f t="shared" si="6"/>
        <v>0</v>
      </c>
      <c r="T19" s="28">
        <f t="shared" si="6"/>
        <v>0</v>
      </c>
      <c r="U19" s="28">
        <f t="shared" si="6"/>
        <v>0</v>
      </c>
      <c r="V19" s="49">
        <f t="shared" si="1"/>
        <v>0</v>
      </c>
      <c r="W19" s="49">
        <f t="shared" si="2"/>
        <v>0</v>
      </c>
      <c r="X19" s="50">
        <f t="shared" si="3"/>
        <v>0</v>
      </c>
    </row>
    <row r="20" ht="14.5" spans="2:24">
      <c r="B20" s="26">
        <v>2.1</v>
      </c>
      <c r="C20" s="27" t="s">
        <v>39</v>
      </c>
      <c r="D20" s="28">
        <f>SUM(D21:D30)</f>
        <v>0</v>
      </c>
      <c r="E20" s="28">
        <f t="shared" ref="E20:U20" si="7">SUM(E21:E30)</f>
        <v>0</v>
      </c>
      <c r="F20" s="28">
        <f t="shared" si="7"/>
        <v>0</v>
      </c>
      <c r="G20" s="28">
        <f t="shared" si="7"/>
        <v>0</v>
      </c>
      <c r="H20" s="28">
        <f t="shared" si="7"/>
        <v>0</v>
      </c>
      <c r="I20" s="28">
        <f t="shared" si="7"/>
        <v>0</v>
      </c>
      <c r="J20" s="28">
        <f t="shared" si="7"/>
        <v>0</v>
      </c>
      <c r="K20" s="28">
        <f t="shared" si="7"/>
        <v>0</v>
      </c>
      <c r="L20" s="28">
        <f t="shared" si="7"/>
        <v>0</v>
      </c>
      <c r="M20" s="28">
        <f t="shared" si="7"/>
        <v>0</v>
      </c>
      <c r="N20" s="28">
        <f t="shared" si="7"/>
        <v>0</v>
      </c>
      <c r="O20" s="28">
        <f t="shared" si="7"/>
        <v>0</v>
      </c>
      <c r="P20" s="28">
        <f t="shared" si="7"/>
        <v>0</v>
      </c>
      <c r="Q20" s="28">
        <f t="shared" si="7"/>
        <v>0</v>
      </c>
      <c r="R20" s="28">
        <f t="shared" si="7"/>
        <v>0</v>
      </c>
      <c r="S20" s="28">
        <f t="shared" si="7"/>
        <v>0</v>
      </c>
      <c r="T20" s="28">
        <f t="shared" si="7"/>
        <v>0</v>
      </c>
      <c r="U20" s="28">
        <f t="shared" si="7"/>
        <v>0</v>
      </c>
      <c r="V20" s="49">
        <f t="shared" si="1"/>
        <v>0</v>
      </c>
      <c r="W20" s="49">
        <f t="shared" si="2"/>
        <v>0</v>
      </c>
      <c r="X20" s="50">
        <f t="shared" si="3"/>
        <v>0</v>
      </c>
    </row>
    <row r="21" ht="14.5" spans="2:24">
      <c r="B21" s="29" t="s">
        <v>40</v>
      </c>
      <c r="C21" s="32" t="s">
        <v>41</v>
      </c>
      <c r="D21" s="31">
        <v>0</v>
      </c>
      <c r="E21" s="31">
        <v>0</v>
      </c>
      <c r="F21" s="31">
        <v>0</v>
      </c>
      <c r="G21" s="31">
        <v>0</v>
      </c>
      <c r="H21" s="31">
        <v>0</v>
      </c>
      <c r="I21" s="31">
        <v>0</v>
      </c>
      <c r="J21" s="31">
        <v>0</v>
      </c>
      <c r="K21" s="31">
        <v>0</v>
      </c>
      <c r="L21" s="31">
        <v>0</v>
      </c>
      <c r="M21" s="31">
        <v>0</v>
      </c>
      <c r="N21" s="31">
        <v>0</v>
      </c>
      <c r="O21" s="31">
        <v>0</v>
      </c>
      <c r="P21" s="31">
        <v>0</v>
      </c>
      <c r="Q21" s="31">
        <v>0</v>
      </c>
      <c r="R21" s="31">
        <v>0</v>
      </c>
      <c r="S21" s="31">
        <v>0</v>
      </c>
      <c r="T21" s="31">
        <v>0</v>
      </c>
      <c r="U21" s="31">
        <v>0</v>
      </c>
      <c r="V21" s="51">
        <f t="shared" si="1"/>
        <v>0</v>
      </c>
      <c r="W21" s="51">
        <f t="shared" si="2"/>
        <v>0</v>
      </c>
      <c r="X21" s="52">
        <f t="shared" si="3"/>
        <v>0</v>
      </c>
    </row>
    <row r="22" ht="14.5" spans="2:24">
      <c r="B22" s="29" t="s">
        <v>42</v>
      </c>
      <c r="C22" s="32" t="s">
        <v>43</v>
      </c>
      <c r="D22" s="31">
        <v>0</v>
      </c>
      <c r="E22" s="31">
        <v>0</v>
      </c>
      <c r="F22" s="31">
        <v>0</v>
      </c>
      <c r="G22" s="31">
        <v>0</v>
      </c>
      <c r="H22" s="31">
        <v>0</v>
      </c>
      <c r="I22" s="31">
        <v>0</v>
      </c>
      <c r="J22" s="31">
        <v>0</v>
      </c>
      <c r="K22" s="31">
        <v>0</v>
      </c>
      <c r="L22" s="31">
        <v>0</v>
      </c>
      <c r="M22" s="31">
        <v>0</v>
      </c>
      <c r="N22" s="31">
        <v>0</v>
      </c>
      <c r="O22" s="31">
        <v>0</v>
      </c>
      <c r="P22" s="31">
        <v>0</v>
      </c>
      <c r="Q22" s="31">
        <v>0</v>
      </c>
      <c r="R22" s="31">
        <v>0</v>
      </c>
      <c r="S22" s="31">
        <v>0</v>
      </c>
      <c r="T22" s="31">
        <v>0</v>
      </c>
      <c r="U22" s="31">
        <v>0</v>
      </c>
      <c r="V22" s="51">
        <f t="shared" si="1"/>
        <v>0</v>
      </c>
      <c r="W22" s="51">
        <f t="shared" si="2"/>
        <v>0</v>
      </c>
      <c r="X22" s="52">
        <f t="shared" si="3"/>
        <v>0</v>
      </c>
    </row>
    <row r="23" ht="14.5" spans="2:24">
      <c r="B23" s="29" t="s">
        <v>44</v>
      </c>
      <c r="C23" s="32" t="s">
        <v>45</v>
      </c>
      <c r="D23" s="31">
        <v>0</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0</v>
      </c>
      <c r="V23" s="51">
        <f t="shared" si="1"/>
        <v>0</v>
      </c>
      <c r="W23" s="51">
        <f t="shared" si="2"/>
        <v>0</v>
      </c>
      <c r="X23" s="52">
        <f t="shared" si="3"/>
        <v>0</v>
      </c>
    </row>
    <row r="24" ht="14.5" spans="2:24">
      <c r="B24" s="29" t="s">
        <v>46</v>
      </c>
      <c r="C24" s="32" t="s">
        <v>47</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51">
        <f t="shared" si="1"/>
        <v>0</v>
      </c>
      <c r="W24" s="51">
        <f t="shared" si="2"/>
        <v>0</v>
      </c>
      <c r="X24" s="52">
        <f t="shared" si="3"/>
        <v>0</v>
      </c>
    </row>
    <row r="25" ht="14.5" spans="2:24">
      <c r="B25" s="29" t="s">
        <v>48</v>
      </c>
      <c r="C25" s="32" t="s">
        <v>49</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51">
        <f t="shared" si="1"/>
        <v>0</v>
      </c>
      <c r="W25" s="51">
        <f t="shared" si="2"/>
        <v>0</v>
      </c>
      <c r="X25" s="52">
        <f t="shared" si="3"/>
        <v>0</v>
      </c>
    </row>
    <row r="26" ht="14.5" spans="2:24">
      <c r="B26" s="29" t="s">
        <v>50</v>
      </c>
      <c r="C26" s="32" t="s">
        <v>51</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51">
        <f t="shared" si="1"/>
        <v>0</v>
      </c>
      <c r="W26" s="51">
        <f t="shared" si="2"/>
        <v>0</v>
      </c>
      <c r="X26" s="52">
        <f t="shared" si="3"/>
        <v>0</v>
      </c>
    </row>
    <row r="27" ht="14.5" spans="2:24">
      <c r="B27" s="29" t="s">
        <v>52</v>
      </c>
      <c r="C27" s="32" t="s">
        <v>53</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51">
        <f t="shared" si="1"/>
        <v>0</v>
      </c>
      <c r="W27" s="51">
        <f t="shared" si="2"/>
        <v>0</v>
      </c>
      <c r="X27" s="52">
        <f t="shared" si="3"/>
        <v>0</v>
      </c>
    </row>
    <row r="28" ht="14.5" spans="2:24">
      <c r="B28" s="29" t="s">
        <v>54</v>
      </c>
      <c r="C28" s="32" t="s">
        <v>55</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51">
        <f t="shared" si="1"/>
        <v>0</v>
      </c>
      <c r="W28" s="51">
        <f t="shared" si="2"/>
        <v>0</v>
      </c>
      <c r="X28" s="52">
        <f t="shared" si="3"/>
        <v>0</v>
      </c>
    </row>
    <row r="29" ht="14.5" spans="2:24">
      <c r="B29" s="29" t="s">
        <v>56</v>
      </c>
      <c r="C29" s="32" t="s">
        <v>57</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51">
        <f t="shared" si="1"/>
        <v>0</v>
      </c>
      <c r="W29" s="51">
        <f t="shared" si="2"/>
        <v>0</v>
      </c>
      <c r="X29" s="52">
        <f t="shared" si="3"/>
        <v>0</v>
      </c>
    </row>
    <row r="30" ht="14.5" spans="2:24">
      <c r="B30" s="29" t="s">
        <v>58</v>
      </c>
      <c r="C30" s="32" t="s">
        <v>59</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51">
        <f t="shared" si="1"/>
        <v>0</v>
      </c>
      <c r="W30" s="51">
        <f t="shared" si="2"/>
        <v>0</v>
      </c>
      <c r="X30" s="52">
        <f t="shared" si="3"/>
        <v>0</v>
      </c>
    </row>
    <row r="31" ht="14.5" spans="2:24">
      <c r="B31" s="26">
        <v>2.2</v>
      </c>
      <c r="C31" s="27" t="s">
        <v>34</v>
      </c>
      <c r="D31" s="28">
        <f>SUM(D32:D41)</f>
        <v>0</v>
      </c>
      <c r="E31" s="28">
        <f t="shared" ref="E31:U31" si="8">SUM(E32:E41)</f>
        <v>0</v>
      </c>
      <c r="F31" s="28">
        <f t="shared" si="8"/>
        <v>0</v>
      </c>
      <c r="G31" s="28">
        <f t="shared" si="8"/>
        <v>0</v>
      </c>
      <c r="H31" s="28">
        <f t="shared" si="8"/>
        <v>0</v>
      </c>
      <c r="I31" s="28">
        <f t="shared" si="8"/>
        <v>0</v>
      </c>
      <c r="J31" s="28">
        <f t="shared" si="8"/>
        <v>0</v>
      </c>
      <c r="K31" s="28">
        <f t="shared" si="8"/>
        <v>0</v>
      </c>
      <c r="L31" s="28">
        <f t="shared" si="8"/>
        <v>0</v>
      </c>
      <c r="M31" s="28">
        <f t="shared" si="8"/>
        <v>0</v>
      </c>
      <c r="N31" s="28">
        <f t="shared" si="8"/>
        <v>0</v>
      </c>
      <c r="O31" s="28">
        <f t="shared" si="8"/>
        <v>0</v>
      </c>
      <c r="P31" s="28">
        <f t="shared" si="8"/>
        <v>0</v>
      </c>
      <c r="Q31" s="28">
        <f t="shared" si="8"/>
        <v>0</v>
      </c>
      <c r="R31" s="28">
        <f t="shared" si="8"/>
        <v>0</v>
      </c>
      <c r="S31" s="28">
        <f t="shared" si="8"/>
        <v>0</v>
      </c>
      <c r="T31" s="28">
        <f t="shared" si="8"/>
        <v>0</v>
      </c>
      <c r="U31" s="28">
        <f t="shared" si="8"/>
        <v>0</v>
      </c>
      <c r="V31" s="49">
        <f t="shared" si="1"/>
        <v>0</v>
      </c>
      <c r="W31" s="49">
        <f t="shared" si="2"/>
        <v>0</v>
      </c>
      <c r="X31" s="50">
        <f t="shared" si="3"/>
        <v>0</v>
      </c>
    </row>
    <row r="32" ht="14.5" spans="2:24">
      <c r="B32" s="29" t="s">
        <v>60</v>
      </c>
      <c r="C32" s="30" t="s">
        <v>61</v>
      </c>
      <c r="D32" s="31">
        <v>0</v>
      </c>
      <c r="E32" s="31">
        <v>0</v>
      </c>
      <c r="F32" s="31">
        <v>0</v>
      </c>
      <c r="G32" s="31">
        <v>0</v>
      </c>
      <c r="H32" s="31">
        <v>0</v>
      </c>
      <c r="I32" s="31">
        <v>0</v>
      </c>
      <c r="J32" s="31">
        <v>0</v>
      </c>
      <c r="K32" s="31">
        <v>0</v>
      </c>
      <c r="L32" s="31">
        <v>0</v>
      </c>
      <c r="M32" s="31">
        <v>0</v>
      </c>
      <c r="N32" s="31">
        <v>0</v>
      </c>
      <c r="O32" s="31">
        <v>0</v>
      </c>
      <c r="P32" s="31">
        <v>0</v>
      </c>
      <c r="Q32" s="31">
        <v>0</v>
      </c>
      <c r="R32" s="31">
        <v>0</v>
      </c>
      <c r="S32" s="31">
        <v>0</v>
      </c>
      <c r="T32" s="31">
        <v>0</v>
      </c>
      <c r="U32" s="31">
        <v>0</v>
      </c>
      <c r="V32" s="51">
        <f t="shared" si="1"/>
        <v>0</v>
      </c>
      <c r="W32" s="51">
        <f t="shared" si="2"/>
        <v>0</v>
      </c>
      <c r="X32" s="52">
        <f t="shared" si="3"/>
        <v>0</v>
      </c>
    </row>
    <row r="33" ht="14.5" spans="2:24">
      <c r="B33" s="29" t="s">
        <v>62</v>
      </c>
      <c r="C33" s="32" t="s">
        <v>43</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51">
        <f t="shared" si="1"/>
        <v>0</v>
      </c>
      <c r="W33" s="51">
        <f t="shared" si="2"/>
        <v>0</v>
      </c>
      <c r="X33" s="52">
        <f t="shared" si="3"/>
        <v>0</v>
      </c>
    </row>
    <row r="34" ht="14.5" spans="2:24">
      <c r="B34" s="29" t="s">
        <v>63</v>
      </c>
      <c r="C34" s="32" t="s">
        <v>45</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51">
        <f t="shared" si="1"/>
        <v>0</v>
      </c>
      <c r="W34" s="51">
        <f t="shared" si="2"/>
        <v>0</v>
      </c>
      <c r="X34" s="52">
        <f t="shared" si="3"/>
        <v>0</v>
      </c>
    </row>
    <row r="35" ht="14.5" spans="2:24">
      <c r="B35" s="29" t="s">
        <v>64</v>
      </c>
      <c r="C35" s="32" t="s">
        <v>47</v>
      </c>
      <c r="D35" s="31">
        <v>0</v>
      </c>
      <c r="E35" s="31">
        <v>0</v>
      </c>
      <c r="F35" s="31">
        <v>0</v>
      </c>
      <c r="G35" s="31">
        <v>0</v>
      </c>
      <c r="H35" s="31">
        <v>0</v>
      </c>
      <c r="I35" s="31">
        <v>0</v>
      </c>
      <c r="J35" s="31">
        <v>0</v>
      </c>
      <c r="K35" s="31">
        <v>0</v>
      </c>
      <c r="L35" s="31">
        <v>0</v>
      </c>
      <c r="M35" s="31">
        <v>0</v>
      </c>
      <c r="N35" s="31">
        <v>0</v>
      </c>
      <c r="O35" s="31">
        <v>0</v>
      </c>
      <c r="P35" s="31">
        <v>0</v>
      </c>
      <c r="Q35" s="31">
        <v>0</v>
      </c>
      <c r="R35" s="31">
        <v>0</v>
      </c>
      <c r="S35" s="31">
        <v>0</v>
      </c>
      <c r="T35" s="31">
        <v>0</v>
      </c>
      <c r="U35" s="31">
        <v>0</v>
      </c>
      <c r="V35" s="51">
        <f t="shared" si="1"/>
        <v>0</v>
      </c>
      <c r="W35" s="51">
        <f t="shared" si="2"/>
        <v>0</v>
      </c>
      <c r="X35" s="52">
        <f t="shared" si="3"/>
        <v>0</v>
      </c>
    </row>
    <row r="36" ht="14.5" spans="2:24">
      <c r="B36" s="29" t="s">
        <v>65</v>
      </c>
      <c r="C36" s="32" t="s">
        <v>49</v>
      </c>
      <c r="D36" s="31">
        <v>0</v>
      </c>
      <c r="E36" s="31">
        <v>0</v>
      </c>
      <c r="F36" s="31">
        <v>0</v>
      </c>
      <c r="G36" s="31">
        <v>0</v>
      </c>
      <c r="H36" s="31">
        <v>0</v>
      </c>
      <c r="I36" s="31">
        <v>0</v>
      </c>
      <c r="J36" s="31">
        <v>0</v>
      </c>
      <c r="K36" s="31">
        <v>0</v>
      </c>
      <c r="L36" s="31">
        <v>0</v>
      </c>
      <c r="M36" s="31">
        <v>0</v>
      </c>
      <c r="N36" s="31">
        <v>0</v>
      </c>
      <c r="O36" s="31">
        <v>0</v>
      </c>
      <c r="P36" s="31">
        <v>0</v>
      </c>
      <c r="Q36" s="31">
        <v>0</v>
      </c>
      <c r="R36" s="31">
        <v>0</v>
      </c>
      <c r="S36" s="31">
        <v>0</v>
      </c>
      <c r="T36" s="31">
        <v>0</v>
      </c>
      <c r="U36" s="31">
        <v>0</v>
      </c>
      <c r="V36" s="51">
        <f t="shared" si="1"/>
        <v>0</v>
      </c>
      <c r="W36" s="51">
        <f t="shared" si="2"/>
        <v>0</v>
      </c>
      <c r="X36" s="52">
        <f t="shared" si="3"/>
        <v>0</v>
      </c>
    </row>
    <row r="37" ht="14.5" spans="2:24">
      <c r="B37" s="29" t="s">
        <v>66</v>
      </c>
      <c r="C37" s="32" t="s">
        <v>51</v>
      </c>
      <c r="D37" s="31">
        <v>0</v>
      </c>
      <c r="E37" s="31">
        <v>0</v>
      </c>
      <c r="F37" s="31">
        <v>0</v>
      </c>
      <c r="G37" s="31">
        <v>0</v>
      </c>
      <c r="H37" s="31">
        <v>0</v>
      </c>
      <c r="I37" s="31">
        <v>0</v>
      </c>
      <c r="J37" s="31">
        <v>0</v>
      </c>
      <c r="K37" s="31">
        <v>0</v>
      </c>
      <c r="L37" s="31">
        <v>0</v>
      </c>
      <c r="M37" s="31">
        <v>0</v>
      </c>
      <c r="N37" s="31">
        <v>0</v>
      </c>
      <c r="O37" s="31">
        <v>0</v>
      </c>
      <c r="P37" s="31">
        <v>0</v>
      </c>
      <c r="Q37" s="31">
        <v>0</v>
      </c>
      <c r="R37" s="31">
        <v>0</v>
      </c>
      <c r="S37" s="31">
        <v>0</v>
      </c>
      <c r="T37" s="31">
        <v>0</v>
      </c>
      <c r="U37" s="31">
        <v>0</v>
      </c>
      <c r="V37" s="51">
        <f t="shared" si="1"/>
        <v>0</v>
      </c>
      <c r="W37" s="51">
        <f t="shared" si="2"/>
        <v>0</v>
      </c>
      <c r="X37" s="52">
        <f t="shared" si="3"/>
        <v>0</v>
      </c>
    </row>
    <row r="38" ht="14.5" spans="2:24">
      <c r="B38" s="29" t="s">
        <v>67</v>
      </c>
      <c r="C38" s="32" t="s">
        <v>53</v>
      </c>
      <c r="D38" s="31">
        <v>0</v>
      </c>
      <c r="E38" s="31">
        <v>0</v>
      </c>
      <c r="F38" s="31">
        <v>0</v>
      </c>
      <c r="G38" s="31">
        <v>0</v>
      </c>
      <c r="H38" s="31">
        <v>0</v>
      </c>
      <c r="I38" s="31">
        <v>0</v>
      </c>
      <c r="J38" s="31">
        <v>0</v>
      </c>
      <c r="K38" s="31">
        <v>0</v>
      </c>
      <c r="L38" s="31">
        <v>0</v>
      </c>
      <c r="M38" s="31">
        <v>0</v>
      </c>
      <c r="N38" s="31">
        <v>0</v>
      </c>
      <c r="O38" s="31">
        <v>0</v>
      </c>
      <c r="P38" s="31">
        <v>0</v>
      </c>
      <c r="Q38" s="31">
        <v>0</v>
      </c>
      <c r="R38" s="31">
        <v>0</v>
      </c>
      <c r="S38" s="31">
        <v>0</v>
      </c>
      <c r="T38" s="31">
        <v>0</v>
      </c>
      <c r="U38" s="31">
        <v>0</v>
      </c>
      <c r="V38" s="51">
        <f t="shared" si="1"/>
        <v>0</v>
      </c>
      <c r="W38" s="51">
        <f t="shared" si="2"/>
        <v>0</v>
      </c>
      <c r="X38" s="52">
        <f t="shared" si="3"/>
        <v>0</v>
      </c>
    </row>
    <row r="39" ht="14.5" spans="2:24">
      <c r="B39" s="29" t="s">
        <v>68</v>
      </c>
      <c r="C39" s="32" t="s">
        <v>55</v>
      </c>
      <c r="D39" s="31">
        <v>0</v>
      </c>
      <c r="E39" s="31">
        <v>0</v>
      </c>
      <c r="F39" s="31">
        <v>0</v>
      </c>
      <c r="G39" s="31">
        <v>0</v>
      </c>
      <c r="H39" s="31">
        <v>0</v>
      </c>
      <c r="I39" s="31">
        <v>0</v>
      </c>
      <c r="J39" s="31">
        <v>0</v>
      </c>
      <c r="K39" s="31">
        <v>0</v>
      </c>
      <c r="L39" s="31">
        <v>0</v>
      </c>
      <c r="M39" s="31">
        <v>0</v>
      </c>
      <c r="N39" s="31">
        <v>0</v>
      </c>
      <c r="O39" s="31">
        <v>0</v>
      </c>
      <c r="P39" s="31">
        <v>0</v>
      </c>
      <c r="Q39" s="31">
        <v>0</v>
      </c>
      <c r="R39" s="31">
        <v>0</v>
      </c>
      <c r="S39" s="31">
        <v>0</v>
      </c>
      <c r="T39" s="31">
        <v>0</v>
      </c>
      <c r="U39" s="31">
        <v>0</v>
      </c>
      <c r="V39" s="51">
        <f t="shared" si="1"/>
        <v>0</v>
      </c>
      <c r="W39" s="51">
        <f t="shared" si="2"/>
        <v>0</v>
      </c>
      <c r="X39" s="52">
        <f t="shared" si="3"/>
        <v>0</v>
      </c>
    </row>
    <row r="40" ht="14.5" spans="2:24">
      <c r="B40" s="29" t="s">
        <v>69</v>
      </c>
      <c r="C40" s="32" t="s">
        <v>70</v>
      </c>
      <c r="D40" s="31">
        <v>0</v>
      </c>
      <c r="E40" s="31">
        <v>0</v>
      </c>
      <c r="F40" s="31">
        <v>0</v>
      </c>
      <c r="G40" s="31">
        <v>0</v>
      </c>
      <c r="H40" s="31">
        <v>0</v>
      </c>
      <c r="I40" s="31">
        <v>0</v>
      </c>
      <c r="J40" s="31">
        <v>0</v>
      </c>
      <c r="K40" s="31">
        <v>0</v>
      </c>
      <c r="L40" s="31">
        <v>0</v>
      </c>
      <c r="M40" s="31">
        <v>0</v>
      </c>
      <c r="N40" s="31">
        <v>0</v>
      </c>
      <c r="O40" s="31">
        <v>0</v>
      </c>
      <c r="P40" s="31">
        <v>0</v>
      </c>
      <c r="Q40" s="31">
        <v>0</v>
      </c>
      <c r="R40" s="31">
        <v>0</v>
      </c>
      <c r="S40" s="31">
        <v>0</v>
      </c>
      <c r="T40" s="31">
        <v>0</v>
      </c>
      <c r="U40" s="31">
        <v>0</v>
      </c>
      <c r="V40" s="51">
        <f t="shared" si="1"/>
        <v>0</v>
      </c>
      <c r="W40" s="51">
        <f t="shared" si="2"/>
        <v>0</v>
      </c>
      <c r="X40" s="52">
        <f t="shared" si="3"/>
        <v>0</v>
      </c>
    </row>
    <row r="41" ht="14.5" spans="2:24">
      <c r="B41" s="29" t="s">
        <v>71</v>
      </c>
      <c r="C41" s="32" t="s">
        <v>72</v>
      </c>
      <c r="D41" s="31">
        <v>0</v>
      </c>
      <c r="E41" s="31">
        <v>0</v>
      </c>
      <c r="F41" s="31">
        <v>0</v>
      </c>
      <c r="G41" s="31">
        <v>0</v>
      </c>
      <c r="H41" s="31">
        <v>0</v>
      </c>
      <c r="I41" s="31">
        <v>0</v>
      </c>
      <c r="J41" s="31">
        <v>0</v>
      </c>
      <c r="K41" s="31">
        <v>0</v>
      </c>
      <c r="L41" s="31">
        <v>0</v>
      </c>
      <c r="M41" s="31">
        <v>0</v>
      </c>
      <c r="N41" s="31">
        <v>0</v>
      </c>
      <c r="O41" s="31">
        <v>0</v>
      </c>
      <c r="P41" s="31">
        <v>0</v>
      </c>
      <c r="Q41" s="31">
        <v>0</v>
      </c>
      <c r="R41" s="31">
        <v>0</v>
      </c>
      <c r="S41" s="31">
        <v>0</v>
      </c>
      <c r="T41" s="31">
        <v>0</v>
      </c>
      <c r="U41" s="31">
        <v>0</v>
      </c>
      <c r="V41" s="51">
        <f t="shared" si="1"/>
        <v>0</v>
      </c>
      <c r="W41" s="51">
        <f t="shared" si="2"/>
        <v>0</v>
      </c>
      <c r="X41" s="52">
        <f t="shared" si="3"/>
        <v>0</v>
      </c>
    </row>
    <row r="42" ht="14.5" spans="2:24">
      <c r="B42" s="26">
        <v>2.3</v>
      </c>
      <c r="C42" s="33" t="s">
        <v>73</v>
      </c>
      <c r="D42" s="31">
        <v>0</v>
      </c>
      <c r="E42" s="31">
        <v>0</v>
      </c>
      <c r="F42" s="31">
        <v>0</v>
      </c>
      <c r="G42" s="31">
        <v>0</v>
      </c>
      <c r="H42" s="31">
        <v>0</v>
      </c>
      <c r="I42" s="31">
        <v>0</v>
      </c>
      <c r="J42" s="31">
        <v>0</v>
      </c>
      <c r="K42" s="31">
        <v>0</v>
      </c>
      <c r="L42" s="31">
        <v>0</v>
      </c>
      <c r="M42" s="31">
        <v>0</v>
      </c>
      <c r="N42" s="31">
        <v>0</v>
      </c>
      <c r="O42" s="31">
        <v>0</v>
      </c>
      <c r="P42" s="31">
        <v>0</v>
      </c>
      <c r="Q42" s="31">
        <v>0</v>
      </c>
      <c r="R42" s="31">
        <v>0</v>
      </c>
      <c r="S42" s="31">
        <v>0</v>
      </c>
      <c r="T42" s="31">
        <v>0</v>
      </c>
      <c r="U42" s="31">
        <v>0</v>
      </c>
      <c r="V42" s="51">
        <f t="shared" si="1"/>
        <v>0</v>
      </c>
      <c r="W42" s="51">
        <f t="shared" si="2"/>
        <v>0</v>
      </c>
      <c r="X42" s="52">
        <f t="shared" si="3"/>
        <v>0</v>
      </c>
    </row>
    <row r="43" ht="14.5" spans="2:24">
      <c r="B43" s="26">
        <v>3</v>
      </c>
      <c r="C43" s="27" t="s">
        <v>74</v>
      </c>
      <c r="D43" s="28">
        <f>SUM(D44:D46)</f>
        <v>0</v>
      </c>
      <c r="E43" s="28">
        <f t="shared" ref="E43:U43" si="9">SUM(E44:E46)</f>
        <v>0</v>
      </c>
      <c r="F43" s="28">
        <f t="shared" si="9"/>
        <v>0</v>
      </c>
      <c r="G43" s="28">
        <f t="shared" si="9"/>
        <v>0</v>
      </c>
      <c r="H43" s="28">
        <f t="shared" si="9"/>
        <v>0</v>
      </c>
      <c r="I43" s="28">
        <f t="shared" si="9"/>
        <v>0</v>
      </c>
      <c r="J43" s="28">
        <f t="shared" si="9"/>
        <v>0</v>
      </c>
      <c r="K43" s="28">
        <f t="shared" si="9"/>
        <v>0</v>
      </c>
      <c r="L43" s="28">
        <f t="shared" si="9"/>
        <v>0</v>
      </c>
      <c r="M43" s="28">
        <f t="shared" si="9"/>
        <v>0</v>
      </c>
      <c r="N43" s="28">
        <f t="shared" si="9"/>
        <v>0</v>
      </c>
      <c r="O43" s="28">
        <f t="shared" si="9"/>
        <v>0</v>
      </c>
      <c r="P43" s="28">
        <f t="shared" si="9"/>
        <v>0</v>
      </c>
      <c r="Q43" s="28">
        <f t="shared" si="9"/>
        <v>0</v>
      </c>
      <c r="R43" s="28">
        <f t="shared" si="9"/>
        <v>0</v>
      </c>
      <c r="S43" s="28">
        <f t="shared" si="9"/>
        <v>0</v>
      </c>
      <c r="T43" s="28">
        <f t="shared" si="9"/>
        <v>0</v>
      </c>
      <c r="U43" s="28">
        <f t="shared" si="9"/>
        <v>0</v>
      </c>
      <c r="V43" s="49">
        <f t="shared" si="1"/>
        <v>0</v>
      </c>
      <c r="W43" s="49">
        <f t="shared" si="2"/>
        <v>0</v>
      </c>
      <c r="X43" s="50">
        <f t="shared" si="3"/>
        <v>0</v>
      </c>
    </row>
    <row r="44" ht="14.5" spans="2:24">
      <c r="B44" s="34">
        <v>3.1</v>
      </c>
      <c r="C44" s="32" t="s">
        <v>75</v>
      </c>
      <c r="D44" s="31">
        <v>0</v>
      </c>
      <c r="E44" s="31">
        <v>0</v>
      </c>
      <c r="F44" s="31">
        <v>0</v>
      </c>
      <c r="G44" s="31">
        <v>0</v>
      </c>
      <c r="H44" s="31">
        <v>0</v>
      </c>
      <c r="I44" s="31">
        <v>0</v>
      </c>
      <c r="J44" s="31">
        <v>0</v>
      </c>
      <c r="K44" s="31">
        <v>0</v>
      </c>
      <c r="L44" s="31">
        <v>0</v>
      </c>
      <c r="M44" s="31">
        <v>0</v>
      </c>
      <c r="N44" s="31">
        <v>0</v>
      </c>
      <c r="O44" s="31">
        <v>0</v>
      </c>
      <c r="P44" s="31">
        <v>0</v>
      </c>
      <c r="Q44" s="31">
        <v>0</v>
      </c>
      <c r="R44" s="31">
        <v>0</v>
      </c>
      <c r="S44" s="31">
        <v>0</v>
      </c>
      <c r="T44" s="31">
        <v>0</v>
      </c>
      <c r="U44" s="31">
        <v>0</v>
      </c>
      <c r="V44" s="51">
        <f t="shared" si="1"/>
        <v>0</v>
      </c>
      <c r="W44" s="51">
        <f t="shared" si="2"/>
        <v>0</v>
      </c>
      <c r="X44" s="52">
        <f t="shared" si="3"/>
        <v>0</v>
      </c>
    </row>
    <row r="45" ht="14.5" spans="2:24">
      <c r="B45" s="34">
        <v>3.2</v>
      </c>
      <c r="C45" s="32" t="s">
        <v>76</v>
      </c>
      <c r="D45" s="31">
        <v>0</v>
      </c>
      <c r="E45" s="31">
        <v>0</v>
      </c>
      <c r="F45" s="31">
        <v>0</v>
      </c>
      <c r="G45" s="31">
        <v>0</v>
      </c>
      <c r="H45" s="31">
        <v>0</v>
      </c>
      <c r="I45" s="31">
        <v>0</v>
      </c>
      <c r="J45" s="31">
        <v>0</v>
      </c>
      <c r="K45" s="31">
        <v>0</v>
      </c>
      <c r="L45" s="31">
        <v>0</v>
      </c>
      <c r="M45" s="31">
        <v>0</v>
      </c>
      <c r="N45" s="31">
        <v>0</v>
      </c>
      <c r="O45" s="31">
        <v>0</v>
      </c>
      <c r="P45" s="31">
        <v>0</v>
      </c>
      <c r="Q45" s="31">
        <v>0</v>
      </c>
      <c r="R45" s="31">
        <v>0</v>
      </c>
      <c r="S45" s="31">
        <v>0</v>
      </c>
      <c r="T45" s="31">
        <v>0</v>
      </c>
      <c r="U45" s="31">
        <v>0</v>
      </c>
      <c r="V45" s="51">
        <f t="shared" si="1"/>
        <v>0</v>
      </c>
      <c r="W45" s="51">
        <f t="shared" si="2"/>
        <v>0</v>
      </c>
      <c r="X45" s="52">
        <f t="shared" si="3"/>
        <v>0</v>
      </c>
    </row>
    <row r="46" ht="28" spans="2:24">
      <c r="B46" s="34">
        <v>3.3</v>
      </c>
      <c r="C46" s="32" t="s">
        <v>77</v>
      </c>
      <c r="D46" s="31">
        <v>0</v>
      </c>
      <c r="E46" s="31">
        <v>0</v>
      </c>
      <c r="F46" s="31">
        <v>0</v>
      </c>
      <c r="G46" s="31">
        <v>0</v>
      </c>
      <c r="H46" s="31">
        <v>0</v>
      </c>
      <c r="I46" s="31">
        <v>0</v>
      </c>
      <c r="J46" s="31">
        <v>0</v>
      </c>
      <c r="K46" s="31">
        <v>0</v>
      </c>
      <c r="L46" s="31">
        <v>0</v>
      </c>
      <c r="M46" s="31">
        <v>0</v>
      </c>
      <c r="N46" s="31">
        <v>0</v>
      </c>
      <c r="O46" s="31">
        <v>0</v>
      </c>
      <c r="P46" s="31">
        <v>0</v>
      </c>
      <c r="Q46" s="31">
        <v>0</v>
      </c>
      <c r="R46" s="31">
        <v>0</v>
      </c>
      <c r="S46" s="31">
        <v>0</v>
      </c>
      <c r="T46" s="31">
        <v>0</v>
      </c>
      <c r="U46" s="31">
        <v>0</v>
      </c>
      <c r="V46" s="51">
        <f t="shared" si="1"/>
        <v>0</v>
      </c>
      <c r="W46" s="51">
        <f t="shared" si="2"/>
        <v>0</v>
      </c>
      <c r="X46" s="52">
        <f t="shared" si="3"/>
        <v>0</v>
      </c>
    </row>
    <row r="47" ht="14.5" spans="2:24">
      <c r="B47" s="26">
        <v>4</v>
      </c>
      <c r="C47" s="27" t="s">
        <v>78</v>
      </c>
      <c r="D47" s="28">
        <f>SUM(D48:D49)</f>
        <v>0</v>
      </c>
      <c r="E47" s="28">
        <f t="shared" ref="E47:U47" si="10">SUM(E48:E49)</f>
        <v>0</v>
      </c>
      <c r="F47" s="28">
        <f t="shared" si="10"/>
        <v>0</v>
      </c>
      <c r="G47" s="28">
        <f t="shared" si="10"/>
        <v>0</v>
      </c>
      <c r="H47" s="28">
        <f t="shared" si="10"/>
        <v>0</v>
      </c>
      <c r="I47" s="28">
        <f t="shared" si="10"/>
        <v>0</v>
      </c>
      <c r="J47" s="28">
        <f t="shared" si="10"/>
        <v>0</v>
      </c>
      <c r="K47" s="28">
        <f t="shared" si="10"/>
        <v>0</v>
      </c>
      <c r="L47" s="28">
        <f t="shared" si="10"/>
        <v>0</v>
      </c>
      <c r="M47" s="28">
        <f t="shared" si="10"/>
        <v>0</v>
      </c>
      <c r="N47" s="28">
        <f t="shared" si="10"/>
        <v>0</v>
      </c>
      <c r="O47" s="28">
        <f t="shared" si="10"/>
        <v>0</v>
      </c>
      <c r="P47" s="28">
        <f t="shared" si="10"/>
        <v>0</v>
      </c>
      <c r="Q47" s="28">
        <f t="shared" si="10"/>
        <v>0</v>
      </c>
      <c r="R47" s="28">
        <f t="shared" si="10"/>
        <v>0</v>
      </c>
      <c r="S47" s="28">
        <f t="shared" si="10"/>
        <v>0</v>
      </c>
      <c r="T47" s="28">
        <f t="shared" si="10"/>
        <v>0</v>
      </c>
      <c r="U47" s="28">
        <f t="shared" si="10"/>
        <v>0</v>
      </c>
      <c r="V47" s="49">
        <f t="shared" si="1"/>
        <v>0</v>
      </c>
      <c r="W47" s="49">
        <f t="shared" si="2"/>
        <v>0</v>
      </c>
      <c r="X47" s="50">
        <f t="shared" si="3"/>
        <v>0</v>
      </c>
    </row>
    <row r="48" ht="28" spans="2:24">
      <c r="B48" s="34">
        <v>4.1</v>
      </c>
      <c r="C48" s="32" t="s">
        <v>79</v>
      </c>
      <c r="D48" s="31">
        <v>0</v>
      </c>
      <c r="E48" s="31">
        <v>0</v>
      </c>
      <c r="F48" s="31">
        <v>0</v>
      </c>
      <c r="G48" s="31">
        <v>0</v>
      </c>
      <c r="H48" s="31">
        <v>0</v>
      </c>
      <c r="I48" s="31">
        <v>0</v>
      </c>
      <c r="J48" s="31">
        <v>0</v>
      </c>
      <c r="K48" s="31">
        <v>0</v>
      </c>
      <c r="L48" s="31">
        <v>0</v>
      </c>
      <c r="M48" s="31">
        <v>0</v>
      </c>
      <c r="N48" s="31">
        <v>0</v>
      </c>
      <c r="O48" s="31">
        <v>0</v>
      </c>
      <c r="P48" s="31">
        <v>0</v>
      </c>
      <c r="Q48" s="31">
        <v>0</v>
      </c>
      <c r="R48" s="31">
        <v>0</v>
      </c>
      <c r="S48" s="31">
        <v>0</v>
      </c>
      <c r="T48" s="31">
        <v>0</v>
      </c>
      <c r="U48" s="31">
        <v>0</v>
      </c>
      <c r="V48" s="51">
        <f t="shared" si="1"/>
        <v>0</v>
      </c>
      <c r="W48" s="51">
        <f t="shared" si="2"/>
        <v>0</v>
      </c>
      <c r="X48" s="52">
        <f t="shared" si="3"/>
        <v>0</v>
      </c>
    </row>
    <row r="49" ht="28" spans="2:24">
      <c r="B49" s="34">
        <v>4.2</v>
      </c>
      <c r="C49" s="32" t="s">
        <v>80</v>
      </c>
      <c r="D49" s="31">
        <v>0</v>
      </c>
      <c r="E49" s="31">
        <v>0</v>
      </c>
      <c r="F49" s="31">
        <v>0</v>
      </c>
      <c r="G49" s="31">
        <v>0</v>
      </c>
      <c r="H49" s="31">
        <v>0</v>
      </c>
      <c r="I49" s="31">
        <v>0</v>
      </c>
      <c r="J49" s="31">
        <v>0</v>
      </c>
      <c r="K49" s="31">
        <v>0</v>
      </c>
      <c r="L49" s="31">
        <v>0</v>
      </c>
      <c r="M49" s="31">
        <v>0</v>
      </c>
      <c r="N49" s="31">
        <v>0</v>
      </c>
      <c r="O49" s="31">
        <v>0</v>
      </c>
      <c r="P49" s="31">
        <v>0</v>
      </c>
      <c r="Q49" s="31">
        <v>0</v>
      </c>
      <c r="R49" s="31">
        <v>0</v>
      </c>
      <c r="S49" s="31">
        <v>0</v>
      </c>
      <c r="T49" s="31">
        <v>0</v>
      </c>
      <c r="U49" s="31">
        <v>0</v>
      </c>
      <c r="V49" s="51">
        <f t="shared" si="1"/>
        <v>0</v>
      </c>
      <c r="W49" s="51">
        <f t="shared" si="2"/>
        <v>0</v>
      </c>
      <c r="X49" s="52">
        <f t="shared" si="3"/>
        <v>0</v>
      </c>
    </row>
    <row r="50" ht="14.5" spans="2:24">
      <c r="B50" s="26">
        <v>5</v>
      </c>
      <c r="C50" s="27" t="s">
        <v>81</v>
      </c>
      <c r="D50" s="28">
        <f t="shared" ref="D50:U50" si="11">SUM(D51:D53)</f>
        <v>0</v>
      </c>
      <c r="E50" s="28">
        <f t="shared" si="11"/>
        <v>0</v>
      </c>
      <c r="F50" s="28">
        <f t="shared" si="11"/>
        <v>0</v>
      </c>
      <c r="G50" s="28">
        <f t="shared" si="11"/>
        <v>0</v>
      </c>
      <c r="H50" s="28">
        <f t="shared" si="11"/>
        <v>0</v>
      </c>
      <c r="I50" s="28">
        <f t="shared" si="11"/>
        <v>0</v>
      </c>
      <c r="J50" s="28">
        <f t="shared" si="11"/>
        <v>0</v>
      </c>
      <c r="K50" s="28">
        <f t="shared" si="11"/>
        <v>0</v>
      </c>
      <c r="L50" s="28">
        <f t="shared" si="11"/>
        <v>0</v>
      </c>
      <c r="M50" s="28">
        <f t="shared" si="11"/>
        <v>0</v>
      </c>
      <c r="N50" s="28">
        <f t="shared" si="11"/>
        <v>0</v>
      </c>
      <c r="O50" s="28">
        <f t="shared" si="11"/>
        <v>0</v>
      </c>
      <c r="P50" s="28">
        <f t="shared" si="11"/>
        <v>0</v>
      </c>
      <c r="Q50" s="28">
        <f t="shared" si="11"/>
        <v>0</v>
      </c>
      <c r="R50" s="28">
        <f t="shared" si="11"/>
        <v>0</v>
      </c>
      <c r="S50" s="28">
        <f t="shared" si="11"/>
        <v>0</v>
      </c>
      <c r="T50" s="28">
        <f t="shared" si="11"/>
        <v>0</v>
      </c>
      <c r="U50" s="28">
        <f t="shared" si="11"/>
        <v>0</v>
      </c>
      <c r="V50" s="49">
        <f t="shared" si="1"/>
        <v>0</v>
      </c>
      <c r="W50" s="49">
        <f t="shared" si="2"/>
        <v>0</v>
      </c>
      <c r="X50" s="50">
        <f t="shared" si="3"/>
        <v>0</v>
      </c>
    </row>
    <row r="51" ht="28" spans="2:24">
      <c r="B51" s="34">
        <v>5.1</v>
      </c>
      <c r="C51" s="32" t="s">
        <v>82</v>
      </c>
      <c r="D51" s="31">
        <v>0</v>
      </c>
      <c r="E51" s="31">
        <v>0</v>
      </c>
      <c r="F51" s="31">
        <v>0</v>
      </c>
      <c r="G51" s="31">
        <v>0</v>
      </c>
      <c r="H51" s="31">
        <v>0</v>
      </c>
      <c r="I51" s="31">
        <v>0</v>
      </c>
      <c r="J51" s="31">
        <v>0</v>
      </c>
      <c r="K51" s="31">
        <v>0</v>
      </c>
      <c r="L51" s="31">
        <v>0</v>
      </c>
      <c r="M51" s="31">
        <v>0</v>
      </c>
      <c r="N51" s="31">
        <v>0</v>
      </c>
      <c r="O51" s="31">
        <v>0</v>
      </c>
      <c r="P51" s="31">
        <v>0</v>
      </c>
      <c r="Q51" s="31">
        <v>0</v>
      </c>
      <c r="R51" s="31">
        <v>0</v>
      </c>
      <c r="S51" s="31">
        <v>0</v>
      </c>
      <c r="T51" s="31">
        <v>0</v>
      </c>
      <c r="U51" s="31">
        <v>0</v>
      </c>
      <c r="V51" s="51">
        <f t="shared" si="1"/>
        <v>0</v>
      </c>
      <c r="W51" s="51">
        <f t="shared" si="2"/>
        <v>0</v>
      </c>
      <c r="X51" s="52">
        <f t="shared" si="3"/>
        <v>0</v>
      </c>
    </row>
    <row r="52" ht="14.5" spans="2:24">
      <c r="B52" s="34">
        <v>5.2</v>
      </c>
      <c r="C52" s="32" t="s">
        <v>83</v>
      </c>
      <c r="D52" s="31">
        <v>0</v>
      </c>
      <c r="E52" s="31">
        <v>0</v>
      </c>
      <c r="F52" s="31">
        <v>0</v>
      </c>
      <c r="G52" s="31">
        <v>0</v>
      </c>
      <c r="H52" s="31">
        <v>0</v>
      </c>
      <c r="I52" s="31">
        <v>0</v>
      </c>
      <c r="J52" s="31">
        <v>0</v>
      </c>
      <c r="K52" s="31">
        <v>0</v>
      </c>
      <c r="L52" s="31">
        <v>0</v>
      </c>
      <c r="M52" s="31">
        <v>0</v>
      </c>
      <c r="N52" s="31">
        <v>0</v>
      </c>
      <c r="O52" s="31">
        <v>0</v>
      </c>
      <c r="P52" s="31">
        <v>0</v>
      </c>
      <c r="Q52" s="31">
        <v>0</v>
      </c>
      <c r="R52" s="31">
        <v>0</v>
      </c>
      <c r="S52" s="31">
        <v>0</v>
      </c>
      <c r="T52" s="31">
        <v>0</v>
      </c>
      <c r="U52" s="31">
        <v>0</v>
      </c>
      <c r="V52" s="51">
        <f t="shared" si="1"/>
        <v>0</v>
      </c>
      <c r="W52" s="51">
        <f t="shared" si="2"/>
        <v>0</v>
      </c>
      <c r="X52" s="52">
        <f t="shared" si="3"/>
        <v>0</v>
      </c>
    </row>
    <row r="53" ht="14.5" spans="2:24">
      <c r="B53" s="34">
        <v>5.3</v>
      </c>
      <c r="C53" s="32" t="s">
        <v>84</v>
      </c>
      <c r="D53" s="31">
        <v>0</v>
      </c>
      <c r="E53" s="31">
        <v>0</v>
      </c>
      <c r="F53" s="31">
        <v>0</v>
      </c>
      <c r="G53" s="31">
        <v>0</v>
      </c>
      <c r="H53" s="31">
        <v>0</v>
      </c>
      <c r="I53" s="31">
        <v>0</v>
      </c>
      <c r="J53" s="31">
        <v>0</v>
      </c>
      <c r="K53" s="31">
        <v>0</v>
      </c>
      <c r="L53" s="31">
        <v>0</v>
      </c>
      <c r="M53" s="31">
        <v>0</v>
      </c>
      <c r="N53" s="31">
        <v>0</v>
      </c>
      <c r="O53" s="31">
        <v>0</v>
      </c>
      <c r="P53" s="31">
        <v>0</v>
      </c>
      <c r="Q53" s="31">
        <v>0</v>
      </c>
      <c r="R53" s="31">
        <v>0</v>
      </c>
      <c r="S53" s="31">
        <v>0</v>
      </c>
      <c r="T53" s="31">
        <v>0</v>
      </c>
      <c r="U53" s="31">
        <v>0</v>
      </c>
      <c r="V53" s="51">
        <f t="shared" si="1"/>
        <v>0</v>
      </c>
      <c r="W53" s="51">
        <f t="shared" si="2"/>
        <v>0</v>
      </c>
      <c r="X53" s="52">
        <f t="shared" si="3"/>
        <v>0</v>
      </c>
    </row>
    <row r="54" ht="14.5" spans="2:24">
      <c r="B54" s="26">
        <v>6</v>
      </c>
      <c r="C54" s="27" t="s">
        <v>85</v>
      </c>
      <c r="D54" s="28">
        <f>SUM(D55:D59)</f>
        <v>0</v>
      </c>
      <c r="E54" s="28">
        <f t="shared" ref="E54:K54" si="12">SUM(E55:E59)</f>
        <v>0</v>
      </c>
      <c r="F54" s="28">
        <f t="shared" si="12"/>
        <v>0</v>
      </c>
      <c r="G54" s="28">
        <f t="shared" si="12"/>
        <v>0</v>
      </c>
      <c r="H54" s="28">
        <f t="shared" si="12"/>
        <v>0</v>
      </c>
      <c r="I54" s="28">
        <f t="shared" si="12"/>
        <v>0</v>
      </c>
      <c r="J54" s="28">
        <f t="shared" si="12"/>
        <v>0</v>
      </c>
      <c r="K54" s="28">
        <f t="shared" si="12"/>
        <v>0</v>
      </c>
      <c r="L54" s="28">
        <f t="shared" ref="L54:U54" si="13">SUM(L55:L59)</f>
        <v>0</v>
      </c>
      <c r="M54" s="28">
        <f t="shared" si="13"/>
        <v>0</v>
      </c>
      <c r="N54" s="28">
        <f t="shared" si="13"/>
        <v>0</v>
      </c>
      <c r="O54" s="28">
        <f t="shared" si="13"/>
        <v>0</v>
      </c>
      <c r="P54" s="28">
        <f t="shared" si="13"/>
        <v>0</v>
      </c>
      <c r="Q54" s="28">
        <f t="shared" si="13"/>
        <v>0</v>
      </c>
      <c r="R54" s="28">
        <f t="shared" si="13"/>
        <v>0</v>
      </c>
      <c r="S54" s="28">
        <f t="shared" si="13"/>
        <v>0</v>
      </c>
      <c r="T54" s="28">
        <f t="shared" si="13"/>
        <v>0</v>
      </c>
      <c r="U54" s="28">
        <f t="shared" si="13"/>
        <v>0</v>
      </c>
      <c r="V54" s="49">
        <f t="shared" si="1"/>
        <v>0</v>
      </c>
      <c r="W54" s="49">
        <f t="shared" si="2"/>
        <v>0</v>
      </c>
      <c r="X54" s="50">
        <f t="shared" si="3"/>
        <v>0</v>
      </c>
    </row>
    <row r="55" ht="14.5" spans="2:24">
      <c r="B55" s="34">
        <v>6.1</v>
      </c>
      <c r="C55" s="32" t="s">
        <v>86</v>
      </c>
      <c r="D55" s="31">
        <v>0</v>
      </c>
      <c r="E55" s="31">
        <v>0</v>
      </c>
      <c r="F55" s="31">
        <v>0</v>
      </c>
      <c r="G55" s="31">
        <v>0</v>
      </c>
      <c r="H55" s="31">
        <v>0</v>
      </c>
      <c r="I55" s="31">
        <v>0</v>
      </c>
      <c r="J55" s="31">
        <v>0</v>
      </c>
      <c r="K55" s="31">
        <v>0</v>
      </c>
      <c r="L55" s="31">
        <v>0</v>
      </c>
      <c r="M55" s="31">
        <v>0</v>
      </c>
      <c r="N55" s="31">
        <v>0</v>
      </c>
      <c r="O55" s="31">
        <v>0</v>
      </c>
      <c r="P55" s="31">
        <v>0</v>
      </c>
      <c r="Q55" s="31">
        <v>0</v>
      </c>
      <c r="R55" s="31">
        <v>0</v>
      </c>
      <c r="S55" s="31">
        <v>0</v>
      </c>
      <c r="T55" s="31">
        <v>0</v>
      </c>
      <c r="U55" s="31">
        <v>0</v>
      </c>
      <c r="V55" s="51">
        <f t="shared" si="1"/>
        <v>0</v>
      </c>
      <c r="W55" s="51">
        <f t="shared" si="2"/>
        <v>0</v>
      </c>
      <c r="X55" s="52">
        <f t="shared" si="3"/>
        <v>0</v>
      </c>
    </row>
    <row r="56" ht="14.5" spans="2:24">
      <c r="B56" s="34">
        <v>6.2</v>
      </c>
      <c r="C56" s="30" t="s">
        <v>87</v>
      </c>
      <c r="D56" s="31">
        <v>0</v>
      </c>
      <c r="E56" s="31">
        <v>0</v>
      </c>
      <c r="F56" s="31">
        <v>0</v>
      </c>
      <c r="G56" s="31">
        <v>0</v>
      </c>
      <c r="H56" s="31">
        <v>0</v>
      </c>
      <c r="I56" s="31">
        <v>0</v>
      </c>
      <c r="J56" s="31">
        <v>0</v>
      </c>
      <c r="K56" s="31">
        <v>0</v>
      </c>
      <c r="L56" s="31">
        <v>0</v>
      </c>
      <c r="M56" s="31">
        <v>0</v>
      </c>
      <c r="N56" s="31">
        <v>0</v>
      </c>
      <c r="O56" s="31">
        <v>0</v>
      </c>
      <c r="P56" s="31">
        <v>0</v>
      </c>
      <c r="Q56" s="31">
        <v>0</v>
      </c>
      <c r="R56" s="31">
        <v>0</v>
      </c>
      <c r="S56" s="31">
        <v>0</v>
      </c>
      <c r="T56" s="31">
        <v>0</v>
      </c>
      <c r="U56" s="31">
        <v>0</v>
      </c>
      <c r="V56" s="51">
        <f t="shared" si="1"/>
        <v>0</v>
      </c>
      <c r="W56" s="51">
        <f t="shared" si="2"/>
        <v>0</v>
      </c>
      <c r="X56" s="52">
        <f t="shared" si="3"/>
        <v>0</v>
      </c>
    </row>
    <row r="57" ht="14.5" spans="2:24">
      <c r="B57" s="34">
        <v>6.3</v>
      </c>
      <c r="C57" s="32" t="s">
        <v>88</v>
      </c>
      <c r="D57" s="31">
        <v>0</v>
      </c>
      <c r="E57" s="31">
        <v>0</v>
      </c>
      <c r="F57" s="31">
        <v>0</v>
      </c>
      <c r="G57" s="31">
        <v>0</v>
      </c>
      <c r="H57" s="31">
        <v>0</v>
      </c>
      <c r="I57" s="31">
        <v>0</v>
      </c>
      <c r="J57" s="31">
        <v>0</v>
      </c>
      <c r="K57" s="31">
        <v>0</v>
      </c>
      <c r="L57" s="31">
        <v>0</v>
      </c>
      <c r="M57" s="31">
        <v>0</v>
      </c>
      <c r="N57" s="31">
        <v>0</v>
      </c>
      <c r="O57" s="31">
        <v>0</v>
      </c>
      <c r="P57" s="31">
        <v>0</v>
      </c>
      <c r="Q57" s="31">
        <v>0</v>
      </c>
      <c r="R57" s="31">
        <v>0</v>
      </c>
      <c r="S57" s="31">
        <v>0</v>
      </c>
      <c r="T57" s="31">
        <v>0</v>
      </c>
      <c r="U57" s="31">
        <v>0</v>
      </c>
      <c r="V57" s="51">
        <f t="shared" si="1"/>
        <v>0</v>
      </c>
      <c r="W57" s="51">
        <f t="shared" si="2"/>
        <v>0</v>
      </c>
      <c r="X57" s="52">
        <f t="shared" si="3"/>
        <v>0</v>
      </c>
    </row>
    <row r="58" ht="14.5" spans="2:24">
      <c r="B58" s="34">
        <v>6.4</v>
      </c>
      <c r="C58" s="32" t="s">
        <v>89</v>
      </c>
      <c r="D58" s="31">
        <v>0</v>
      </c>
      <c r="E58" s="31">
        <v>0</v>
      </c>
      <c r="F58" s="31">
        <v>0</v>
      </c>
      <c r="G58" s="31">
        <v>0</v>
      </c>
      <c r="H58" s="31">
        <v>0</v>
      </c>
      <c r="I58" s="31">
        <v>0</v>
      </c>
      <c r="J58" s="31">
        <v>0</v>
      </c>
      <c r="K58" s="31">
        <v>0</v>
      </c>
      <c r="L58" s="31">
        <v>0</v>
      </c>
      <c r="M58" s="31">
        <v>0</v>
      </c>
      <c r="N58" s="31">
        <v>0</v>
      </c>
      <c r="O58" s="31">
        <v>0</v>
      </c>
      <c r="P58" s="31">
        <v>0</v>
      </c>
      <c r="Q58" s="31">
        <v>0</v>
      </c>
      <c r="R58" s="31">
        <v>0</v>
      </c>
      <c r="S58" s="31">
        <v>0</v>
      </c>
      <c r="T58" s="31">
        <v>0</v>
      </c>
      <c r="U58" s="31">
        <v>0</v>
      </c>
      <c r="V58" s="51">
        <f t="shared" si="1"/>
        <v>0</v>
      </c>
      <c r="W58" s="51">
        <f t="shared" si="2"/>
        <v>0</v>
      </c>
      <c r="X58" s="52">
        <f t="shared" si="3"/>
        <v>0</v>
      </c>
    </row>
    <row r="59" ht="28" spans="2:24">
      <c r="B59" s="34">
        <v>6.5</v>
      </c>
      <c r="C59" s="32" t="s">
        <v>90</v>
      </c>
      <c r="D59" s="31">
        <v>0</v>
      </c>
      <c r="E59" s="31">
        <v>0</v>
      </c>
      <c r="F59" s="31">
        <v>0</v>
      </c>
      <c r="G59" s="31">
        <v>0</v>
      </c>
      <c r="H59" s="31">
        <v>0</v>
      </c>
      <c r="I59" s="31">
        <v>0</v>
      </c>
      <c r="J59" s="31">
        <v>0</v>
      </c>
      <c r="K59" s="31">
        <v>0</v>
      </c>
      <c r="L59" s="31">
        <v>0</v>
      </c>
      <c r="M59" s="31">
        <v>0</v>
      </c>
      <c r="N59" s="31">
        <v>0</v>
      </c>
      <c r="O59" s="31">
        <v>0</v>
      </c>
      <c r="P59" s="31">
        <v>0</v>
      </c>
      <c r="Q59" s="31">
        <v>0</v>
      </c>
      <c r="R59" s="31">
        <v>0</v>
      </c>
      <c r="S59" s="31">
        <v>0</v>
      </c>
      <c r="T59" s="31">
        <v>0</v>
      </c>
      <c r="U59" s="31">
        <v>0</v>
      </c>
      <c r="V59" s="51">
        <f t="shared" si="1"/>
        <v>0</v>
      </c>
      <c r="W59" s="51">
        <f t="shared" si="2"/>
        <v>0</v>
      </c>
      <c r="X59" s="52">
        <f t="shared" si="3"/>
        <v>0</v>
      </c>
    </row>
    <row r="60" ht="14.5" spans="2:24">
      <c r="B60" s="26">
        <v>7</v>
      </c>
      <c r="C60" s="27" t="s">
        <v>91</v>
      </c>
      <c r="D60" s="28">
        <f>D10+D19+D43+D47+D50-D54</f>
        <v>0</v>
      </c>
      <c r="E60" s="28">
        <f t="shared" ref="E60:U60" si="14">E10+E19+E43+E47+E50-E54</f>
        <v>0</v>
      </c>
      <c r="F60" s="28">
        <f t="shared" si="14"/>
        <v>0</v>
      </c>
      <c r="G60" s="28">
        <f t="shared" si="14"/>
        <v>0</v>
      </c>
      <c r="H60" s="28">
        <f t="shared" si="14"/>
        <v>0</v>
      </c>
      <c r="I60" s="28">
        <f t="shared" si="14"/>
        <v>0</v>
      </c>
      <c r="J60" s="28">
        <f t="shared" si="14"/>
        <v>0</v>
      </c>
      <c r="K60" s="28">
        <f t="shared" si="14"/>
        <v>0</v>
      </c>
      <c r="L60" s="28">
        <f t="shared" si="14"/>
        <v>0</v>
      </c>
      <c r="M60" s="28">
        <f t="shared" si="14"/>
        <v>0</v>
      </c>
      <c r="N60" s="28">
        <f t="shared" si="14"/>
        <v>0</v>
      </c>
      <c r="O60" s="28">
        <f t="shared" si="14"/>
        <v>0</v>
      </c>
      <c r="P60" s="28">
        <f t="shared" si="14"/>
        <v>0</v>
      </c>
      <c r="Q60" s="28">
        <f t="shared" si="14"/>
        <v>0</v>
      </c>
      <c r="R60" s="28">
        <f t="shared" si="14"/>
        <v>0</v>
      </c>
      <c r="S60" s="28">
        <f t="shared" si="14"/>
        <v>0</v>
      </c>
      <c r="T60" s="28">
        <f t="shared" si="14"/>
        <v>0</v>
      </c>
      <c r="U60" s="28">
        <f t="shared" si="14"/>
        <v>0</v>
      </c>
      <c r="V60" s="49">
        <f t="shared" si="1"/>
        <v>0</v>
      </c>
      <c r="W60" s="49">
        <f t="shared" si="2"/>
        <v>0</v>
      </c>
      <c r="X60" s="50">
        <f t="shared" si="3"/>
        <v>0</v>
      </c>
    </row>
    <row r="61" ht="14.5" spans="2:24">
      <c r="B61" s="26">
        <v>8</v>
      </c>
      <c r="C61" s="27" t="s">
        <v>92</v>
      </c>
      <c r="D61" s="35"/>
      <c r="E61" s="31">
        <v>0</v>
      </c>
      <c r="F61" s="35"/>
      <c r="G61" s="31">
        <v>0</v>
      </c>
      <c r="H61" s="35"/>
      <c r="I61" s="31">
        <v>0</v>
      </c>
      <c r="J61" s="35"/>
      <c r="K61" s="31">
        <v>0</v>
      </c>
      <c r="L61" s="35"/>
      <c r="M61" s="31">
        <v>0</v>
      </c>
      <c r="N61" s="35"/>
      <c r="O61" s="31">
        <v>0</v>
      </c>
      <c r="P61" s="35"/>
      <c r="Q61" s="31">
        <v>0</v>
      </c>
      <c r="R61" s="35"/>
      <c r="S61" s="35"/>
      <c r="T61" s="35"/>
      <c r="U61" s="31">
        <v>0</v>
      </c>
      <c r="V61" s="51">
        <f t="shared" si="1"/>
        <v>0</v>
      </c>
      <c r="W61" s="51">
        <f t="shared" si="2"/>
        <v>0</v>
      </c>
      <c r="X61" s="52">
        <f t="shared" si="3"/>
        <v>0</v>
      </c>
    </row>
    <row r="62" ht="14.5" spans="2:24">
      <c r="B62" s="26">
        <v>9</v>
      </c>
      <c r="C62" s="27" t="s">
        <v>93</v>
      </c>
      <c r="D62" s="31">
        <v>0</v>
      </c>
      <c r="E62" s="36"/>
      <c r="F62" s="31">
        <v>0</v>
      </c>
      <c r="G62" s="36"/>
      <c r="H62" s="31">
        <v>0</v>
      </c>
      <c r="I62" s="36"/>
      <c r="J62" s="31">
        <v>0</v>
      </c>
      <c r="K62" s="36"/>
      <c r="L62" s="31">
        <v>0</v>
      </c>
      <c r="M62" s="36"/>
      <c r="N62" s="31">
        <v>0</v>
      </c>
      <c r="O62" s="36"/>
      <c r="P62" s="31">
        <v>0</v>
      </c>
      <c r="Q62" s="36"/>
      <c r="R62" s="31">
        <v>0</v>
      </c>
      <c r="S62" s="31">
        <v>0</v>
      </c>
      <c r="T62" s="31">
        <v>0</v>
      </c>
      <c r="U62" s="31">
        <v>0</v>
      </c>
      <c r="V62" s="51">
        <f t="shared" si="1"/>
        <v>0</v>
      </c>
      <c r="W62" s="51">
        <f t="shared" si="2"/>
        <v>0</v>
      </c>
      <c r="X62" s="52">
        <f t="shared" si="3"/>
        <v>0</v>
      </c>
    </row>
    <row r="63" ht="14.5" spans="2:24">
      <c r="B63" s="26">
        <v>10</v>
      </c>
      <c r="C63" s="27" t="s">
        <v>94</v>
      </c>
      <c r="D63" s="31">
        <v>0</v>
      </c>
      <c r="E63" s="31">
        <v>0</v>
      </c>
      <c r="F63" s="36"/>
      <c r="G63" s="36"/>
      <c r="H63" s="36"/>
      <c r="I63" s="36"/>
      <c r="J63" s="36"/>
      <c r="K63" s="36"/>
      <c r="L63" s="36"/>
      <c r="M63" s="36"/>
      <c r="N63" s="31">
        <v>0</v>
      </c>
      <c r="O63" s="31">
        <v>0</v>
      </c>
      <c r="P63" s="31">
        <v>0</v>
      </c>
      <c r="Q63" s="31">
        <v>0</v>
      </c>
      <c r="R63" s="31">
        <v>0</v>
      </c>
      <c r="S63" s="31">
        <v>0</v>
      </c>
      <c r="T63" s="31">
        <v>0</v>
      </c>
      <c r="U63" s="31">
        <v>0</v>
      </c>
      <c r="V63" s="51">
        <f t="shared" si="1"/>
        <v>0</v>
      </c>
      <c r="W63" s="51">
        <f t="shared" si="2"/>
        <v>0</v>
      </c>
      <c r="X63" s="52">
        <f t="shared" si="3"/>
        <v>0</v>
      </c>
    </row>
    <row r="64" ht="14.5" spans="2:24">
      <c r="B64" s="26">
        <v>11</v>
      </c>
      <c r="C64" s="27" t="s">
        <v>95</v>
      </c>
      <c r="D64" s="35"/>
      <c r="E64" s="28">
        <f>IF(E61=0,0,E60/E61)</f>
        <v>0</v>
      </c>
      <c r="F64" s="28"/>
      <c r="G64" s="28">
        <f>IF(G61=0,0,G60/G61)</f>
        <v>0</v>
      </c>
      <c r="H64" s="28"/>
      <c r="I64" s="28">
        <f>IF(I61=0,0,I60/I61)</f>
        <v>0</v>
      </c>
      <c r="J64" s="28"/>
      <c r="K64" s="28">
        <f>IF(K61=0,0,K60/K61)</f>
        <v>0</v>
      </c>
      <c r="L64" s="28"/>
      <c r="M64" s="28">
        <f>IF(M61=0,0,M60/M61)</f>
        <v>0</v>
      </c>
      <c r="N64" s="28"/>
      <c r="O64" s="28">
        <f>IF(O61=0,0,O60/O61)</f>
        <v>0</v>
      </c>
      <c r="P64" s="28"/>
      <c r="Q64" s="28">
        <f>IF(Q61=0,0,Q60/Q61)</f>
        <v>0</v>
      </c>
      <c r="R64" s="28">
        <f>0</f>
        <v>0</v>
      </c>
      <c r="S64" s="28">
        <f>0</f>
        <v>0</v>
      </c>
      <c r="T64" s="28">
        <f>0</f>
        <v>0</v>
      </c>
      <c r="U64" s="28">
        <f>0</f>
        <v>0</v>
      </c>
      <c r="V64" s="49">
        <f t="shared" si="1"/>
        <v>0</v>
      </c>
      <c r="W64" s="49">
        <f t="shared" si="2"/>
        <v>0</v>
      </c>
      <c r="X64" s="50">
        <f t="shared" si="3"/>
        <v>0</v>
      </c>
    </row>
    <row r="65" s="1" customFormat="1" ht="14.5" spans="2:24">
      <c r="B65" s="53">
        <v>11.1</v>
      </c>
      <c r="C65" s="54" t="s">
        <v>12</v>
      </c>
      <c r="D65" s="55">
        <f t="shared" ref="D65:U65" si="15">0</f>
        <v>0</v>
      </c>
      <c r="E65" s="55">
        <f t="shared" si="15"/>
        <v>0</v>
      </c>
      <c r="F65" s="55">
        <f t="shared" si="15"/>
        <v>0</v>
      </c>
      <c r="G65" s="55">
        <f t="shared" si="15"/>
        <v>0</v>
      </c>
      <c r="H65" s="55">
        <f t="shared" si="15"/>
        <v>0</v>
      </c>
      <c r="I65" s="55">
        <f t="shared" si="15"/>
        <v>0</v>
      </c>
      <c r="J65" s="55">
        <f t="shared" si="15"/>
        <v>0</v>
      </c>
      <c r="K65" s="55">
        <f t="shared" si="15"/>
        <v>0</v>
      </c>
      <c r="L65" s="55">
        <f t="shared" si="15"/>
        <v>0</v>
      </c>
      <c r="M65" s="55">
        <f t="shared" si="15"/>
        <v>0</v>
      </c>
      <c r="N65" s="55">
        <f t="shared" si="15"/>
        <v>0</v>
      </c>
      <c r="O65" s="55">
        <f t="shared" si="15"/>
        <v>0</v>
      </c>
      <c r="P65" s="55">
        <f t="shared" si="15"/>
        <v>0</v>
      </c>
      <c r="Q65" s="55">
        <f t="shared" si="15"/>
        <v>0</v>
      </c>
      <c r="R65" s="55">
        <f t="shared" si="15"/>
        <v>0</v>
      </c>
      <c r="S65" s="55">
        <f t="shared" si="15"/>
        <v>0</v>
      </c>
      <c r="T65" s="55">
        <f t="shared" si="15"/>
        <v>0</v>
      </c>
      <c r="U65" s="55">
        <f t="shared" si="15"/>
        <v>0</v>
      </c>
      <c r="V65" s="51">
        <f t="shared" si="1"/>
        <v>0</v>
      </c>
      <c r="W65" s="51">
        <f t="shared" si="2"/>
        <v>0</v>
      </c>
      <c r="X65" s="52">
        <f t="shared" si="3"/>
        <v>0</v>
      </c>
    </row>
    <row r="66" s="1" customFormat="1" ht="14.5" spans="2:24">
      <c r="B66" s="53">
        <v>11.2</v>
      </c>
      <c r="C66" s="54" t="s">
        <v>12</v>
      </c>
      <c r="D66" s="55">
        <f t="shared" ref="D66:U66" si="16">0</f>
        <v>0</v>
      </c>
      <c r="E66" s="55">
        <f t="shared" si="16"/>
        <v>0</v>
      </c>
      <c r="F66" s="55">
        <f t="shared" si="16"/>
        <v>0</v>
      </c>
      <c r="G66" s="55">
        <f t="shared" si="16"/>
        <v>0</v>
      </c>
      <c r="H66" s="55">
        <f t="shared" si="16"/>
        <v>0</v>
      </c>
      <c r="I66" s="55">
        <f t="shared" si="16"/>
        <v>0</v>
      </c>
      <c r="J66" s="55">
        <f t="shared" si="16"/>
        <v>0</v>
      </c>
      <c r="K66" s="55">
        <f t="shared" si="16"/>
        <v>0</v>
      </c>
      <c r="L66" s="55">
        <f t="shared" si="16"/>
        <v>0</v>
      </c>
      <c r="M66" s="55">
        <f t="shared" si="16"/>
        <v>0</v>
      </c>
      <c r="N66" s="55">
        <f t="shared" si="16"/>
        <v>0</v>
      </c>
      <c r="O66" s="55">
        <f t="shared" si="16"/>
        <v>0</v>
      </c>
      <c r="P66" s="55">
        <f t="shared" si="16"/>
        <v>0</v>
      </c>
      <c r="Q66" s="55">
        <f t="shared" si="16"/>
        <v>0</v>
      </c>
      <c r="R66" s="55">
        <f t="shared" si="16"/>
        <v>0</v>
      </c>
      <c r="S66" s="55">
        <f t="shared" si="16"/>
        <v>0</v>
      </c>
      <c r="T66" s="55">
        <f t="shared" si="16"/>
        <v>0</v>
      </c>
      <c r="U66" s="55">
        <f t="shared" si="16"/>
        <v>0</v>
      </c>
      <c r="V66" s="51">
        <f t="shared" si="1"/>
        <v>0</v>
      </c>
      <c r="W66" s="51">
        <f t="shared" si="2"/>
        <v>0</v>
      </c>
      <c r="X66" s="52">
        <f t="shared" si="3"/>
        <v>0</v>
      </c>
    </row>
    <row r="67" s="1" customFormat="1" ht="14.5" spans="2:24">
      <c r="B67" s="53">
        <v>11.3</v>
      </c>
      <c r="C67" s="54" t="s">
        <v>12</v>
      </c>
      <c r="D67" s="55">
        <f t="shared" ref="D67:U67" si="17">0</f>
        <v>0</v>
      </c>
      <c r="E67" s="55">
        <f t="shared" si="17"/>
        <v>0</v>
      </c>
      <c r="F67" s="55">
        <f t="shared" si="17"/>
        <v>0</v>
      </c>
      <c r="G67" s="55">
        <f t="shared" si="17"/>
        <v>0</v>
      </c>
      <c r="H67" s="55">
        <f t="shared" si="17"/>
        <v>0</v>
      </c>
      <c r="I67" s="55">
        <f t="shared" si="17"/>
        <v>0</v>
      </c>
      <c r="J67" s="55">
        <f t="shared" si="17"/>
        <v>0</v>
      </c>
      <c r="K67" s="55">
        <f t="shared" si="17"/>
        <v>0</v>
      </c>
      <c r="L67" s="55">
        <f t="shared" si="17"/>
        <v>0</v>
      </c>
      <c r="M67" s="55">
        <f t="shared" si="17"/>
        <v>0</v>
      </c>
      <c r="N67" s="55">
        <f t="shared" si="17"/>
        <v>0</v>
      </c>
      <c r="O67" s="55">
        <f t="shared" si="17"/>
        <v>0</v>
      </c>
      <c r="P67" s="55">
        <f t="shared" si="17"/>
        <v>0</v>
      </c>
      <c r="Q67" s="55">
        <f t="shared" si="17"/>
        <v>0</v>
      </c>
      <c r="R67" s="55">
        <f t="shared" si="17"/>
        <v>0</v>
      </c>
      <c r="S67" s="55">
        <f t="shared" si="17"/>
        <v>0</v>
      </c>
      <c r="T67" s="55">
        <f t="shared" si="17"/>
        <v>0</v>
      </c>
      <c r="U67" s="55">
        <f t="shared" si="17"/>
        <v>0</v>
      </c>
      <c r="V67" s="51">
        <f t="shared" si="1"/>
        <v>0</v>
      </c>
      <c r="W67" s="51">
        <f t="shared" si="2"/>
        <v>0</v>
      </c>
      <c r="X67" s="52">
        <f t="shared" si="3"/>
        <v>0</v>
      </c>
    </row>
    <row r="68" s="1" customFormat="1" ht="14.5" spans="2:24">
      <c r="B68" s="26">
        <v>12</v>
      </c>
      <c r="C68" s="27" t="s">
        <v>96</v>
      </c>
      <c r="D68" s="28">
        <f t="shared" ref="D68:Q68" si="18">SUM(D69:D72)</f>
        <v>0</v>
      </c>
      <c r="E68" s="28">
        <f t="shared" si="18"/>
        <v>0</v>
      </c>
      <c r="F68" s="28">
        <f t="shared" si="18"/>
        <v>0</v>
      </c>
      <c r="G68" s="28">
        <f t="shared" si="18"/>
        <v>0</v>
      </c>
      <c r="H68" s="28">
        <f t="shared" si="18"/>
        <v>0</v>
      </c>
      <c r="I68" s="28">
        <f t="shared" si="18"/>
        <v>0</v>
      </c>
      <c r="J68" s="28">
        <f t="shared" si="18"/>
        <v>0</v>
      </c>
      <c r="K68" s="28">
        <f t="shared" si="18"/>
        <v>0</v>
      </c>
      <c r="L68" s="28">
        <f t="shared" si="18"/>
        <v>0</v>
      </c>
      <c r="M68" s="28">
        <f t="shared" si="18"/>
        <v>0</v>
      </c>
      <c r="N68" s="28">
        <f t="shared" si="18"/>
        <v>0</v>
      </c>
      <c r="O68" s="28">
        <f t="shared" si="18"/>
        <v>0</v>
      </c>
      <c r="P68" s="28">
        <f t="shared" si="18"/>
        <v>0</v>
      </c>
      <c r="Q68" s="28">
        <f t="shared" si="18"/>
        <v>0</v>
      </c>
      <c r="R68" s="28">
        <f>0</f>
        <v>0</v>
      </c>
      <c r="S68" s="28">
        <f>0</f>
        <v>0</v>
      </c>
      <c r="T68" s="28">
        <f>0</f>
        <v>0</v>
      </c>
      <c r="U68" s="28">
        <f>0</f>
        <v>0</v>
      </c>
      <c r="V68" s="49">
        <f t="shared" si="1"/>
        <v>0</v>
      </c>
      <c r="W68" s="49">
        <f t="shared" si="2"/>
        <v>0</v>
      </c>
      <c r="X68" s="50">
        <f t="shared" si="3"/>
        <v>0</v>
      </c>
    </row>
    <row r="69" ht="14.5" spans="2:24">
      <c r="B69" s="34">
        <v>12.1</v>
      </c>
      <c r="C69" s="56" t="s">
        <v>97</v>
      </c>
      <c r="D69" s="31">
        <v>0</v>
      </c>
      <c r="E69" s="31">
        <v>0</v>
      </c>
      <c r="F69" s="31">
        <v>0</v>
      </c>
      <c r="G69" s="31">
        <v>0</v>
      </c>
      <c r="H69" s="31">
        <v>0</v>
      </c>
      <c r="I69" s="31">
        <v>0</v>
      </c>
      <c r="J69" s="31">
        <v>0</v>
      </c>
      <c r="K69" s="31">
        <v>0</v>
      </c>
      <c r="L69" s="31">
        <v>0</v>
      </c>
      <c r="M69" s="31">
        <v>0</v>
      </c>
      <c r="N69" s="31">
        <v>0</v>
      </c>
      <c r="O69" s="31">
        <v>0</v>
      </c>
      <c r="P69" s="31">
        <v>0</v>
      </c>
      <c r="Q69" s="31">
        <v>0</v>
      </c>
      <c r="R69" s="55">
        <f>0</f>
        <v>0</v>
      </c>
      <c r="S69" s="55">
        <f>0</f>
        <v>0</v>
      </c>
      <c r="T69" s="55">
        <f>0</f>
        <v>0</v>
      </c>
      <c r="U69" s="55">
        <f>0</f>
        <v>0</v>
      </c>
      <c r="V69" s="51">
        <f t="shared" si="1"/>
        <v>0</v>
      </c>
      <c r="W69" s="51">
        <f t="shared" si="2"/>
        <v>0</v>
      </c>
      <c r="X69" s="52">
        <f t="shared" si="3"/>
        <v>0</v>
      </c>
    </row>
    <row r="70" ht="14.5" spans="2:24">
      <c r="B70" s="34">
        <v>12.2</v>
      </c>
      <c r="C70" s="56" t="s">
        <v>98</v>
      </c>
      <c r="D70" s="31">
        <v>0</v>
      </c>
      <c r="E70" s="31">
        <v>0</v>
      </c>
      <c r="F70" s="31">
        <v>0</v>
      </c>
      <c r="G70" s="31">
        <v>0</v>
      </c>
      <c r="H70" s="31">
        <v>0</v>
      </c>
      <c r="I70" s="31">
        <v>0</v>
      </c>
      <c r="J70" s="31">
        <v>0</v>
      </c>
      <c r="K70" s="31">
        <v>0</v>
      </c>
      <c r="L70" s="31">
        <v>0</v>
      </c>
      <c r="M70" s="31">
        <v>0</v>
      </c>
      <c r="N70" s="31">
        <v>0</v>
      </c>
      <c r="O70" s="31">
        <v>0</v>
      </c>
      <c r="P70" s="31">
        <v>0</v>
      </c>
      <c r="Q70" s="31">
        <v>0</v>
      </c>
      <c r="R70" s="55">
        <f>0</f>
        <v>0</v>
      </c>
      <c r="S70" s="55">
        <f>0</f>
        <v>0</v>
      </c>
      <c r="T70" s="55">
        <f>0</f>
        <v>0</v>
      </c>
      <c r="U70" s="55">
        <f>0</f>
        <v>0</v>
      </c>
      <c r="V70" s="51">
        <f t="shared" si="1"/>
        <v>0</v>
      </c>
      <c r="W70" s="51">
        <f t="shared" si="2"/>
        <v>0</v>
      </c>
      <c r="X70" s="52">
        <f t="shared" si="3"/>
        <v>0</v>
      </c>
    </row>
    <row r="71" ht="14.5" spans="2:24">
      <c r="B71" s="34">
        <v>12.3</v>
      </c>
      <c r="C71" s="56" t="s">
        <v>99</v>
      </c>
      <c r="D71" s="31">
        <v>0</v>
      </c>
      <c r="E71" s="31">
        <v>0</v>
      </c>
      <c r="F71" s="31">
        <v>0</v>
      </c>
      <c r="G71" s="31">
        <v>0</v>
      </c>
      <c r="H71" s="31">
        <v>0</v>
      </c>
      <c r="I71" s="31">
        <v>0</v>
      </c>
      <c r="J71" s="31">
        <v>0</v>
      </c>
      <c r="K71" s="31">
        <v>0</v>
      </c>
      <c r="L71" s="31">
        <v>0</v>
      </c>
      <c r="M71" s="31">
        <v>0</v>
      </c>
      <c r="N71" s="31">
        <v>0</v>
      </c>
      <c r="O71" s="31">
        <v>0</v>
      </c>
      <c r="P71" s="31">
        <v>0</v>
      </c>
      <c r="Q71" s="31">
        <v>0</v>
      </c>
      <c r="R71" s="55">
        <f>0</f>
        <v>0</v>
      </c>
      <c r="S71" s="55">
        <f>0</f>
        <v>0</v>
      </c>
      <c r="T71" s="55">
        <f>0</f>
        <v>0</v>
      </c>
      <c r="U71" s="55">
        <f>0</f>
        <v>0</v>
      </c>
      <c r="V71" s="51">
        <f t="shared" si="1"/>
        <v>0</v>
      </c>
      <c r="W71" s="51">
        <f t="shared" si="2"/>
        <v>0</v>
      </c>
      <c r="X71" s="52">
        <f t="shared" si="3"/>
        <v>0</v>
      </c>
    </row>
    <row r="72" ht="14.5" spans="2:24">
      <c r="B72" s="34">
        <v>12.4</v>
      </c>
      <c r="C72" s="57" t="s">
        <v>100</v>
      </c>
      <c r="D72" s="31">
        <v>0</v>
      </c>
      <c r="E72" s="31">
        <v>0</v>
      </c>
      <c r="F72" s="31">
        <v>0</v>
      </c>
      <c r="G72" s="31">
        <v>0</v>
      </c>
      <c r="H72" s="31">
        <v>0</v>
      </c>
      <c r="I72" s="31">
        <v>0</v>
      </c>
      <c r="J72" s="31">
        <v>0</v>
      </c>
      <c r="K72" s="31">
        <v>0</v>
      </c>
      <c r="L72" s="31">
        <v>0</v>
      </c>
      <c r="M72" s="31">
        <v>0</v>
      </c>
      <c r="N72" s="31">
        <v>0</v>
      </c>
      <c r="O72" s="31">
        <v>0</v>
      </c>
      <c r="P72" s="31">
        <v>0</v>
      </c>
      <c r="Q72" s="31">
        <v>0</v>
      </c>
      <c r="R72" s="55">
        <f>0</f>
        <v>0</v>
      </c>
      <c r="S72" s="55">
        <f>0</f>
        <v>0</v>
      </c>
      <c r="T72" s="55">
        <f>0</f>
        <v>0</v>
      </c>
      <c r="U72" s="55">
        <f>0</f>
        <v>0</v>
      </c>
      <c r="V72" s="51">
        <f t="shared" si="1"/>
        <v>0</v>
      </c>
      <c r="W72" s="51">
        <f t="shared" si="2"/>
        <v>0</v>
      </c>
      <c r="X72" s="52">
        <f t="shared" si="3"/>
        <v>0</v>
      </c>
    </row>
    <row r="73" s="1" customFormat="1" ht="14.5" spans="2:24">
      <c r="B73" s="58">
        <v>12.5</v>
      </c>
      <c r="C73" s="54" t="s">
        <v>12</v>
      </c>
      <c r="D73" s="55">
        <f t="shared" ref="D73:U73" si="19">0</f>
        <v>0</v>
      </c>
      <c r="E73" s="55">
        <f t="shared" si="19"/>
        <v>0</v>
      </c>
      <c r="F73" s="55">
        <f t="shared" si="19"/>
        <v>0</v>
      </c>
      <c r="G73" s="55">
        <f t="shared" si="19"/>
        <v>0</v>
      </c>
      <c r="H73" s="55">
        <f t="shared" si="19"/>
        <v>0</v>
      </c>
      <c r="I73" s="55">
        <f t="shared" si="19"/>
        <v>0</v>
      </c>
      <c r="J73" s="55">
        <f t="shared" si="19"/>
        <v>0</v>
      </c>
      <c r="K73" s="55">
        <f t="shared" si="19"/>
        <v>0</v>
      </c>
      <c r="L73" s="55">
        <f t="shared" si="19"/>
        <v>0</v>
      </c>
      <c r="M73" s="55">
        <f t="shared" si="19"/>
        <v>0</v>
      </c>
      <c r="N73" s="55">
        <f t="shared" si="19"/>
        <v>0</v>
      </c>
      <c r="O73" s="55">
        <f t="shared" si="19"/>
        <v>0</v>
      </c>
      <c r="P73" s="55">
        <f t="shared" si="19"/>
        <v>0</v>
      </c>
      <c r="Q73" s="55">
        <f t="shared" si="19"/>
        <v>0</v>
      </c>
      <c r="R73" s="55">
        <f t="shared" si="19"/>
        <v>0</v>
      </c>
      <c r="S73" s="55">
        <f t="shared" si="19"/>
        <v>0</v>
      </c>
      <c r="T73" s="55">
        <f t="shared" si="19"/>
        <v>0</v>
      </c>
      <c r="U73" s="55">
        <f t="shared" si="19"/>
        <v>0</v>
      </c>
      <c r="V73" s="51">
        <f t="shared" si="1"/>
        <v>0</v>
      </c>
      <c r="W73" s="51">
        <f t="shared" si="2"/>
        <v>0</v>
      </c>
      <c r="X73" s="52">
        <f t="shared" si="3"/>
        <v>0</v>
      </c>
    </row>
    <row r="74" s="1" customFormat="1" ht="14.5" spans="2:24">
      <c r="B74" s="58">
        <v>12.6</v>
      </c>
      <c r="C74" s="54" t="s">
        <v>12</v>
      </c>
      <c r="D74" s="55">
        <f t="shared" ref="D74:X74" si="20">0</f>
        <v>0</v>
      </c>
      <c r="E74" s="55">
        <f t="shared" si="20"/>
        <v>0</v>
      </c>
      <c r="F74" s="55">
        <f t="shared" si="20"/>
        <v>0</v>
      </c>
      <c r="G74" s="55">
        <f t="shared" si="20"/>
        <v>0</v>
      </c>
      <c r="H74" s="55">
        <f t="shared" si="20"/>
        <v>0</v>
      </c>
      <c r="I74" s="55">
        <f t="shared" si="20"/>
        <v>0</v>
      </c>
      <c r="J74" s="55">
        <f t="shared" si="20"/>
        <v>0</v>
      </c>
      <c r="K74" s="55">
        <f t="shared" si="20"/>
        <v>0</v>
      </c>
      <c r="L74" s="55">
        <f t="shared" si="20"/>
        <v>0</v>
      </c>
      <c r="M74" s="55">
        <f t="shared" si="20"/>
        <v>0</v>
      </c>
      <c r="N74" s="55">
        <f t="shared" si="20"/>
        <v>0</v>
      </c>
      <c r="O74" s="55">
        <f t="shared" si="20"/>
        <v>0</v>
      </c>
      <c r="P74" s="55">
        <f t="shared" si="20"/>
        <v>0</v>
      </c>
      <c r="Q74" s="55">
        <f t="shared" si="20"/>
        <v>0</v>
      </c>
      <c r="R74" s="55">
        <f t="shared" si="20"/>
        <v>0</v>
      </c>
      <c r="S74" s="55">
        <f t="shared" si="20"/>
        <v>0</v>
      </c>
      <c r="T74" s="55">
        <f t="shared" si="20"/>
        <v>0</v>
      </c>
      <c r="U74" s="55">
        <f t="shared" si="20"/>
        <v>0</v>
      </c>
      <c r="V74" s="51">
        <f t="shared" si="20"/>
        <v>0</v>
      </c>
      <c r="W74" s="51">
        <f t="shared" si="20"/>
        <v>0</v>
      </c>
      <c r="X74" s="52">
        <f t="shared" si="20"/>
        <v>0</v>
      </c>
    </row>
    <row r="75" ht="14.5" spans="2:24">
      <c r="B75" s="59"/>
      <c r="C75" s="60"/>
      <c r="D75" s="61"/>
      <c r="E75" s="61"/>
      <c r="F75" s="61"/>
      <c r="G75" s="61"/>
      <c r="H75" s="61"/>
      <c r="I75" s="61"/>
      <c r="J75" s="61"/>
      <c r="K75" s="61"/>
      <c r="L75" s="61"/>
      <c r="M75" s="61"/>
      <c r="N75" s="61"/>
      <c r="O75" s="61"/>
      <c r="P75" s="61"/>
      <c r="Q75" s="77"/>
      <c r="R75" s="61"/>
      <c r="S75" s="61"/>
      <c r="T75" s="61"/>
      <c r="U75" s="78"/>
      <c r="V75" s="51"/>
      <c r="W75" s="51"/>
      <c r="X75" s="52"/>
    </row>
    <row r="76" ht="14.5" spans="2:24">
      <c r="B76" s="62" t="s">
        <v>101</v>
      </c>
      <c r="C76" s="63"/>
      <c r="D76" s="64"/>
      <c r="E76" s="64"/>
      <c r="F76" s="64"/>
      <c r="G76" s="64"/>
      <c r="H76" s="64"/>
      <c r="I76" s="64"/>
      <c r="J76" s="64"/>
      <c r="K76" s="64"/>
      <c r="L76" s="64"/>
      <c r="M76" s="64"/>
      <c r="N76" s="64"/>
      <c r="O76" s="64"/>
      <c r="P76" s="64"/>
      <c r="Q76" s="64"/>
      <c r="R76" s="64"/>
      <c r="S76" s="64"/>
      <c r="T76" s="64"/>
      <c r="U76" s="79"/>
      <c r="V76" s="80"/>
      <c r="W76" s="80"/>
      <c r="X76" s="81"/>
    </row>
    <row r="77" ht="14.5" spans="2:24">
      <c r="B77" s="65" t="s">
        <v>102</v>
      </c>
      <c r="C77" s="66"/>
      <c r="D77" s="67"/>
      <c r="E77" s="67"/>
      <c r="F77" s="67"/>
      <c r="G77" s="67"/>
      <c r="H77" s="67"/>
      <c r="I77" s="67"/>
      <c r="J77" s="67"/>
      <c r="K77" s="67"/>
      <c r="L77" s="67"/>
      <c r="M77" s="67"/>
      <c r="N77" s="67"/>
      <c r="O77" s="67"/>
      <c r="P77" s="67"/>
      <c r="Q77" s="67"/>
      <c r="R77" s="67"/>
      <c r="S77" s="67"/>
      <c r="T77" s="67"/>
      <c r="U77" s="82"/>
      <c r="V77" s="83"/>
      <c r="W77" s="83"/>
      <c r="X77" s="84"/>
    </row>
    <row r="78" ht="14.5" spans="2:24">
      <c r="B78" s="65" t="s">
        <v>103</v>
      </c>
      <c r="C78" s="66"/>
      <c r="D78" s="67"/>
      <c r="E78" s="67"/>
      <c r="F78" s="67"/>
      <c r="G78" s="67"/>
      <c r="H78" s="67"/>
      <c r="I78" s="67"/>
      <c r="J78" s="67"/>
      <c r="K78" s="67"/>
      <c r="L78" s="67"/>
      <c r="M78" s="67"/>
      <c r="N78" s="67"/>
      <c r="O78" s="67"/>
      <c r="P78" s="67"/>
      <c r="Q78" s="67"/>
      <c r="R78" s="67"/>
      <c r="S78" s="67"/>
      <c r="T78" s="67"/>
      <c r="U78" s="82"/>
      <c r="V78" s="83"/>
      <c r="W78" s="83"/>
      <c r="X78" s="84"/>
    </row>
    <row r="79" ht="14.5" spans="2:24">
      <c r="B79" s="68" t="s">
        <v>104</v>
      </c>
      <c r="C79" s="66"/>
      <c r="D79" s="67"/>
      <c r="E79" s="67"/>
      <c r="F79" s="67"/>
      <c r="G79" s="67"/>
      <c r="H79" s="67"/>
      <c r="I79" s="67"/>
      <c r="J79" s="67"/>
      <c r="K79" s="67"/>
      <c r="L79" s="67"/>
      <c r="M79" s="67"/>
      <c r="N79" s="67"/>
      <c r="O79" s="67"/>
      <c r="P79" s="67"/>
      <c r="Q79" s="67"/>
      <c r="R79" s="67"/>
      <c r="S79" s="67"/>
      <c r="T79" s="67"/>
      <c r="U79" s="82"/>
      <c r="V79" s="83"/>
      <c r="W79" s="83"/>
      <c r="X79" s="84"/>
    </row>
    <row r="80" ht="14.5" spans="2:24">
      <c r="B80" s="68"/>
      <c r="C80" s="66"/>
      <c r="D80" s="67"/>
      <c r="E80" s="67"/>
      <c r="F80" s="67"/>
      <c r="G80" s="67"/>
      <c r="H80" s="67"/>
      <c r="I80" s="67"/>
      <c r="J80" s="67"/>
      <c r="K80" s="67"/>
      <c r="L80" s="67"/>
      <c r="M80" s="67"/>
      <c r="N80" s="67"/>
      <c r="O80" s="67"/>
      <c r="P80" s="67"/>
      <c r="Q80" s="67"/>
      <c r="R80" s="67"/>
      <c r="S80" s="67"/>
      <c r="T80" s="67"/>
      <c r="U80" s="82"/>
      <c r="V80" s="83"/>
      <c r="W80" s="83"/>
      <c r="X80" s="84"/>
    </row>
    <row r="81" ht="14.5" spans="2:24">
      <c r="B81" s="65" t="s">
        <v>105</v>
      </c>
      <c r="C81" s="66"/>
      <c r="D81" s="67"/>
      <c r="E81" s="67"/>
      <c r="F81" s="67"/>
      <c r="G81" s="67"/>
      <c r="H81" s="67"/>
      <c r="I81" s="67"/>
      <c r="J81" s="67"/>
      <c r="K81" s="67"/>
      <c r="L81" s="67"/>
      <c r="M81" s="67"/>
      <c r="N81" s="67"/>
      <c r="O81" s="67"/>
      <c r="P81" s="67"/>
      <c r="Q81" s="67"/>
      <c r="R81" s="67"/>
      <c r="S81" s="67"/>
      <c r="T81" s="67"/>
      <c r="U81" s="82"/>
      <c r="V81" s="83"/>
      <c r="W81" s="83"/>
      <c r="X81" s="84"/>
    </row>
    <row r="82" ht="14.5" spans="2:24">
      <c r="B82" s="65" t="s">
        <v>106</v>
      </c>
      <c r="C82" s="66"/>
      <c r="D82" s="67"/>
      <c r="E82" s="67"/>
      <c r="F82" s="67"/>
      <c r="G82" s="67"/>
      <c r="H82" s="67"/>
      <c r="I82" s="67"/>
      <c r="J82" s="67"/>
      <c r="K82" s="67"/>
      <c r="L82" s="67"/>
      <c r="M82" s="67"/>
      <c r="N82" s="67"/>
      <c r="O82" s="67"/>
      <c r="P82" s="67"/>
      <c r="Q82" s="67"/>
      <c r="R82" s="67"/>
      <c r="S82" s="67"/>
      <c r="T82" s="67"/>
      <c r="U82" s="82"/>
      <c r="V82" s="83"/>
      <c r="W82" s="83"/>
      <c r="X82" s="84"/>
    </row>
    <row r="83" ht="14.5" spans="2:24">
      <c r="B83" s="65" t="s">
        <v>107</v>
      </c>
      <c r="C83" s="66"/>
      <c r="D83" s="67"/>
      <c r="E83" s="67"/>
      <c r="F83" s="67"/>
      <c r="G83" s="67"/>
      <c r="H83" s="67"/>
      <c r="I83" s="67"/>
      <c r="J83" s="67"/>
      <c r="K83" s="67"/>
      <c r="L83" s="67"/>
      <c r="M83" s="67"/>
      <c r="N83" s="67"/>
      <c r="O83" s="67"/>
      <c r="P83" s="67"/>
      <c r="Q83" s="67"/>
      <c r="R83" s="67"/>
      <c r="S83" s="67"/>
      <c r="T83" s="67"/>
      <c r="U83" s="82"/>
      <c r="V83" s="83"/>
      <c r="W83" s="83"/>
      <c r="X83" s="84"/>
    </row>
    <row r="84" ht="14.5" spans="2:24">
      <c r="B84" s="68" t="s">
        <v>108</v>
      </c>
      <c r="C84" s="66"/>
      <c r="D84" s="67"/>
      <c r="E84" s="67"/>
      <c r="F84" s="67"/>
      <c r="G84" s="67"/>
      <c r="H84" s="67"/>
      <c r="I84" s="67"/>
      <c r="J84" s="67"/>
      <c r="K84" s="67"/>
      <c r="L84" s="67"/>
      <c r="M84" s="67"/>
      <c r="N84" s="67"/>
      <c r="O84" s="67"/>
      <c r="P84" s="67"/>
      <c r="Q84" s="67"/>
      <c r="R84" s="67"/>
      <c r="S84" s="67"/>
      <c r="T84" s="67"/>
      <c r="U84" s="82"/>
      <c r="V84" s="83"/>
      <c r="W84" s="83"/>
      <c r="X84" s="84"/>
    </row>
    <row r="85" ht="14.5" spans="2:24">
      <c r="B85" s="68" t="s">
        <v>109</v>
      </c>
      <c r="C85" s="66"/>
      <c r="D85" s="67"/>
      <c r="E85" s="67"/>
      <c r="F85" s="67"/>
      <c r="G85" s="67"/>
      <c r="H85" s="67"/>
      <c r="I85" s="67"/>
      <c r="J85" s="67"/>
      <c r="K85" s="67"/>
      <c r="L85" s="67"/>
      <c r="M85" s="67"/>
      <c r="N85" s="67"/>
      <c r="O85" s="67"/>
      <c r="P85" s="67"/>
      <c r="Q85" s="67"/>
      <c r="R85" s="67"/>
      <c r="S85" s="67"/>
      <c r="T85" s="67"/>
      <c r="U85" s="82"/>
      <c r="V85" s="83"/>
      <c r="W85" s="83"/>
      <c r="X85" s="84"/>
    </row>
    <row r="86" ht="14.5" spans="2:24">
      <c r="B86" s="68" t="s">
        <v>110</v>
      </c>
      <c r="C86" s="66"/>
      <c r="D86" s="67"/>
      <c r="E86" s="67"/>
      <c r="F86" s="67"/>
      <c r="G86" s="67"/>
      <c r="H86" s="67"/>
      <c r="I86" s="67"/>
      <c r="J86" s="67"/>
      <c r="K86" s="67"/>
      <c r="L86" s="67"/>
      <c r="M86" s="67"/>
      <c r="N86" s="67"/>
      <c r="O86" s="67"/>
      <c r="P86" s="67"/>
      <c r="Q86" s="67"/>
      <c r="R86" s="67"/>
      <c r="S86" s="67"/>
      <c r="T86" s="67"/>
      <c r="U86" s="82"/>
      <c r="V86" s="83"/>
      <c r="W86" s="83"/>
      <c r="X86" s="84"/>
    </row>
    <row r="87" ht="14.5" spans="2:24">
      <c r="B87" s="65" t="s">
        <v>111</v>
      </c>
      <c r="C87" s="66"/>
      <c r="D87" s="67"/>
      <c r="E87" s="67"/>
      <c r="F87" s="67"/>
      <c r="G87" s="67"/>
      <c r="H87" s="67"/>
      <c r="I87" s="67"/>
      <c r="J87" s="67"/>
      <c r="K87" s="67"/>
      <c r="L87" s="67"/>
      <c r="M87" s="67"/>
      <c r="N87" s="67"/>
      <c r="O87" s="67"/>
      <c r="P87" s="67"/>
      <c r="Q87" s="67"/>
      <c r="R87" s="67"/>
      <c r="S87" s="67"/>
      <c r="T87" s="67"/>
      <c r="U87" s="82"/>
      <c r="V87" s="83"/>
      <c r="W87" s="83"/>
      <c r="X87" s="84"/>
    </row>
    <row r="88" ht="14.5" spans="2:24">
      <c r="B88" s="65" t="s">
        <v>112</v>
      </c>
      <c r="C88" s="66"/>
      <c r="D88" s="67"/>
      <c r="E88" s="67"/>
      <c r="F88" s="67"/>
      <c r="G88" s="67"/>
      <c r="H88" s="67"/>
      <c r="I88" s="67"/>
      <c r="J88" s="67"/>
      <c r="K88" s="67"/>
      <c r="L88" s="67"/>
      <c r="M88" s="67"/>
      <c r="N88" s="67"/>
      <c r="O88" s="67"/>
      <c r="P88" s="67"/>
      <c r="Q88" s="67"/>
      <c r="R88" s="67"/>
      <c r="S88" s="67"/>
      <c r="T88" s="67"/>
      <c r="U88" s="82"/>
      <c r="V88" s="83"/>
      <c r="W88" s="83"/>
      <c r="X88" s="84"/>
    </row>
    <row r="89" ht="14.5" spans="2:24">
      <c r="B89" s="68" t="s">
        <v>113</v>
      </c>
      <c r="C89" s="66"/>
      <c r="D89" s="67"/>
      <c r="E89" s="67"/>
      <c r="F89" s="67"/>
      <c r="G89" s="67"/>
      <c r="H89" s="67"/>
      <c r="I89" s="67"/>
      <c r="J89" s="67"/>
      <c r="K89" s="67"/>
      <c r="L89" s="67"/>
      <c r="M89" s="67"/>
      <c r="N89" s="67"/>
      <c r="O89" s="67"/>
      <c r="P89" s="67"/>
      <c r="Q89" s="67"/>
      <c r="R89" s="67"/>
      <c r="S89" s="67"/>
      <c r="T89" s="67"/>
      <c r="U89" s="82"/>
      <c r="V89" s="83"/>
      <c r="W89" s="83"/>
      <c r="X89" s="84"/>
    </row>
    <row r="90" ht="14.5" spans="2:24">
      <c r="B90" s="69" t="s">
        <v>114</v>
      </c>
      <c r="C90" s="70"/>
      <c r="D90" s="71"/>
      <c r="E90" s="71"/>
      <c r="F90" s="71"/>
      <c r="G90" s="71"/>
      <c r="H90" s="71"/>
      <c r="I90" s="71"/>
      <c r="J90" s="71"/>
      <c r="K90" s="71"/>
      <c r="L90" s="71"/>
      <c r="M90" s="71"/>
      <c r="N90" s="71"/>
      <c r="O90" s="71"/>
      <c r="P90" s="71"/>
      <c r="Q90" s="67"/>
      <c r="R90" s="71"/>
      <c r="S90" s="71"/>
      <c r="T90" s="71"/>
      <c r="U90" s="85"/>
      <c r="V90" s="83"/>
      <c r="W90" s="83"/>
      <c r="X90" s="84"/>
    </row>
    <row r="91" ht="14.5" spans="2:24">
      <c r="B91" s="72" t="s">
        <v>115</v>
      </c>
      <c r="C91" s="73"/>
      <c r="D91" s="74"/>
      <c r="E91" s="75"/>
      <c r="F91" s="76"/>
      <c r="G91" s="76"/>
      <c r="H91" s="76"/>
      <c r="I91" s="76"/>
      <c r="J91" s="76"/>
      <c r="K91" s="76"/>
      <c r="L91" s="76"/>
      <c r="M91" s="76"/>
      <c r="N91" s="76"/>
      <c r="O91" s="76"/>
      <c r="P91" s="76"/>
      <c r="Q91" s="76"/>
      <c r="R91" s="76"/>
      <c r="S91" s="75"/>
      <c r="T91" s="75"/>
      <c r="U91" s="86"/>
      <c r="V91" s="87"/>
      <c r="W91" s="87"/>
      <c r="X91" s="88"/>
    </row>
    <row r="92" ht="14.5"/>
    <row r="93" ht="14.5" hidden="1"/>
    <row r="94" ht="14.5" hidden="1"/>
    <row r="95" ht="14.5" hidden="1"/>
    <row r="96" ht="14.5" hidden="1"/>
  </sheetData>
  <sheetProtection password="DE1B" sheet="1"/>
  <mergeCells count="17">
    <mergeCell ref="B2:X2"/>
    <mergeCell ref="C3:D3"/>
    <mergeCell ref="C4:D4"/>
    <mergeCell ref="C5:D5"/>
    <mergeCell ref="F7:I7"/>
    <mergeCell ref="J7:M7"/>
    <mergeCell ref="N7:Q7"/>
    <mergeCell ref="F8:G8"/>
    <mergeCell ref="H8:I8"/>
    <mergeCell ref="J8:K8"/>
    <mergeCell ref="L8:M8"/>
    <mergeCell ref="N8:O8"/>
    <mergeCell ref="P8:Q8"/>
    <mergeCell ref="V7:X8"/>
    <mergeCell ref="B7:C9"/>
    <mergeCell ref="D7:E8"/>
    <mergeCell ref="R7:U8"/>
  </mergeCells>
  <dataValidations count="2">
    <dataValidation type="whole" operator="between" allowBlank="1" showInputMessage="1" showErrorMessage="1" sqref="D10:U74">
      <formula1>-1000000000</formula1>
      <formula2>1000000000</formula2>
    </dataValidation>
    <dataValidation type="decimal" operator="between" allowBlank="1" showInputMessage="1" showErrorMessage="1" sqref="V10:X74">
      <formula1>-1000000000</formula1>
      <formula2>1000000000</formula2>
    </dataValidation>
  </dataValidations>
  <pageMargins left="0.7" right="0.7" top="0.75" bottom="0.75" header="0.3" footer="0.3"/>
  <pageSetup paperSize="9" scale="31" fitToHeight="0" orientation="landscape" horizontalDpi="600"/>
  <headerFooter>
    <oddHeader>&amp;L&amp;"Calibri"&amp;10&amp;K0078D7CBUAE Classification: Restricted&amp;1#</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BRF 105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Feby Imthias</dc:creator>
  <cp:lastModifiedBy>user</cp:lastModifiedBy>
  <dcterms:created xsi:type="dcterms:W3CDTF">2021-12-21T06:10:37Z</dcterms:created>
  <dcterms:modified xsi:type="dcterms:W3CDTF">2024-02-22T06:39:48Z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9e9404-3739-4dbf-9fa8-b6ae9df09a7a_Enabled">
    <vt:lpwstr>true</vt:lpwstr>
  </property>
  <property fmtid="{D5CDD505-2E9C-101B-9397-08002B2CF9AE}" pid="3" name="MSIP_Label_1d9e9404-3739-4dbf-9fa8-b6ae9df09a7a_SetDate">
    <vt:lpwstr>2021-12-22T08:50:09Z</vt:lpwstr>
  </property>
  <property fmtid="{D5CDD505-2E9C-101B-9397-08002B2CF9AE}" pid="4" name="MSIP_Label_1d9e9404-3739-4dbf-9fa8-b6ae9df09a7a_Method">
    <vt:lpwstr>Standard</vt:lpwstr>
  </property>
  <property fmtid="{D5CDD505-2E9C-101B-9397-08002B2CF9AE}" pid="5" name="MSIP_Label_1d9e9404-3739-4dbf-9fa8-b6ae9df09a7a_Name">
    <vt:lpwstr>Personal</vt:lpwstr>
  </property>
  <property fmtid="{D5CDD505-2E9C-101B-9397-08002B2CF9AE}" pid="6" name="MSIP_Label_1d9e9404-3739-4dbf-9fa8-b6ae9df09a7a_SiteId">
    <vt:lpwstr>fba6ee03-9647-4c58-86a3-db85ac6de45e</vt:lpwstr>
  </property>
  <property fmtid="{D5CDD505-2E9C-101B-9397-08002B2CF9AE}" pid="7" name="MSIP_Label_1d9e9404-3739-4dbf-9fa8-b6ae9df09a7a_ActionId">
    <vt:lpwstr>64c09933-f042-4b31-9567-222e31f2e4b5</vt:lpwstr>
  </property>
  <property fmtid="{D5CDD505-2E9C-101B-9397-08002B2CF9AE}" pid="8" name="MSIP_Label_1d9e9404-3739-4dbf-9fa8-b6ae9df09a7a_ContentBits">
    <vt:lpwstr>1</vt:lpwstr>
  </property>
  <property fmtid="{D5CDD505-2E9C-101B-9397-08002B2CF9AE}" pid="9" name="ICV">
    <vt:lpwstr>2EF41063FC2D4347832100111A648BD6_13</vt:lpwstr>
  </property>
  <property fmtid="{D5CDD505-2E9C-101B-9397-08002B2CF9AE}" pid="10" name="KSOProductBuildVer">
    <vt:lpwstr>1033-12.2.0.13431</vt:lpwstr>
  </property>
</Properties>
</file>