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78" sheetId="1" r:id="rId1"/>
    <sheet name="Drop_Down" sheetId="2" r:id="rId2"/>
  </sheets>
  <definedNames>
    <definedName name="B2END">'BRF 78'!$A$23</definedName>
    <definedName name="B2START">'BRF 78'!$A$21</definedName>
    <definedName name="COMPANYCODE">Drop_Down!$D$3:$D$5</definedName>
    <definedName name="CREDITRATINGTYPECODE">Drop_Down!$L$3:$L$6</definedName>
    <definedName name="CREDITREP">Drop_Down!$G$3:$G$24</definedName>
    <definedName name="CURRENCY">Drop_Down!$O$3:$O$175</definedName>
    <definedName name="EMIRATE">Drop_Down!$A$3:$A$9</definedName>
    <definedName name="GTK">'BRF 78'!$K$23</definedName>
    <definedName name="GTL">'BRF 78'!$L$23</definedName>
    <definedName name="GTM">'BRF 78'!$M$23</definedName>
    <definedName name="GTN">'BRF 78'!$N$23</definedName>
    <definedName name="GTO">'BRF 78'!$O$23</definedName>
    <definedName name="GTP">'BRF 78'!$P$23</definedName>
    <definedName name="GTS">'BRF 78'!$S$23</definedName>
    <definedName name="GTT">'BRF 78'!$T$23</definedName>
    <definedName name="GTV">'BRF 78'!$V$23</definedName>
    <definedName name="_xlnm.Print_Area" localSheetId="0">'BRF 78'!$B$2:$W$27</definedName>
    <definedName name="RANGED8">'BRF 78'!$D$8</definedName>
  </definedNames>
  <calcPr calcId="144525"/>
</workbook>
</file>

<file path=xl/sharedStrings.xml><?xml version="1.0" encoding="utf-8"?>
<sst xmlns="http://schemas.openxmlformats.org/spreadsheetml/2006/main" count="619" uniqueCount="513">
  <si>
    <t>LR</t>
  </si>
  <si>
    <t>CT1</t>
  </si>
  <si>
    <t>CT2</t>
  </si>
  <si>
    <t>BANKING AND MONETARY STATISTICS - LE UAE LOCAL GOVT AND ITS NON COMMERCIAL ENTITIES - BRF 78 (AED 000)</t>
  </si>
  <si>
    <t>Template ID:</t>
  </si>
  <si>
    <t>4-78-2-4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</si>
  <si>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</si>
  <si>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</si>
  <si>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</si>
  <si>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</si>
  <si>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</si>
  <si>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Emirates</t>
  </si>
  <si>
    <t>CIN /FIGI / GLEI ID</t>
  </si>
  <si>
    <t>Borrower Type
Specify as "S" for Single or "G" for Group or "C" for Group Company</t>
  </si>
  <si>
    <t>Group Name (Incase the borrower belong to a group)</t>
  </si>
  <si>
    <t>Credit Rating of the borrower</t>
  </si>
  <si>
    <t>Credit Rating Type</t>
  </si>
  <si>
    <t>Currency</t>
  </si>
  <si>
    <t>Funded O/S (Excl. Debt Securities)</t>
  </si>
  <si>
    <t xml:space="preserve">Debt securities </t>
  </si>
  <si>
    <t>Unfunded O/S</t>
  </si>
  <si>
    <t>CCF equivalent of unfunded O/s</t>
  </si>
  <si>
    <t>CCF equivalent of committed unused funded and unfunded limits</t>
  </si>
  <si>
    <t>Total exposures (CCF based) net of credit risk mitigation after hair cut</t>
  </si>
  <si>
    <t>As % of Tier 1 Capital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</si>
  <si>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</si>
  <si>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</si>
  <si>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</si>
  <si>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</si>
  <si>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</si>
  <si>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Remarks / Additional Information</t>
  </si>
  <si>
    <t>UAE Local Governments/ Departments (Aggregate Limit for the group = 150% of Tier 1 Capital)</t>
  </si>
  <si>
    <t>GT1</t>
  </si>
  <si>
    <t>Grand Total ( A + B) Limit 150%</t>
  </si>
  <si>
    <t>B1</t>
  </si>
  <si>
    <t>ABU DHABI</t>
  </si>
  <si>
    <t>NA</t>
  </si>
  <si>
    <t>DUBAI</t>
  </si>
  <si>
    <t>SHARJAH</t>
  </si>
  <si>
    <t>AJMAN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</si>
  <si>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</si>
  <si>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UAQ</t>
  </si>
  <si>
    <t>RAK</t>
  </si>
  <si>
    <t>FUJAIRAH</t>
  </si>
  <si>
    <t>GT2</t>
  </si>
  <si>
    <t>A. Total Exposure to Local Govts</t>
  </si>
  <si>
    <t>Non-Commercial public sector entities (25% limit)</t>
  </si>
  <si>
    <t>Name of the borrowing entity</t>
  </si>
  <si>
    <t>Emirate</t>
  </si>
  <si>
    <t>B2</t>
  </si>
  <si>
    <t>GT</t>
  </si>
  <si>
    <t>B. Total Exposure to Non Commercial Entities</t>
  </si>
  <si>
    <t>Note: 1. Entities reported must match with CB list of PSE</t>
  </si>
  <si>
    <t>2. All entities falling in this category shall be reported using additional rows where required</t>
  </si>
  <si>
    <t>FORM NO: BSD/BRF 78 - LE LOCAL GOVT &amp; ITS NON COMM ENTITIES / NOV23</t>
  </si>
  <si>
    <t>Borrower Type</t>
  </si>
  <si>
    <t>Credit Rating of the Borrower</t>
  </si>
  <si>
    <t>Credit Risk Mitigation</t>
  </si>
  <si>
    <t>Code</t>
  </si>
  <si>
    <t>Description</t>
  </si>
  <si>
    <t>S&amp;P</t>
  </si>
  <si>
    <t>Moody’s</t>
  </si>
  <si>
    <t>Fitch</t>
  </si>
  <si>
    <t>Abu Dhabi</t>
  </si>
  <si>
    <t>S</t>
  </si>
  <si>
    <t>Single</t>
  </si>
  <si>
    <t>AAA</t>
  </si>
  <si>
    <t>Aaa</t>
  </si>
  <si>
    <t>External Rating - S&amp;P</t>
  </si>
  <si>
    <t>AED</t>
  </si>
  <si>
    <t>UAE Dirham</t>
  </si>
  <si>
    <t>A</t>
  </si>
  <si>
    <t xml:space="preserve">Cash (as well as certificates of deposit or comparable instruments issued </t>
  </si>
  <si>
    <t>Dubai</t>
  </si>
  <si>
    <t>G</t>
  </si>
  <si>
    <t>Group</t>
  </si>
  <si>
    <t>AA+</t>
  </si>
  <si>
    <t>Aa1</t>
  </si>
  <si>
    <t>Moody's</t>
  </si>
  <si>
    <t>External Rating - Moody's</t>
  </si>
  <si>
    <t>AFN</t>
  </si>
  <si>
    <t>Afghani</t>
  </si>
  <si>
    <t>by the lending bank) on deposit with the bank which is incurring the</t>
  </si>
  <si>
    <t>Sharjah</t>
  </si>
  <si>
    <t>C</t>
  </si>
  <si>
    <t>Group Company</t>
  </si>
  <si>
    <t>AA</t>
  </si>
  <si>
    <t>Aa2</t>
  </si>
  <si>
    <t>External Rating - Fitch</t>
  </si>
  <si>
    <t>ALL</t>
  </si>
  <si>
    <t>Lek</t>
  </si>
  <si>
    <t xml:space="preserve"> counterparty exposure.</t>
  </si>
  <si>
    <t>Ajman</t>
  </si>
  <si>
    <t>AA-</t>
  </si>
  <si>
    <t>Aa3</t>
  </si>
  <si>
    <t>Internal</t>
  </si>
  <si>
    <t>Internal Rating</t>
  </si>
  <si>
    <t>AMD</t>
  </si>
  <si>
    <t>Armenian Dram</t>
  </si>
  <si>
    <t>Note 1: Cash funded credit linked notes issued by the bank against</t>
  </si>
  <si>
    <t>Umm al Quwain</t>
  </si>
  <si>
    <t>A+</t>
  </si>
  <si>
    <t>A1</t>
  </si>
  <si>
    <t>ANG</t>
  </si>
  <si>
    <t>Netherlands Antillean Guilder</t>
  </si>
  <si>
    <t>exposures in the banking book which fulfil the criteria for credit</t>
  </si>
  <si>
    <t>Ras Al Khaimah</t>
  </si>
  <si>
    <t>A2</t>
  </si>
  <si>
    <t>AOA</t>
  </si>
  <si>
    <t>Kwanza</t>
  </si>
  <si>
    <t>derivatives will be treated as cash collateralised transactions.</t>
  </si>
  <si>
    <t>Fujairah</t>
  </si>
  <si>
    <t>A-</t>
  </si>
  <si>
    <t>A3</t>
  </si>
  <si>
    <t>ARS</t>
  </si>
  <si>
    <t>Argentine Peso</t>
  </si>
  <si>
    <t>Note 2: When cash on deposit, certificates of deposit or comparable</t>
  </si>
  <si>
    <t>BBB+</t>
  </si>
  <si>
    <t>Baa1</t>
  </si>
  <si>
    <t>AUD</t>
  </si>
  <si>
    <t>Australian Dollar</t>
  </si>
  <si>
    <t>instruments issued by the lending bank are held as collateral at a</t>
  </si>
  <si>
    <t>BBB</t>
  </si>
  <si>
    <t>Baa2</t>
  </si>
  <si>
    <t>AWG</t>
  </si>
  <si>
    <t>Aruban Florin</t>
  </si>
  <si>
    <t>third-party bank in a noncustodial arrangement, if they are openly</t>
  </si>
  <si>
    <t>BBB-</t>
  </si>
  <si>
    <t>Baa3</t>
  </si>
  <si>
    <t>AZN</t>
  </si>
  <si>
    <t>Azerbaijan Manat</t>
  </si>
  <si>
    <t>pledged/assigned to the lending bank and if the pledge/assignment is</t>
  </si>
  <si>
    <t>BB+</t>
  </si>
  <si>
    <t>Ba1</t>
  </si>
  <si>
    <t>BAM</t>
  </si>
  <si>
    <t>Convertible Mark</t>
  </si>
  <si>
    <t>unconditional and irrevocable, the exposure amount covered by the</t>
  </si>
  <si>
    <t>BB</t>
  </si>
  <si>
    <t>Ba2</t>
  </si>
  <si>
    <t>BBD</t>
  </si>
  <si>
    <t>Barbados Dollar</t>
  </si>
  <si>
    <t>collateral (after any necessary haircuts for currency risk) will receive the</t>
  </si>
  <si>
    <t>BB-</t>
  </si>
  <si>
    <t>Ba3</t>
  </si>
  <si>
    <t>BDT</t>
  </si>
  <si>
    <t>Taka</t>
  </si>
  <si>
    <t>risk weight of the third-party bank);</t>
  </si>
  <si>
    <t>B+</t>
  </si>
  <si>
    <t>BGN</t>
  </si>
  <si>
    <t>Bulgarian Lev</t>
  </si>
  <si>
    <t>B</t>
  </si>
  <si>
    <t>Gold</t>
  </si>
  <si>
    <t>BHD</t>
  </si>
  <si>
    <t>Bahraini Dinar</t>
  </si>
  <si>
    <t>Debt securities rated by a recognised external credit assessment</t>
  </si>
  <si>
    <t>B-</t>
  </si>
  <si>
    <t>B3</t>
  </si>
  <si>
    <t>BIF</t>
  </si>
  <si>
    <t>Burundi Franc</t>
  </si>
  <si>
    <t>institution where these are either:</t>
  </si>
  <si>
    <t>CCC+</t>
  </si>
  <si>
    <t>Caa1</t>
  </si>
  <si>
    <t>BMD</t>
  </si>
  <si>
    <t>Bermudian Dollar</t>
  </si>
  <si>
    <t>Rated at least BB- when issued by sovereigns or PSEs that are treated as</t>
  </si>
  <si>
    <t>CCC</t>
  </si>
  <si>
    <t>Caa2</t>
  </si>
  <si>
    <t>BND</t>
  </si>
  <si>
    <t>Brunei Dollar</t>
  </si>
  <si>
    <t>sovereigns by the Central Bank; or</t>
  </si>
  <si>
    <t>CCC-</t>
  </si>
  <si>
    <t>Caa3</t>
  </si>
  <si>
    <t>BOB</t>
  </si>
  <si>
    <t>Boliviano</t>
  </si>
  <si>
    <t>At least BBB- when issued by other entities (including banks and</t>
  </si>
  <si>
    <t>CC</t>
  </si>
  <si>
    <t>Ca</t>
  </si>
  <si>
    <t>BOV</t>
  </si>
  <si>
    <t>Mvdol</t>
  </si>
  <si>
    <t xml:space="preserve"> securities firms); or </t>
  </si>
  <si>
    <t>BRL</t>
  </si>
  <si>
    <t>Brazilian Real</t>
  </si>
  <si>
    <t>At least A-3/P-3 for short-term debt instruments.</t>
  </si>
  <si>
    <t>D</t>
  </si>
  <si>
    <t>-</t>
  </si>
  <si>
    <t>BSD</t>
  </si>
  <si>
    <t>Bahamian Dollar</t>
  </si>
  <si>
    <t>Debt securities not rated by a recognised external credit assessment</t>
  </si>
  <si>
    <t>BTN</t>
  </si>
  <si>
    <t>Ngultrum</t>
  </si>
  <si>
    <t>institution where these are:</t>
  </si>
  <si>
    <t>BWP</t>
  </si>
  <si>
    <t>Pula</t>
  </si>
  <si>
    <t>Issued by a bank; and</t>
  </si>
  <si>
    <t>BYN</t>
  </si>
  <si>
    <t>Belarusian Ruble</t>
  </si>
  <si>
    <t>Listed on a recognised exchange; and</t>
  </si>
  <si>
    <t>BZD</t>
  </si>
  <si>
    <t>Belize Dollar</t>
  </si>
  <si>
    <t>Classified as senior debt; and</t>
  </si>
  <si>
    <t>CAD</t>
  </si>
  <si>
    <t>Canadian Dollar</t>
  </si>
  <si>
    <t>All rated issues of the same seniority by the issuing bank must be rated at</t>
  </si>
  <si>
    <t>CDF</t>
  </si>
  <si>
    <t>Congolese Franc</t>
  </si>
  <si>
    <t>least BBB- or A-3/P-3 by a recognised external credit assessment</t>
  </si>
  <si>
    <t>CHE</t>
  </si>
  <si>
    <t>WIR Euro</t>
  </si>
  <si>
    <t>institution; and</t>
  </si>
  <si>
    <t>CHF</t>
  </si>
  <si>
    <t>Swiss Franc</t>
  </si>
  <si>
    <t>The bank holding the securities as collateral has no information to</t>
  </si>
  <si>
    <t>CHW</t>
  </si>
  <si>
    <t>WIR Franc</t>
  </si>
  <si>
    <t>suggest that the issue justifies a rating below BBB- or A-3/P-3 (as</t>
  </si>
  <si>
    <t>CLF</t>
  </si>
  <si>
    <t>Unidad de Fomento</t>
  </si>
  <si>
    <t>applicable); and</t>
  </si>
  <si>
    <t>CLP</t>
  </si>
  <si>
    <t>Chilean Peso</t>
  </si>
  <si>
    <t>The Central Bank is sufficiently confident about the market liquidity of</t>
  </si>
  <si>
    <t>CNY</t>
  </si>
  <si>
    <t>Yuan Renminbi</t>
  </si>
  <si>
    <t>the security.</t>
  </si>
  <si>
    <t>COP</t>
  </si>
  <si>
    <t>Colombian Peso</t>
  </si>
  <si>
    <t>E</t>
  </si>
  <si>
    <t>Equities (including convertible bonds) as per paragraph 95 of the CBUAE</t>
  </si>
  <si>
    <t>COU</t>
  </si>
  <si>
    <t>Unidad de Valor Real</t>
  </si>
  <si>
    <t>Standards re Capital Adequacy of Banks in the UAE</t>
  </si>
  <si>
    <t>CRC</t>
  </si>
  <si>
    <t>Costa Rican Colon</t>
  </si>
  <si>
    <t>F</t>
  </si>
  <si>
    <t>Equities (including convertible bonds) as per paragraph 96 of the CBUAE</t>
  </si>
  <si>
    <t>CUC</t>
  </si>
  <si>
    <t>Peso Convertible</t>
  </si>
  <si>
    <t>CUP</t>
  </si>
  <si>
    <t>Cuban Peso</t>
  </si>
  <si>
    <t>UCITS and mutual funds as per paragraph 95 of the CBUAE Standards re</t>
  </si>
  <si>
    <t>CVE</t>
  </si>
  <si>
    <t>Cabo Verde Escudo</t>
  </si>
  <si>
    <t>Capital Adequacy in the UAE</t>
  </si>
  <si>
    <t>CZK</t>
  </si>
  <si>
    <t>Czech Koruna</t>
  </si>
  <si>
    <t>H</t>
  </si>
  <si>
    <t>UCITS and mutual funds as per paragraph 96 of the CBUAE Standards re</t>
  </si>
  <si>
    <t>DJF</t>
  </si>
  <si>
    <t>Djibouti Franc</t>
  </si>
  <si>
    <t>DKK</t>
  </si>
  <si>
    <t>Danish Krone</t>
  </si>
  <si>
    <t>I</t>
  </si>
  <si>
    <t>Eligible Guarantees as prescribed in CBUAE Standards re Capital Adequacy in</t>
  </si>
  <si>
    <t>DOP</t>
  </si>
  <si>
    <t>Dominican Peso</t>
  </si>
  <si>
    <t>the UAE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</si>
  <si>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</si>
  <si>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</si>
  <si>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</si>
  <si>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</si>
  <si>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</si>
  <si>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</si>
  <si>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</si>
  <si>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</si>
  <si>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</si>
  <si>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</si>
  <si>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</si>
  <si>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</si>
  <si>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</si>
  <si>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</si>
  <si>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</si>
  <si>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</si>
  <si>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</si>
  <si>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Lari</t>
  </si>
  <si>
    <t>GHS</t>
  </si>
  <si>
    <t>Ghana Cedi</t>
  </si>
  <si>
    <t>GIP</t>
  </si>
  <si>
    <t>Gibraltar Pound</t>
  </si>
  <si>
    <t>GMD</t>
  </si>
  <si>
    <t>Dalasi</t>
  </si>
  <si>
    <t>GNF</t>
  </si>
  <si>
    <t>Guinean Franc</t>
  </si>
  <si>
    <t>GTQ</t>
  </si>
  <si>
    <t>Quetzal</t>
  </si>
  <si>
    <t>GYD</t>
  </si>
  <si>
    <t>Guyana Dollar</t>
  </si>
  <si>
    <t>HKD</t>
  </si>
  <si>
    <t>Hong Kong Dollar</t>
  </si>
  <si>
    <t>HNL</t>
  </si>
  <si>
    <t>Lempira</t>
  </si>
  <si>
    <t>HRK</t>
  </si>
  <si>
    <t>Kuna</t>
  </si>
  <si>
    <t>HTG</t>
  </si>
  <si>
    <t>Gourde</t>
  </si>
  <si>
    <t>HUF</t>
  </si>
  <si>
    <t>Forint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</si>
  <si>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</si>
  <si>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</si>
  <si>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</si>
  <si>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</si>
  <si>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</si>
  <si>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</si>
  <si>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</si>
  <si>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</si>
  <si>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</si>
  <si>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</si>
  <si>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</si>
  <si>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</si>
  <si>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</si>
  <si>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</si>
  <si>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</si>
  <si>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</si>
  <si>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</si>
  <si>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</si>
  <si>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</si>
  <si>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</si>
  <si>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</si>
  <si>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</si>
  <si>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</si>
  <si>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</si>
  <si>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</si>
  <si>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</si>
  <si>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</si>
  <si>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</si>
  <si>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</si>
  <si>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</si>
  <si>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</si>
  <si>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</si>
  <si>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</si>
  <si>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</si>
  <si>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</si>
  <si>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</si>
  <si>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</si>
  <si>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</si>
  <si>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</si>
  <si>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</si>
  <si>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</si>
  <si>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</si>
  <si>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</si>
  <si>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</si>
  <si>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</si>
  <si>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</si>
  <si>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</si>
  <si>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</si>
  <si>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</si>
  <si>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</si>
  <si>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</si>
  <si>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</si>
  <si>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</si>
  <si>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</si>
  <si>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</si>
  <si>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</si>
  <si>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</si>
  <si>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</si>
  <si>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</si>
  <si>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</si>
  <si>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</si>
  <si>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</si>
  <si>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</si>
  <si>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Ouguiya</t>
  </si>
  <si>
    <t>MUR</t>
  </si>
  <si>
    <t>Mauritius Rupee</t>
  </si>
  <si>
    <t>MVR</t>
  </si>
  <si>
    <t>Rufiyaa</t>
  </si>
  <si>
    <t>MWK</t>
  </si>
  <si>
    <t>Malawi Kwacha</t>
  </si>
  <si>
    <t>MYR</t>
  </si>
  <si>
    <t>Malaysian Ringgit</t>
  </si>
  <si>
    <t>MXN</t>
  </si>
  <si>
    <t>Mexican Peso</t>
  </si>
  <si>
    <t>MXV</t>
  </si>
  <si>
    <t>Mexican Unidad de Inversion (UDI)</t>
  </si>
  <si>
    <t>MZN</t>
  </si>
  <si>
    <t>Mozambique Metical</t>
  </si>
  <si>
    <t>NAD</t>
  </si>
  <si>
    <t>Namibia Dollar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</si>
  <si>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</si>
  <si>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</si>
  <si>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</si>
  <si>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</si>
  <si>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</si>
  <si>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</si>
  <si>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</si>
  <si>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</si>
  <si>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</si>
  <si>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</si>
  <si>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</si>
  <si>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</si>
  <si>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</si>
  <si>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</si>
  <si>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PEN</t>
  </si>
  <si>
    <t>Sol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</si>
  <si>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</si>
  <si>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</si>
  <si>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</si>
  <si>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</si>
  <si>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</si>
  <si>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</si>
  <si>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</si>
  <si>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</si>
  <si>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PYG</t>
  </si>
  <si>
    <t>Guarani</t>
  </si>
  <si>
    <t>QAR</t>
  </si>
  <si>
    <t>Qatari Rial</t>
  </si>
  <si>
    <t>RON</t>
  </si>
  <si>
    <t>Romanian 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</si>
  <si>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</si>
  <si>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</si>
  <si>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</si>
  <si>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</si>
  <si>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</si>
  <si>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</si>
  <si>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</si>
  <si>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</si>
  <si>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</si>
  <si>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</si>
  <si>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</si>
  <si>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</si>
  <si>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</si>
  <si>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</si>
  <si>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</si>
  <si>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</si>
  <si>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</si>
  <si>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</si>
  <si>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</si>
  <si>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</si>
  <si>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</si>
  <si>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</si>
  <si>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</si>
  <si>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</si>
  <si>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</si>
  <si>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</si>
  <si>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SSP</t>
  </si>
  <si>
    <t>South Sudanese Pound</t>
  </si>
  <si>
    <t>STN</t>
  </si>
  <si>
    <t>Dobra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</si>
  <si>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</si>
  <si>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</si>
  <si>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</si>
  <si>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</si>
  <si>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</si>
  <si>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</si>
  <si>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</si>
  <si>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</si>
  <si>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</si>
  <si>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</si>
  <si>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</si>
  <si>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Turkmenistan New Manat</t>
  </si>
  <si>
    <t>TND</t>
  </si>
  <si>
    <t>Tunisian Dinar</t>
  </si>
  <si>
    <t>TOP</t>
  </si>
  <si>
    <t>Pa’anga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</si>
  <si>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</si>
  <si>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</si>
  <si>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</si>
  <si>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</si>
  <si>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</si>
  <si>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</si>
  <si>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</si>
  <si>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</si>
  <si>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</si>
  <si>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</si>
  <si>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</si>
  <si>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</si>
  <si>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</si>
  <si>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</si>
  <si>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</si>
  <si>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</t>
  </si>
  <si>
    <t>UYI</t>
  </si>
  <si>
    <t>Uruguay Peso en Unidades Indexadas (UI)</t>
  </si>
  <si>
    <t>UYU</t>
  </si>
  <si>
    <t>Peso Uruguayo</t>
  </si>
  <si>
    <t>UYW</t>
  </si>
  <si>
    <t>Unidad Previsional</t>
  </si>
  <si>
    <t>UZS</t>
  </si>
  <si>
    <t>Uzbekistan Sum</t>
  </si>
  <si>
    <t>VES</t>
  </si>
  <si>
    <t>Bolivar Soberano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</si>
  <si>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</si>
  <si>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</si>
  <si>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</si>
  <si>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</si>
  <si>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</si>
  <si>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</si>
  <si>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</si>
  <si>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</si>
  <si>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XCD</t>
  </si>
  <si>
    <t>East Caribbean Dollar</t>
  </si>
  <si>
    <t>XDR</t>
  </si>
  <si>
    <t>SDR (Special Drawing Right)</t>
  </si>
  <si>
    <t>XOF</t>
  </si>
  <si>
    <t>CFA Franc BCEAO</t>
  </si>
  <si>
    <t>XPF</t>
  </si>
  <si>
    <t>CFP Franc</t>
  </si>
  <si>
    <t>XSU</t>
  </si>
  <si>
    <t>Sucre</t>
  </si>
  <si>
    <t>XUA</t>
  </si>
  <si>
    <t>ADB Unit of Account</t>
  </si>
  <si>
    <t>YER</t>
  </si>
  <si>
    <t>Yemeni Rial</t>
  </si>
  <si>
    <t>ZAR</t>
  </si>
  <si>
    <t>Rand</t>
  </si>
  <si>
    <t>ZMW</t>
  </si>
  <si>
    <t>Zambian Kwacha</t>
  </si>
  <si>
    <t>ZWL</t>
  </si>
  <si>
    <t>Zimbabwe Dollar</t>
  </si>
  <si>
    <t>XAU</t>
  </si>
  <si>
    <t>XAG</t>
  </si>
  <si>
    <t>Silver</t>
  </si>
  <si>
    <t>XPD</t>
  </si>
  <si>
    <t>Palladium</t>
  </si>
  <si>
    <t>XPT</t>
  </si>
  <si>
    <t>Platinum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</si>
</sst>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_-;\-* #,##0_-;_-* &quot;-&quot;??_-;_-@_-"/>
  </numFmts>
  <fonts count="35">
    <font>
      <sz val="11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0"/>
      <color theme="1"/>
      <name val="Calibri"/>
      <family val="2"/>
      <charset val="0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sz val="8"/>
      <color theme="0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rgb="FFFF0000"/>
      <name val="Arial"/>
      <family val="2"/>
      <charset val="0"/>
    </font>
    <font>
      <b/>
      <sz val="8"/>
      <color theme="1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0" fillId="7" borderId="16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20" applyNumberFormat="0" applyAlignment="0" applyProtection="0"/>
    <xf numFmtId="0" fontId="25" fillId="9" borderId="21" applyNumberFormat="0" applyAlignment="0" applyProtection="0"/>
    <xf numFmtId="0" fontId="26" fillId="9" borderId="20" applyNumberFormat="0" applyAlignment="0" applyProtection="0"/>
    <xf numFmtId="0" fontId="27" fillId="10" borderId="22" applyNumberFormat="0" applyAlignment="0" applyProtection="0"/>
    <xf numFmtId="0" fontId="28" fillId="0" borderId="23" applyNumberFormat="0" applyFill="0" applyAlignment="0" applyProtection="0"/>
    <xf numFmtId="0" fontId="29" fillId="0" borderId="24" applyNumberFormat="0" applyFill="0" applyAlignment="0" applyProtection="0"/>
    <xf numFmtId="0" fontId="30" fillId="11" borderId="0" applyNumberFormat="0" applyBorder="0" applyAlignment="0" applyProtection="0"/>
    <xf numFmtId="0" fontId="31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5" fillId="37" borderId="0" applyNumberFormat="0" applyBorder="0" applyAlignment="0" applyProtection="0"/>
    <xf numFmtId="0" fontId="33" fillId="0" borderId="0"/>
    <xf numFmtId="0" fontId="33" fillId="0" borderId="0"/>
    <xf numFmtId="0" fontId="34" fillId="0" borderId="0">
      <alignment vertical="center"/>
    </xf>
    <xf numFmtId="0" fontId="4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wrapText="1"/>
    </xf>
    <xf numFmtId="0" fontId="0" fillId="0" borderId="0" xfId="0" applyBorder="1"/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3" borderId="4" xfId="0" applyFont="1" applyFill="1" applyBorder="1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4" borderId="1" xfId="52" applyFill="1" applyBorder="1" applyAlignment="1">
      <alignment horizontal="center"/>
    </xf>
    <xf numFmtId="0" fontId="4" fillId="4" borderId="1" xfId="52" applyFill="1" applyBorder="1"/>
    <xf numFmtId="0" fontId="5" fillId="0" borderId="0" xfId="0" applyFont="1"/>
    <xf numFmtId="0" fontId="0" fillId="0" borderId="0" xfId="0" applyProtection="1"/>
    <xf numFmtId="0" fontId="0" fillId="0" borderId="0" xfId="0" applyAlignment="1">
      <alignment horizontal="center" vertical="center"/>
    </xf>
    <xf numFmtId="0" fontId="6" fillId="0" borderId="0" xfId="0" applyFont="1" applyFill="1" applyBorder="1"/>
    <xf numFmtId="0" fontId="7" fillId="3" borderId="10" xfId="51" applyFont="1" applyFill="1" applyBorder="1" applyAlignment="1" applyProtection="1">
      <alignment horizontal="center" vertical="center"/>
    </xf>
    <xf numFmtId="0" fontId="7" fillId="3" borderId="11" xfId="51" applyFont="1" applyFill="1" applyBorder="1" applyAlignment="1" applyProtection="1">
      <alignment horizontal="center" vertical="center"/>
    </xf>
    <xf numFmtId="0" fontId="8" fillId="5" borderId="6" xfId="49" applyFont="1" applyFill="1" applyBorder="1" applyAlignment="1" applyProtection="1"/>
    <xf numFmtId="15" fontId="9" fillId="0" borderId="1" xfId="50" applyNumberFormat="1" applyFont="1" applyFill="1" applyBorder="1" applyAlignment="1" applyProtection="1">
      <alignment horizontal="center"/>
    </xf>
    <xf numFmtId="0" fontId="10" fillId="0" borderId="12" xfId="51" applyFont="1" applyBorder="1" applyAlignment="1" applyProtection="1">
      <alignment horizontal="center" vertical="center"/>
    </xf>
    <xf numFmtId="15" fontId="9" fillId="5" borderId="1" xfId="50" applyNumberFormat="1" applyFont="1" applyFill="1" applyBorder="1" applyAlignment="1" applyProtection="1">
      <alignment horizontal="left"/>
    </xf>
    <xf numFmtId="0" fontId="10" fillId="0" borderId="0" xfId="51" applyFont="1" applyBorder="1" applyAlignment="1" applyProtection="1">
      <alignment horizontal="center" vertical="center"/>
    </xf>
    <xf numFmtId="0" fontId="9" fillId="5" borderId="1" xfId="50" applyFont="1" applyFill="1" applyBorder="1" applyProtection="1"/>
    <xf numFmtId="0" fontId="10" fillId="0" borderId="2" xfId="5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</xf>
    <xf numFmtId="0" fontId="11" fillId="0" borderId="1" xfId="51" applyFont="1" applyBorder="1" applyProtection="1">
      <alignment vertical="center"/>
    </xf>
    <xf numFmtId="0" fontId="0" fillId="0" borderId="10" xfId="0" applyBorder="1" applyAlignment="1" applyProtection="1"/>
    <xf numFmtId="0" fontId="0" fillId="0" borderId="11" xfId="0" applyBorder="1" applyAlignment="1" applyProtection="1"/>
    <xf numFmtId="0" fontId="9" fillId="3" borderId="6" xfId="51" applyFont="1" applyFill="1" applyBorder="1" applyAlignment="1" applyProtection="1"/>
    <xf numFmtId="0" fontId="9" fillId="4" borderId="6" xfId="51" applyFont="1" applyFill="1" applyBorder="1" applyAlignment="1" applyProtection="1">
      <alignment horizontal="left" vertical="center"/>
    </xf>
    <xf numFmtId="0" fontId="9" fillId="6" borderId="1" xfId="51" applyFont="1" applyFill="1" applyBorder="1" applyAlignment="1" applyProtection="1">
      <alignment vertical="top" wrapText="1"/>
      <protection locked="0"/>
    </xf>
    <xf numFmtId="0" fontId="10" fillId="3" borderId="10" xfId="51" applyFont="1" applyFill="1" applyBorder="1" applyProtection="1">
      <alignment vertical="center"/>
    </xf>
    <xf numFmtId="176" fontId="9" fillId="3" borderId="11" xfId="1" applyNumberFormat="1" applyFont="1" applyFill="1" applyBorder="1" applyAlignment="1" applyProtection="1">
      <alignment vertical="top" wrapText="1"/>
    </xf>
    <xf numFmtId="0" fontId="10" fillId="3" borderId="11" xfId="51" applyFont="1" applyFill="1" applyBorder="1" applyProtection="1">
      <alignment vertical="center"/>
    </xf>
    <xf numFmtId="0" fontId="9" fillId="3" borderId="1" xfId="51" applyFont="1" applyFill="1" applyBorder="1" applyAlignment="1" applyProtection="1">
      <alignment vertical="center" wrapText="1"/>
    </xf>
    <xf numFmtId="0" fontId="9" fillId="4" borderId="6" xfId="51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left" vertical="center"/>
    </xf>
    <xf numFmtId="0" fontId="9" fillId="3" borderId="1" xfId="51" applyFont="1" applyFill="1" applyBorder="1" applyAlignment="1" applyProtection="1">
      <alignment horizontal="center" vertical="center" wrapText="1"/>
    </xf>
    <xf numFmtId="0" fontId="9" fillId="3" borderId="6" xfId="51" applyFont="1" applyFill="1" applyBorder="1" applyAlignment="1" applyProtection="1">
      <alignment horizontal="center" vertical="center" wrapText="1"/>
    </xf>
    <xf numFmtId="0" fontId="9" fillId="3" borderId="1" xfId="51" applyFont="1" applyFill="1" applyBorder="1" applyAlignment="1" applyProtection="1">
      <alignment vertical="center"/>
    </xf>
    <xf numFmtId="0" fontId="13" fillId="3" borderId="1" xfId="0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/>
    </xf>
    <xf numFmtId="0" fontId="10" fillId="3" borderId="1" xfId="51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center" vertical="center"/>
    </xf>
    <xf numFmtId="0" fontId="9" fillId="3" borderId="10" xfId="51" applyFont="1" applyFill="1" applyBorder="1" applyAlignment="1" applyProtection="1">
      <alignment vertical="center"/>
    </xf>
    <xf numFmtId="0" fontId="9" fillId="3" borderId="11" xfId="51" applyFont="1" applyFill="1" applyBorder="1" applyAlignment="1" applyProtection="1">
      <alignment vertical="center"/>
    </xf>
    <xf numFmtId="0" fontId="9" fillId="3" borderId="13" xfId="51" applyFont="1" applyFill="1" applyBorder="1" applyAlignment="1" applyProtection="1">
      <alignment vertical="center"/>
    </xf>
    <xf numFmtId="0" fontId="9" fillId="3" borderId="1" xfId="51" applyFont="1" applyFill="1" applyBorder="1" applyAlignment="1" applyProtection="1">
      <alignment horizontal="left" vertical="center" wrapText="1"/>
    </xf>
    <xf numFmtId="0" fontId="10" fillId="0" borderId="1" xfId="51" applyFont="1" applyFill="1" applyBorder="1" applyAlignment="1" applyProtection="1">
      <alignment horizontal="center" vertical="center"/>
    </xf>
    <xf numFmtId="0" fontId="10" fillId="0" borderId="1" xfId="5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Protection="1"/>
    <xf numFmtId="0" fontId="10" fillId="3" borderId="9" xfId="1" applyNumberFormat="1" applyFont="1" applyFill="1" applyBorder="1" applyAlignment="1" applyProtection="1">
      <alignment vertical="center"/>
    </xf>
    <xf numFmtId="3" fontId="10" fillId="6" borderId="10" xfId="0" applyNumberFormat="1" applyFont="1" applyFill="1" applyBorder="1" applyAlignment="1" applyProtection="1">
      <alignment vertical="center"/>
    </xf>
    <xf numFmtId="0" fontId="14" fillId="6" borderId="10" xfId="51" applyFont="1" applyFill="1" applyBorder="1" applyAlignment="1" applyProtection="1">
      <alignment horizontal="center" vertical="center"/>
    </xf>
    <xf numFmtId="3" fontId="10" fillId="6" borderId="11" xfId="0" applyNumberFormat="1" applyFont="1" applyFill="1" applyBorder="1" applyAlignment="1" applyProtection="1">
      <alignment vertical="center"/>
    </xf>
    <xf numFmtId="0" fontId="10" fillId="6" borderId="10" xfId="51" applyFont="1" applyFill="1" applyBorder="1" applyAlignment="1" applyProtection="1">
      <alignment horizontal="center" vertical="center"/>
    </xf>
    <xf numFmtId="0" fontId="10" fillId="6" borderId="10" xfId="51" applyFont="1" applyFill="1" applyBorder="1" applyAlignment="1" applyProtection="1">
      <alignment vertical="center"/>
    </xf>
    <xf numFmtId="0" fontId="10" fillId="6" borderId="11" xfId="51" applyFont="1" applyFill="1" applyBorder="1" applyAlignment="1" applyProtection="1">
      <alignment vertical="center"/>
    </xf>
    <xf numFmtId="0" fontId="5" fillId="0" borderId="0" xfId="0" applyFont="1" applyAlignment="1">
      <alignment horizontal="center" vertical="center"/>
    </xf>
    <xf numFmtId="0" fontId="11" fillId="0" borderId="0" xfId="51" applyFont="1">
      <alignment vertical="center"/>
    </xf>
    <xf numFmtId="0" fontId="9" fillId="3" borderId="11" xfId="51" applyFont="1" applyFill="1" applyBorder="1" applyAlignment="1" applyProtection="1">
      <alignment vertical="top" wrapText="1"/>
    </xf>
    <xf numFmtId="3" fontId="15" fillId="3" borderId="6" xfId="51" applyNumberFormat="1" applyFont="1" applyFill="1" applyBorder="1" applyAlignment="1" applyProtection="1">
      <alignment horizontal="right" vertical="center" wrapText="1"/>
    </xf>
    <xf numFmtId="3" fontId="10" fillId="3" borderId="1" xfId="51" applyNumberFormat="1" applyFont="1" applyFill="1" applyBorder="1" applyAlignment="1" applyProtection="1">
      <alignment horizontal="right" vertical="center" wrapText="1"/>
    </xf>
    <xf numFmtId="3" fontId="10" fillId="0" borderId="1" xfId="51" applyNumberFormat="1" applyFont="1" applyFill="1" applyBorder="1" applyAlignment="1" applyProtection="1">
      <alignment horizontal="right" vertical="center" wrapText="1"/>
      <protection locked="0"/>
    </xf>
    <xf numFmtId="3" fontId="9" fillId="3" borderId="1" xfId="1" applyNumberFormat="1" applyFont="1" applyFill="1" applyBorder="1" applyAlignment="1" applyProtection="1">
      <alignment horizontal="right" vertical="center"/>
    </xf>
    <xf numFmtId="0" fontId="10" fillId="3" borderId="1" xfId="51" applyFont="1" applyFill="1" applyBorder="1" applyProtection="1">
      <alignment vertical="center"/>
    </xf>
    <xf numFmtId="3" fontId="9" fillId="3" borderId="1" xfId="1" applyNumberFormat="1" applyFont="1" applyFill="1" applyBorder="1" applyAlignment="1" applyProtection="1">
      <alignment vertical="center"/>
    </xf>
    <xf numFmtId="3" fontId="9" fillId="3" borderId="1" xfId="51" applyNumberFormat="1" applyFont="1" applyFill="1" applyBorder="1" applyAlignment="1" applyProtection="1">
      <alignment horizontal="right" vertical="center" wrapText="1"/>
    </xf>
    <xf numFmtId="0" fontId="7" fillId="3" borderId="13" xfId="51" applyFont="1" applyFill="1" applyBorder="1" applyAlignment="1" applyProtection="1">
      <alignment horizontal="center" vertical="center"/>
    </xf>
    <xf numFmtId="0" fontId="10" fillId="0" borderId="14" xfId="51" applyFont="1" applyBorder="1" applyAlignment="1" applyProtection="1">
      <alignment horizontal="center" vertical="center"/>
    </xf>
    <xf numFmtId="0" fontId="10" fillId="0" borderId="15" xfId="51" applyFont="1" applyBorder="1" applyAlignment="1" applyProtection="1">
      <alignment horizontal="center" vertical="center"/>
    </xf>
    <xf numFmtId="0" fontId="10" fillId="0" borderId="3" xfId="51" applyFont="1" applyBorder="1" applyAlignment="1" applyProtection="1">
      <alignment horizontal="center" vertical="center"/>
    </xf>
    <xf numFmtId="0" fontId="10" fillId="0" borderId="11" xfId="51" applyFont="1" applyBorder="1" applyProtection="1">
      <alignment vertical="center"/>
    </xf>
    <xf numFmtId="0" fontId="10" fillId="0" borderId="13" xfId="51" applyFont="1" applyBorder="1" applyProtection="1">
      <alignment vertical="center"/>
    </xf>
    <xf numFmtId="0" fontId="10" fillId="3" borderId="13" xfId="51" applyFont="1" applyFill="1" applyBorder="1" applyProtection="1">
      <alignment vertical="center"/>
    </xf>
    <xf numFmtId="0" fontId="9" fillId="3" borderId="1" xfId="51" applyFont="1" applyFill="1" applyBorder="1" applyProtection="1">
      <alignment vertical="center"/>
    </xf>
    <xf numFmtId="10" fontId="10" fillId="3" borderId="1" xfId="3" applyNumberFormat="1" applyFont="1" applyFill="1" applyBorder="1" applyAlignment="1" applyProtection="1">
      <alignment horizontal="right" vertical="center" wrapText="1"/>
    </xf>
    <xf numFmtId="0" fontId="15" fillId="3" borderId="1" xfId="51" applyFont="1" applyFill="1" applyBorder="1" applyProtection="1">
      <alignment vertical="center"/>
    </xf>
    <xf numFmtId="10" fontId="9" fillId="3" borderId="1" xfId="3" applyNumberFormat="1" applyFont="1" applyFill="1" applyBorder="1" applyAlignment="1" applyProtection="1">
      <alignment horizontal="right" vertical="center"/>
    </xf>
    <xf numFmtId="10" fontId="9" fillId="3" borderId="1" xfId="51" applyNumberFormat="1" applyFont="1" applyFill="1" applyBorder="1" applyProtection="1">
      <alignment vertical="center"/>
    </xf>
    <xf numFmtId="3" fontId="9" fillId="3" borderId="1" xfId="51" applyNumberFormat="1" applyFont="1" applyFill="1" applyBorder="1" applyProtection="1">
      <alignment vertical="center"/>
    </xf>
    <xf numFmtId="0" fontId="9" fillId="3" borderId="6" xfId="51" applyFont="1" applyFill="1" applyBorder="1" applyAlignment="1" applyProtection="1">
      <alignment horizontal="right" vertical="center" wrapText="1"/>
    </xf>
    <xf numFmtId="3" fontId="9" fillId="3" borderId="6" xfId="51" applyNumberFormat="1" applyFont="1" applyFill="1" applyBorder="1" applyAlignment="1" applyProtection="1">
      <alignment horizontal="center" vertical="center" wrapText="1"/>
    </xf>
    <xf numFmtId="3" fontId="10" fillId="0" borderId="1" xfId="51" applyNumberFormat="1" applyFont="1" applyFill="1" applyBorder="1" applyAlignment="1" applyProtection="1">
      <alignment vertical="center" wrapText="1"/>
      <protection locked="0"/>
    </xf>
    <xf numFmtId="10" fontId="9" fillId="3" borderId="1" xfId="3" applyNumberFormat="1" applyFont="1" applyFill="1" applyBorder="1" applyAlignment="1" applyProtection="1">
      <alignment vertical="center"/>
    </xf>
    <xf numFmtId="10" fontId="9" fillId="3" borderId="1" xfId="51" applyNumberFormat="1" applyFont="1" applyFill="1" applyBorder="1" applyAlignment="1" applyProtection="1">
      <alignment vertical="center"/>
    </xf>
    <xf numFmtId="0" fontId="10" fillId="3" borderId="1" xfId="51" applyFont="1" applyFill="1" applyBorder="1" applyAlignment="1" applyProtection="1">
      <alignment vertical="center"/>
    </xf>
    <xf numFmtId="0" fontId="0" fillId="0" borderId="13" xfId="0" applyBorder="1" applyProtection="1"/>
    <xf numFmtId="0" fontId="10" fillId="0" borderId="13" xfId="51" applyFont="1" applyFill="1" applyBorder="1" applyProtection="1">
      <alignment vertical="center"/>
    </xf>
    <xf numFmtId="0" fontId="10" fillId="0" borderId="11" xfId="51" applyFont="1" applyFill="1" applyBorder="1" applyProtection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Normal 8" xfId="52"/>
  </cellStyles>
  <tableStyles count="0" defaultTableStyle="TableStyleMedium2" defaultPivotStyle="PivotStyleLight16"/>
  <colors>
    <mruColors>
      <color rgb="00FF0000"/>
      <color rgb="00BFBFBF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877570</xdr:colOff>
          <xdr:row>2</xdr:row>
          <xdr:rowOff>167640</xdr:rowOff>
        </xdr:from>
        <xdr:to>
          <xdr:col>6</xdr:col>
          <xdr:colOff>1993265</xdr:colOff>
          <xdr:row>4</xdr:row>
          <xdr:rowOff>114300</xdr:rowOff>
        </xdr:to>
        <xdr:sp macro="[0]!InsertRow78">
          <xdr:nvSpPr>
            <xdr:cNvPr id="1044" name="Button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559550" y="535940"/>
              <a:ext cx="1115695" cy="31496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 sz="1000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 sz="1000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2350770</xdr:colOff>
          <xdr:row>2</xdr:row>
          <xdr:rowOff>167640</xdr:rowOff>
        </xdr:from>
        <xdr:to>
          <xdr:col>8</xdr:col>
          <xdr:colOff>395605</xdr:colOff>
          <xdr:row>4</xdr:row>
          <xdr:rowOff>114300</xdr:rowOff>
        </xdr:to>
        <xdr:sp macro="[0]!DeleteRow78">
          <xdr:nvSpPr>
            <xdr:cNvPr id="1045" name="Button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8032750" y="535940"/>
              <a:ext cx="1118235" cy="31496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 sz="1000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 sz="1000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W29"/>
  <sheetViews>
    <sheetView showGridLines="0" tabSelected="1" zoomScale="80" zoomScaleNormal="80" zoomScaleSheetLayoutView="60" workbookViewId="0">
      <selection activeCell="K16" sqref="K16"/>
    </sheetView>
  </sheetViews>
  <sheetFormatPr defaultColWidth="0" defaultRowHeight="14.5"/>
  <cols>
    <col min="1" max="1" width="5.33636363636364" style="35" customWidth="1"/>
    <col min="2" max="2" width="12.1090909090909" customWidth="1"/>
    <col min="3" max="3" width="28.4454545454545"/>
    <col min="4" max="4" width="13.8909090909091" customWidth="1"/>
    <col min="5" max="6" width="10.7818181818182" customWidth="1"/>
    <col min="7" max="7" width="34.2181818181818"/>
    <col min="8" max="23" width="9.78181818181818" customWidth="1"/>
    <col min="24" max="24" width="8.89090909090909" customWidth="1"/>
    <col min="25" max="16384" width="8.89090909090909" hidden="1"/>
  </cols>
  <sheetData>
    <row r="1" s="35" customFormat="1" spans="1:17">
      <c r="A1" s="38" t="s">
        <v>0</v>
      </c>
      <c r="P1" s="83" t="s">
        <v>1</v>
      </c>
      <c r="Q1" s="83" t="s">
        <v>2</v>
      </c>
    </row>
    <row r="2" spans="1:23">
      <c r="A2" s="38" t="s">
        <v>0</v>
      </c>
      <c r="B2" s="39" t="s">
        <v>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92"/>
    </row>
    <row r="3" spans="1:23">
      <c r="A3" s="38" t="s">
        <v>0</v>
      </c>
      <c r="B3" s="41" t="s">
        <v>4</v>
      </c>
      <c r="C3" s="42" t="s">
        <v>5</v>
      </c>
      <c r="D3" s="42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93"/>
    </row>
    <row r="4" spans="1:23">
      <c r="A4" s="38" t="s">
        <v>0</v>
      </c>
      <c r="B4" s="44" t="s">
        <v>6</v>
      </c>
      <c r="C4" s="42" t="s">
        <v>7</v>
      </c>
      <c r="D4" s="42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94"/>
    </row>
    <row r="5" spans="1:23">
      <c r="A5" s="38" t="s">
        <v>0</v>
      </c>
      <c r="B5" s="46" t="s">
        <v>8</v>
      </c>
      <c r="C5" s="42"/>
      <c r="D5" s="42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95"/>
    </row>
    <row r="6" spans="1:23">
      <c r="A6" s="38" t="s">
        <v>0</v>
      </c>
      <c r="B6" s="48"/>
      <c r="C6" s="48"/>
      <c r="D6" s="49">
        <v>1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95"/>
    </row>
    <row r="7" spans="1:23">
      <c r="A7" s="38" t="s">
        <v>0</v>
      </c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96"/>
      <c r="T7" s="96"/>
      <c r="U7" s="96"/>
      <c r="V7" s="96"/>
      <c r="W7" s="97"/>
    </row>
    <row r="8" spans="1:23">
      <c r="A8" s="38" t="s">
        <v>9</v>
      </c>
      <c r="B8" s="52"/>
      <c r="C8" s="53" t="s">
        <v>10</v>
      </c>
      <c r="D8" s="54">
        <v>0</v>
      </c>
      <c r="E8" s="55"/>
      <c r="F8" s="56"/>
      <c r="G8" s="56"/>
      <c r="H8" s="57"/>
      <c r="I8" s="84"/>
      <c r="J8" s="84"/>
      <c r="K8" s="84"/>
      <c r="L8" s="84"/>
      <c r="M8" s="84"/>
      <c r="N8" s="84"/>
      <c r="O8" s="84"/>
      <c r="P8" s="84"/>
      <c r="Q8" s="84"/>
      <c r="R8" s="84"/>
      <c r="S8" s="57"/>
      <c r="T8" s="57"/>
      <c r="U8" s="57"/>
      <c r="V8" s="57"/>
      <c r="W8" s="98"/>
    </row>
    <row r="9" ht="84" spans="1:23">
      <c r="A9" s="38" t="s">
        <v>9</v>
      </c>
      <c r="B9" s="58"/>
      <c r="C9" s="58"/>
      <c r="D9" s="58" t="s">
        <v>11</v>
      </c>
      <c r="E9" s="59" t="s">
        <v>12</v>
      </c>
      <c r="F9" s="59" t="s">
        <v>13</v>
      </c>
      <c r="G9" s="59" t="s">
        <v>14</v>
      </c>
      <c r="H9" s="59" t="s">
        <v>15</v>
      </c>
      <c r="I9" s="59" t="s">
        <v>16</v>
      </c>
      <c r="J9" s="59" t="s">
        <v>17</v>
      </c>
      <c r="K9" s="59" t="s">
        <v>18</v>
      </c>
      <c r="L9" s="62" t="s">
        <v>19</v>
      </c>
      <c r="M9" s="62" t="s">
        <v>20</v>
      </c>
      <c r="N9" s="62" t="s">
        <v>21</v>
      </c>
      <c r="O9" s="62" t="s">
        <v>22</v>
      </c>
      <c r="P9" s="62" t="s">
        <v>23</v>
      </c>
      <c r="Q9" s="59" t="s">
        <v>24</v>
      </c>
      <c r="R9" s="59" t="s">
        <v>25</v>
      </c>
      <c r="S9" s="59" t="s">
        <v>26</v>
      </c>
      <c r="T9" s="59" t="s">
        <v>27</v>
      </c>
      <c r="U9" s="59" t="s">
        <v>28</v>
      </c>
      <c r="V9" s="59" t="s">
        <v>29</v>
      </c>
      <c r="W9" s="59" t="s">
        <v>30</v>
      </c>
    </row>
    <row r="10" spans="1:23">
      <c r="A10" s="38" t="s">
        <v>9</v>
      </c>
      <c r="B10" s="60" t="s">
        <v>31</v>
      </c>
      <c r="C10" s="58"/>
      <c r="D10" s="58"/>
      <c r="E10" s="61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99"/>
    </row>
    <row r="11" spans="1:23">
      <c r="A11" s="38" t="s">
        <v>32</v>
      </c>
      <c r="B11" s="63" t="s">
        <v>33</v>
      </c>
      <c r="C11" s="58"/>
      <c r="D11" s="58"/>
      <c r="E11" s="61"/>
      <c r="F11" s="62"/>
      <c r="G11" s="62"/>
      <c r="H11" s="62"/>
      <c r="I11" s="62"/>
      <c r="J11" s="62"/>
      <c r="K11" s="85">
        <f>+K19+K23</f>
        <v>0</v>
      </c>
      <c r="L11" s="85">
        <f>+L19+L23</f>
        <v>0</v>
      </c>
      <c r="M11" s="85">
        <f>+M19+M23</f>
        <v>0</v>
      </c>
      <c r="N11" s="85">
        <f>+N19+N23</f>
        <v>0</v>
      </c>
      <c r="O11" s="85">
        <f>+O19+O23</f>
        <v>0</v>
      </c>
      <c r="P11" s="86">
        <f>K11+L11+N11+O11</f>
        <v>0</v>
      </c>
      <c r="Q11" s="100">
        <f>IF(D8=0,0,+P11/D8)</f>
        <v>0</v>
      </c>
      <c r="R11" s="62"/>
      <c r="S11" s="85">
        <f>+S19+S23</f>
        <v>0</v>
      </c>
      <c r="T11" s="85">
        <f>+T19+T23</f>
        <v>0</v>
      </c>
      <c r="U11" s="85"/>
      <c r="V11" s="85">
        <f>+V19+V23</f>
        <v>0</v>
      </c>
      <c r="W11" s="101"/>
    </row>
    <row r="12" spans="1:23">
      <c r="A12" s="38" t="s">
        <v>34</v>
      </c>
      <c r="B12" s="64"/>
      <c r="C12" s="64"/>
      <c r="D12" s="65" t="s">
        <v>35</v>
      </c>
      <c r="E12" s="66"/>
      <c r="F12" s="66"/>
      <c r="G12" s="66"/>
      <c r="H12" s="66"/>
      <c r="I12" s="66"/>
      <c r="J12" s="64"/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6">
        <f>K12+L12+N12+O12</f>
        <v>0</v>
      </c>
      <c r="Q12" s="100">
        <f>IF(D8=0,0,+P12/D8)</f>
        <v>0</v>
      </c>
      <c r="R12" s="73" t="s">
        <v>36</v>
      </c>
      <c r="S12" s="87">
        <v>0</v>
      </c>
      <c r="T12" s="87">
        <v>0</v>
      </c>
      <c r="U12" s="73" t="s">
        <v>36</v>
      </c>
      <c r="V12" s="87">
        <v>0</v>
      </c>
      <c r="W12" s="73" t="s">
        <v>36</v>
      </c>
    </row>
    <row r="13" spans="1:23">
      <c r="A13" s="38" t="s">
        <v>34</v>
      </c>
      <c r="B13" s="64"/>
      <c r="C13" s="64"/>
      <c r="D13" s="65" t="s">
        <v>37</v>
      </c>
      <c r="E13" s="66"/>
      <c r="F13" s="66"/>
      <c r="G13" s="66"/>
      <c r="H13" s="66"/>
      <c r="I13" s="66"/>
      <c r="J13" s="64"/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6">
        <f t="shared" ref="P13:P19" si="0">K13+L13+N13+O13</f>
        <v>0</v>
      </c>
      <c r="Q13" s="100">
        <f>IF(D8=0,0,+P13/D8)</f>
        <v>0</v>
      </c>
      <c r="R13" s="73" t="s">
        <v>36</v>
      </c>
      <c r="S13" s="87">
        <v>0</v>
      </c>
      <c r="T13" s="87">
        <v>0</v>
      </c>
      <c r="U13" s="73" t="s">
        <v>36</v>
      </c>
      <c r="V13" s="87">
        <v>0</v>
      </c>
      <c r="W13" s="73" t="s">
        <v>36</v>
      </c>
    </row>
    <row r="14" spans="1:23">
      <c r="A14" s="38" t="s">
        <v>34</v>
      </c>
      <c r="B14" s="64"/>
      <c r="C14" s="64"/>
      <c r="D14" s="65" t="s">
        <v>38</v>
      </c>
      <c r="E14" s="66"/>
      <c r="F14" s="66"/>
      <c r="G14" s="66"/>
      <c r="H14" s="66"/>
      <c r="I14" s="66"/>
      <c r="J14" s="64"/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6">
        <f t="shared" si="0"/>
        <v>0</v>
      </c>
      <c r="Q14" s="100">
        <f>IF(D8=0,0,+P14/D8)</f>
        <v>0</v>
      </c>
      <c r="R14" s="73" t="s">
        <v>36</v>
      </c>
      <c r="S14" s="87">
        <v>0</v>
      </c>
      <c r="T14" s="87">
        <v>0</v>
      </c>
      <c r="U14" s="73" t="s">
        <v>36</v>
      </c>
      <c r="V14" s="87">
        <v>0</v>
      </c>
      <c r="W14" s="73" t="s">
        <v>36</v>
      </c>
    </row>
    <row r="15" spans="1:23">
      <c r="A15" s="38" t="s">
        <v>34</v>
      </c>
      <c r="B15" s="64"/>
      <c r="C15" s="64"/>
      <c r="D15" s="65" t="s">
        <v>39</v>
      </c>
      <c r="E15" s="66"/>
      <c r="F15" s="66"/>
      <c r="G15" s="66"/>
      <c r="H15" s="66"/>
      <c r="I15" s="66" t="s">
        <v>40</v>
      </c>
      <c r="J15" s="64"/>
      <c r="K15" s="87">
        <v>0</v>
      </c>
      <c r="L15" s="87">
        <v>0</v>
      </c>
      <c r="M15" s="87">
        <v>0</v>
      </c>
      <c r="N15" s="87">
        <v>0</v>
      </c>
      <c r="O15" s="87">
        <v>0</v>
      </c>
      <c r="P15" s="86">
        <f t="shared" si="0"/>
        <v>0</v>
      </c>
      <c r="Q15" s="100">
        <f>IF(D8=0,0,+P15/D8)</f>
        <v>0</v>
      </c>
      <c r="R15" s="73" t="s">
        <v>36</v>
      </c>
      <c r="S15" s="87">
        <v>0</v>
      </c>
      <c r="T15" s="87">
        <v>0</v>
      </c>
      <c r="U15" s="73" t="s">
        <v>36</v>
      </c>
      <c r="V15" s="87">
        <v>0</v>
      </c>
      <c r="W15" s="73" t="s">
        <v>36</v>
      </c>
    </row>
    <row r="16" spans="1:23">
      <c r="A16" s="38" t="s">
        <v>34</v>
      </c>
      <c r="B16" s="64"/>
      <c r="C16" s="64"/>
      <c r="D16" s="65" t="s">
        <v>41</v>
      </c>
      <c r="E16" s="66"/>
      <c r="F16" s="66"/>
      <c r="G16" s="66"/>
      <c r="H16" s="66"/>
      <c r="I16" s="66"/>
      <c r="J16" s="64"/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6">
        <f t="shared" si="0"/>
        <v>0</v>
      </c>
      <c r="Q16" s="100">
        <f>IF(D8=0,0,+P16/D8)</f>
        <v>0</v>
      </c>
      <c r="R16" s="73" t="s">
        <v>36</v>
      </c>
      <c r="S16" s="87">
        <v>0</v>
      </c>
      <c r="T16" s="87">
        <v>0</v>
      </c>
      <c r="U16" s="73" t="s">
        <v>36</v>
      </c>
      <c r="V16" s="87">
        <v>0</v>
      </c>
      <c r="W16" s="73" t="s">
        <v>36</v>
      </c>
    </row>
    <row r="17" spans="1:23">
      <c r="A17" s="38" t="s">
        <v>34</v>
      </c>
      <c r="B17" s="64"/>
      <c r="C17" s="64"/>
      <c r="D17" s="65" t="s">
        <v>42</v>
      </c>
      <c r="E17" s="66"/>
      <c r="F17" s="66"/>
      <c r="G17" s="66"/>
      <c r="H17" s="66"/>
      <c r="I17" s="66"/>
      <c r="J17" s="64"/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6">
        <f t="shared" si="0"/>
        <v>0</v>
      </c>
      <c r="Q17" s="100">
        <f>IF(D8=0,0,+P17/D8)</f>
        <v>0</v>
      </c>
      <c r="R17" s="73" t="s">
        <v>36</v>
      </c>
      <c r="S17" s="87">
        <v>0</v>
      </c>
      <c r="T17" s="87">
        <v>0</v>
      </c>
      <c r="U17" s="73" t="s">
        <v>36</v>
      </c>
      <c r="V17" s="87">
        <v>0</v>
      </c>
      <c r="W17" s="73" t="s">
        <v>36</v>
      </c>
    </row>
    <row r="18" spans="1:23">
      <c r="A18" s="38" t="s">
        <v>34</v>
      </c>
      <c r="B18" s="64"/>
      <c r="C18" s="64"/>
      <c r="D18" s="65" t="s">
        <v>43</v>
      </c>
      <c r="E18" s="66"/>
      <c r="F18" s="66"/>
      <c r="G18" s="66"/>
      <c r="H18" s="66"/>
      <c r="I18" s="66"/>
      <c r="J18" s="64"/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6">
        <f t="shared" si="0"/>
        <v>0</v>
      </c>
      <c r="Q18" s="100">
        <f>IF(D8=0,0,+P18/D8)</f>
        <v>0</v>
      </c>
      <c r="R18" s="73" t="s">
        <v>36</v>
      </c>
      <c r="S18" s="87">
        <v>0</v>
      </c>
      <c r="T18" s="87">
        <v>0</v>
      </c>
      <c r="U18" s="73" t="s">
        <v>36</v>
      </c>
      <c r="V18" s="87">
        <v>0</v>
      </c>
      <c r="W18" s="73" t="s">
        <v>36</v>
      </c>
    </row>
    <row r="19" spans="1:23">
      <c r="A19" s="38" t="s">
        <v>44</v>
      </c>
      <c r="B19" s="60" t="s">
        <v>45</v>
      </c>
      <c r="C19" s="67"/>
      <c r="D19" s="60"/>
      <c r="E19" s="60"/>
      <c r="F19" s="60"/>
      <c r="G19" s="60"/>
      <c r="H19" s="67"/>
      <c r="I19" s="67"/>
      <c r="J19" s="67"/>
      <c r="K19" s="88">
        <f>SUM(K12:K18)</f>
        <v>0</v>
      </c>
      <c r="L19" s="88">
        <f>SUM(L12:L18)</f>
        <v>0</v>
      </c>
      <c r="M19" s="88">
        <f>SUM(M12:M18)</f>
        <v>0</v>
      </c>
      <c r="N19" s="88">
        <f>SUM(N12:N18)</f>
        <v>0</v>
      </c>
      <c r="O19" s="88">
        <f>SUM(O12:O18)</f>
        <v>0</v>
      </c>
      <c r="P19" s="86">
        <f t="shared" si="0"/>
        <v>0</v>
      </c>
      <c r="Q19" s="102">
        <f>IF(D8=0,0,+P19/D8)</f>
        <v>0</v>
      </c>
      <c r="R19" s="103"/>
      <c r="S19" s="104">
        <f>SUM(S12:S18)</f>
        <v>0</v>
      </c>
      <c r="T19" s="104">
        <f>SUM(T12:T18)</f>
        <v>0</v>
      </c>
      <c r="U19" s="103"/>
      <c r="V19" s="104">
        <f>SUM(V12:V18)</f>
        <v>0</v>
      </c>
      <c r="W19" s="89"/>
    </row>
    <row r="20" spans="1:23">
      <c r="A20" s="38" t="s">
        <v>9</v>
      </c>
      <c r="B20" s="68" t="s">
        <v>46</v>
      </c>
      <c r="C20" s="69"/>
      <c r="D20" s="70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105"/>
      <c r="R20" s="62"/>
      <c r="S20" s="106"/>
      <c r="T20" s="106"/>
      <c r="U20" s="62"/>
      <c r="V20" s="106"/>
      <c r="W20" s="99"/>
    </row>
    <row r="21" spans="1:23">
      <c r="A21" s="38" t="s">
        <v>9</v>
      </c>
      <c r="B21" s="61"/>
      <c r="C21" s="71" t="s">
        <v>47</v>
      </c>
      <c r="D21" s="61" t="s">
        <v>48</v>
      </c>
      <c r="E21" s="61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105"/>
      <c r="R21" s="62"/>
      <c r="S21" s="106"/>
      <c r="T21" s="106"/>
      <c r="U21" s="62"/>
      <c r="V21" s="106"/>
      <c r="W21" s="99"/>
    </row>
    <row r="22" spans="1:23">
      <c r="A22" s="38" t="s">
        <v>49</v>
      </c>
      <c r="B22" s="72">
        <v>1</v>
      </c>
      <c r="C22" s="73" t="s">
        <v>36</v>
      </c>
      <c r="D22" s="73" t="s">
        <v>36</v>
      </c>
      <c r="E22" s="73" t="s">
        <v>36</v>
      </c>
      <c r="F22" s="73" t="s">
        <v>36</v>
      </c>
      <c r="G22" s="73" t="s">
        <v>36</v>
      </c>
      <c r="H22" s="73" t="s">
        <v>36</v>
      </c>
      <c r="I22" s="73" t="s">
        <v>36</v>
      </c>
      <c r="J22" s="73" t="s">
        <v>36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6">
        <f>K22+L22+N22+O22</f>
        <v>0</v>
      </c>
      <c r="Q22" s="100">
        <f>IF(D8=0,0,+P22/D8)</f>
        <v>0</v>
      </c>
      <c r="R22" s="73" t="s">
        <v>36</v>
      </c>
      <c r="S22" s="107">
        <v>0</v>
      </c>
      <c r="T22" s="107">
        <v>0</v>
      </c>
      <c r="U22" s="73" t="s">
        <v>36</v>
      </c>
      <c r="V22" s="87">
        <v>0</v>
      </c>
      <c r="W22" s="73" t="s">
        <v>36</v>
      </c>
    </row>
    <row r="23" s="36" customFormat="1" spans="1:23">
      <c r="A23" s="74" t="s">
        <v>50</v>
      </c>
      <c r="B23" s="60" t="s">
        <v>51</v>
      </c>
      <c r="C23" s="75"/>
      <c r="D23" s="60"/>
      <c r="E23" s="60"/>
      <c r="F23" s="60"/>
      <c r="G23" s="60"/>
      <c r="H23" s="67"/>
      <c r="I23" s="67"/>
      <c r="J23" s="89"/>
      <c r="K23" s="90">
        <f>SUM(SUMIFS(K22:K50002,$F$22:$F$50002,{"s","g"}))</f>
        <v>0</v>
      </c>
      <c r="L23" s="90">
        <f>SUM(SUMIFS(L22:L50002,$F$22:$F$50002,{"s","g"}))</f>
        <v>0</v>
      </c>
      <c r="M23" s="90">
        <f>SUM(SUMIFS(M22:M50002,$F$22:$F$50002,{"s","g"}))</f>
        <v>0</v>
      </c>
      <c r="N23" s="90">
        <f>SUM(SUMIFS(N22:N50002,$F$22:$F$50002,{"s","g"}))</f>
        <v>0</v>
      </c>
      <c r="O23" s="90">
        <f>SUM(SUMIFS(O22:O50002,$F$22:$F$50002,{"s","g"}))</f>
        <v>0</v>
      </c>
      <c r="P23" s="91">
        <f>K23+L23+N23+O23</f>
        <v>0</v>
      </c>
      <c r="Q23" s="108">
        <f>IF(D8=0,0,+P23/D8)</f>
        <v>0</v>
      </c>
      <c r="R23" s="109"/>
      <c r="S23" s="90">
        <f>SUM(SUMIFS(S22:S50002,$F$22:$F$50002,{"s","g"}))</f>
        <v>0</v>
      </c>
      <c r="T23" s="90">
        <f>SUM(SUMIFS(T22:T50002,$F$22:$F$50002,{"s","g"}))</f>
        <v>0</v>
      </c>
      <c r="U23" s="109"/>
      <c r="V23" s="90">
        <f>SUM(SUMIFS(V22:V50002,$F$22:$F$50002,{"s","g"}))</f>
        <v>0</v>
      </c>
      <c r="W23" s="110"/>
    </row>
    <row r="24" s="36" customFormat="1" spans="1:23">
      <c r="A24" s="74" t="s">
        <v>0</v>
      </c>
      <c r="B24" s="76"/>
      <c r="W24" s="111"/>
    </row>
    <row r="25" s="36" customFormat="1" spans="1:23">
      <c r="A25" s="74" t="s">
        <v>0</v>
      </c>
      <c r="B25" s="76" t="s">
        <v>52</v>
      </c>
      <c r="C25" s="77"/>
      <c r="D25" s="76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112"/>
    </row>
    <row r="26" s="36" customFormat="1" spans="1:23">
      <c r="A26" s="74" t="s">
        <v>0</v>
      </c>
      <c r="B26" s="76" t="s">
        <v>53</v>
      </c>
      <c r="C26" s="79"/>
      <c r="D26" s="76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113"/>
      <c r="T26" s="113"/>
      <c r="U26" s="113"/>
      <c r="V26" s="113"/>
      <c r="W26" s="112"/>
    </row>
    <row r="27" s="36" customFormat="1" spans="1:23">
      <c r="A27" s="74" t="s">
        <v>0</v>
      </c>
      <c r="B27" s="80" t="s">
        <v>54</v>
      </c>
      <c r="C27" s="79"/>
      <c r="D27" s="80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96"/>
      <c r="T27" s="96"/>
      <c r="U27" s="96"/>
      <c r="V27" s="96"/>
      <c r="W27" s="97"/>
    </row>
    <row r="28" s="37" customFormat="1" spans="1:1">
      <c r="A28" s="82"/>
    </row>
    <row r="29" s="37" customFormat="1" spans="1:1">
      <c r="A29" s="82"/>
    </row>
  </sheetData>
  <sheetProtection password="DE1B" sheet="1" objects="1" scenarios="1"/>
  <mergeCells count="5">
    <mergeCell ref="B2:W2"/>
    <mergeCell ref="C3:D3"/>
    <mergeCell ref="C4:D4"/>
    <mergeCell ref="C5:D5"/>
    <mergeCell ref="B6:C6"/>
  </mergeCells>
  <dataValidations count="7">
    <dataValidation type="whole" operator="greaterThanOrEqual" allowBlank="1" showInputMessage="1" showErrorMessage="1" error="Please input a valid data!" sqref="D8 F8:G8 I8:J8">
      <formula1>0</formula1>
    </dataValidation>
    <dataValidation type="list" allowBlank="1" showInputMessage="1" showErrorMessage="1" sqref="D22">
      <formula1>EMIRATE</formula1>
    </dataValidation>
    <dataValidation type="list" allowBlank="1" showInputMessage="1" showErrorMessage="1" sqref="F22">
      <formula1>COMPANYCODE</formula1>
    </dataValidation>
    <dataValidation type="list" allowBlank="1" showInputMessage="1" showErrorMessage="1" sqref="H22">
      <formula1>CREDITREP</formula1>
    </dataValidation>
    <dataValidation type="list" allowBlank="1" showInputMessage="1" showErrorMessage="1" sqref="I22">
      <formula1>CREDITRATINGTYPECODE</formula1>
    </dataValidation>
    <dataValidation type="list" allowBlank="1" showInputMessage="1" showErrorMessage="1" sqref="J22">
      <formula1>CURRENCY</formula1>
    </dataValidation>
    <dataValidation type="whole" operator="greaterThanOrEqual" allowBlank="1" showInputMessage="1" showErrorMessage="1" sqref="K22:O22 S22:T22 V22 P11:P19 V12:V18 S12:T18 K12:O18">
      <formula1>0</formula1>
    </dataValidation>
  </dataValidations>
  <pageMargins left="0.7" right="0.7" top="0.75" bottom="0.75" header="0.3" footer="0.3"/>
  <pageSetup paperSize="9" scale="49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4" name="Button 20" r:id="rId3">
              <controlPr print="0" defaultSize="0">
                <anchor moveWithCells="1" sizeWithCells="1">
                  <from>
                    <xdr:col>6</xdr:col>
                    <xdr:colOff>877570</xdr:colOff>
                    <xdr:row>2</xdr:row>
                    <xdr:rowOff>167640</xdr:rowOff>
                  </from>
                  <to>
                    <xdr:col>6</xdr:col>
                    <xdr:colOff>1993265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name="Button 21" r:id="rId4">
              <controlPr print="0" defaultSize="0">
                <anchor moveWithCells="1" sizeWithCells="1">
                  <from>
                    <xdr:col>6</xdr:col>
                    <xdr:colOff>2350770</xdr:colOff>
                    <xdr:row>2</xdr:row>
                    <xdr:rowOff>167640</xdr:rowOff>
                  </from>
                  <to>
                    <xdr:col>8</xdr:col>
                    <xdr:colOff>395605</xdr:colOff>
                    <xdr:row>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175"/>
  <sheetViews>
    <sheetView zoomScaleSheetLayoutView="60" workbookViewId="0">
      <selection activeCell="I12" sqref="I12"/>
    </sheetView>
  </sheetViews>
  <sheetFormatPr defaultColWidth="8.72727272727273" defaultRowHeight="14.5"/>
  <cols>
    <col min="1" max="1" width="14.8909090909091" customWidth="1"/>
    <col min="2" max="2" width="24" customWidth="1"/>
    <col min="3" max="3" width="3.21818181818182" customWidth="1"/>
    <col min="5" max="5" width="32.1090909090909" customWidth="1"/>
    <col min="6" max="6" width="2.33636363636364" customWidth="1"/>
    <col min="11" max="11" width="2.55454545454545" customWidth="1"/>
    <col min="12" max="12" width="8.10909090909091"/>
    <col min="13" max="13" width="23.5545454545455"/>
    <col min="14" max="14" width="2.33636363636364" customWidth="1"/>
    <col min="16" max="16" width="38.6636363636364"/>
    <col min="17" max="17" width="2.55454545454545" customWidth="1"/>
    <col min="19" max="19" width="61.2181818181818"/>
  </cols>
  <sheetData>
    <row r="1" spans="1:19">
      <c r="A1" s="1" t="s">
        <v>48</v>
      </c>
      <c r="B1" s="1"/>
      <c r="D1" s="1" t="s">
        <v>55</v>
      </c>
      <c r="E1" s="1"/>
      <c r="G1" s="2" t="s">
        <v>56</v>
      </c>
      <c r="H1" s="2"/>
      <c r="I1" s="2"/>
      <c r="J1" s="11"/>
      <c r="L1" s="12" t="s">
        <v>16</v>
      </c>
      <c r="M1" s="12"/>
      <c r="O1" s="13" t="s">
        <v>17</v>
      </c>
      <c r="P1" s="13"/>
      <c r="R1" s="13" t="s">
        <v>57</v>
      </c>
      <c r="S1" s="13"/>
    </row>
    <row r="2" spans="1:19">
      <c r="A2" s="3" t="s">
        <v>58</v>
      </c>
      <c r="B2" s="4" t="s">
        <v>59</v>
      </c>
      <c r="D2" s="3" t="s">
        <v>58</v>
      </c>
      <c r="E2" s="4" t="s">
        <v>59</v>
      </c>
      <c r="G2" s="3" t="s">
        <v>58</v>
      </c>
      <c r="H2" s="3" t="s">
        <v>60</v>
      </c>
      <c r="I2" s="3" t="s">
        <v>61</v>
      </c>
      <c r="J2" s="3" t="s">
        <v>62</v>
      </c>
      <c r="L2" s="4" t="s">
        <v>58</v>
      </c>
      <c r="M2" s="4" t="s">
        <v>59</v>
      </c>
      <c r="O2" s="14" t="s">
        <v>58</v>
      </c>
      <c r="P2" s="3" t="s">
        <v>17</v>
      </c>
      <c r="R2" s="3" t="s">
        <v>58</v>
      </c>
      <c r="S2" s="18" t="s">
        <v>59</v>
      </c>
    </row>
    <row r="3" spans="1:19">
      <c r="A3" s="5" t="s">
        <v>63</v>
      </c>
      <c r="B3" s="5" t="s">
        <v>63</v>
      </c>
      <c r="D3" s="6" t="s">
        <v>64</v>
      </c>
      <c r="E3" s="5" t="s">
        <v>65</v>
      </c>
      <c r="G3" s="6">
        <v>1</v>
      </c>
      <c r="H3" s="6" t="s">
        <v>66</v>
      </c>
      <c r="I3" s="6" t="s">
        <v>67</v>
      </c>
      <c r="J3" s="6" t="s">
        <v>66</v>
      </c>
      <c r="L3" s="15" t="s">
        <v>60</v>
      </c>
      <c r="M3" s="15" t="s">
        <v>68</v>
      </c>
      <c r="O3" s="16" t="s">
        <v>69</v>
      </c>
      <c r="P3" s="5" t="s">
        <v>70</v>
      </c>
      <c r="R3" s="19" t="s">
        <v>71</v>
      </c>
      <c r="S3" s="20" t="s">
        <v>72</v>
      </c>
    </row>
    <row r="4" spans="1:19">
      <c r="A4" s="5" t="s">
        <v>73</v>
      </c>
      <c r="B4" s="5" t="s">
        <v>73</v>
      </c>
      <c r="D4" s="6" t="s">
        <v>74</v>
      </c>
      <c r="E4" s="5" t="s">
        <v>75</v>
      </c>
      <c r="G4" s="6">
        <v>2</v>
      </c>
      <c r="H4" s="6" t="s">
        <v>76</v>
      </c>
      <c r="I4" s="6" t="s">
        <v>77</v>
      </c>
      <c r="J4" s="6" t="s">
        <v>76</v>
      </c>
      <c r="L4" s="15" t="s">
        <v>78</v>
      </c>
      <c r="M4" s="15" t="s">
        <v>79</v>
      </c>
      <c r="O4" s="16" t="s">
        <v>80</v>
      </c>
      <c r="P4" s="5" t="s">
        <v>81</v>
      </c>
      <c r="R4" s="21"/>
      <c r="S4" s="22" t="s">
        <v>82</v>
      </c>
    </row>
    <row r="5" spans="1:19">
      <c r="A5" s="5" t="s">
        <v>83</v>
      </c>
      <c r="B5" s="5" t="s">
        <v>83</v>
      </c>
      <c r="D5" s="6" t="s">
        <v>84</v>
      </c>
      <c r="E5" s="5" t="s">
        <v>85</v>
      </c>
      <c r="G5" s="6">
        <v>3</v>
      </c>
      <c r="H5" s="6" t="s">
        <v>86</v>
      </c>
      <c r="I5" s="6" t="s">
        <v>87</v>
      </c>
      <c r="J5" s="6" t="s">
        <v>86</v>
      </c>
      <c r="L5" s="5" t="s">
        <v>62</v>
      </c>
      <c r="M5" s="15" t="s">
        <v>88</v>
      </c>
      <c r="O5" s="16" t="s">
        <v>89</v>
      </c>
      <c r="P5" s="5" t="s">
        <v>90</v>
      </c>
      <c r="R5" s="21"/>
      <c r="S5" s="22" t="s">
        <v>91</v>
      </c>
    </row>
    <row r="6" spans="1:19">
      <c r="A6" s="7" t="s">
        <v>92</v>
      </c>
      <c r="B6" s="7" t="s">
        <v>92</v>
      </c>
      <c r="D6" s="8"/>
      <c r="E6" s="9"/>
      <c r="G6" s="6">
        <v>4</v>
      </c>
      <c r="H6" s="6" t="s">
        <v>93</v>
      </c>
      <c r="I6" s="6" t="s">
        <v>94</v>
      </c>
      <c r="J6" s="6" t="s">
        <v>93</v>
      </c>
      <c r="L6" s="17" t="s">
        <v>95</v>
      </c>
      <c r="M6" s="7" t="s">
        <v>96</v>
      </c>
      <c r="O6" s="16" t="s">
        <v>97</v>
      </c>
      <c r="P6" s="5" t="s">
        <v>98</v>
      </c>
      <c r="R6" s="21"/>
      <c r="S6" s="22" t="s">
        <v>99</v>
      </c>
    </row>
    <row r="7" spans="1:19">
      <c r="A7" s="5" t="s">
        <v>41</v>
      </c>
      <c r="B7" s="5" t="s">
        <v>100</v>
      </c>
      <c r="D7" s="10"/>
      <c r="E7" s="10"/>
      <c r="G7" s="6">
        <v>5</v>
      </c>
      <c r="H7" s="6" t="s">
        <v>101</v>
      </c>
      <c r="I7" s="6" t="s">
        <v>102</v>
      </c>
      <c r="J7" s="6" t="s">
        <v>101</v>
      </c>
      <c r="O7" s="16" t="s">
        <v>103</v>
      </c>
      <c r="P7" s="5" t="s">
        <v>104</v>
      </c>
      <c r="R7" s="21"/>
      <c r="S7" s="22" t="s">
        <v>105</v>
      </c>
    </row>
    <row r="8" spans="1:19">
      <c r="A8" s="5" t="s">
        <v>42</v>
      </c>
      <c r="B8" s="5" t="s">
        <v>106</v>
      </c>
      <c r="G8" s="6">
        <v>6</v>
      </c>
      <c r="H8" s="6" t="s">
        <v>71</v>
      </c>
      <c r="I8" s="6" t="s">
        <v>107</v>
      </c>
      <c r="J8" s="6" t="s">
        <v>71</v>
      </c>
      <c r="O8" s="16" t="s">
        <v>108</v>
      </c>
      <c r="P8" s="5" t="s">
        <v>109</v>
      </c>
      <c r="R8" s="21"/>
      <c r="S8" s="22" t="s">
        <v>110</v>
      </c>
    </row>
    <row r="9" spans="1:19">
      <c r="A9" s="5" t="s">
        <v>111</v>
      </c>
      <c r="B9" s="5" t="s">
        <v>111</v>
      </c>
      <c r="G9" s="6">
        <v>7</v>
      </c>
      <c r="H9" s="6" t="s">
        <v>112</v>
      </c>
      <c r="I9" s="6" t="s">
        <v>113</v>
      </c>
      <c r="J9" s="6" t="s">
        <v>112</v>
      </c>
      <c r="O9" s="16" t="s">
        <v>114</v>
      </c>
      <c r="P9" s="5" t="s">
        <v>115</v>
      </c>
      <c r="R9" s="21"/>
      <c r="S9" s="22" t="s">
        <v>116</v>
      </c>
    </row>
    <row r="10" spans="7:19">
      <c r="G10" s="6">
        <v>8</v>
      </c>
      <c r="H10" s="6" t="s">
        <v>117</v>
      </c>
      <c r="I10" s="6" t="s">
        <v>118</v>
      </c>
      <c r="J10" s="6" t="s">
        <v>117</v>
      </c>
      <c r="O10" s="16" t="s">
        <v>119</v>
      </c>
      <c r="P10" s="5" t="s">
        <v>120</v>
      </c>
      <c r="R10" s="21"/>
      <c r="S10" s="22" t="s">
        <v>121</v>
      </c>
    </row>
    <row r="11" spans="7:19">
      <c r="G11" s="6">
        <v>9</v>
      </c>
      <c r="H11" s="6" t="s">
        <v>122</v>
      </c>
      <c r="I11" s="6" t="s">
        <v>123</v>
      </c>
      <c r="J11" s="6" t="s">
        <v>122</v>
      </c>
      <c r="O11" s="16" t="s">
        <v>124</v>
      </c>
      <c r="P11" s="5" t="s">
        <v>125</v>
      </c>
      <c r="R11" s="21"/>
      <c r="S11" s="22" t="s">
        <v>126</v>
      </c>
    </row>
    <row r="12" spans="7:19">
      <c r="G12" s="6">
        <v>10</v>
      </c>
      <c r="H12" s="6" t="s">
        <v>127</v>
      </c>
      <c r="I12" s="6" t="s">
        <v>128</v>
      </c>
      <c r="J12" s="6" t="s">
        <v>127</v>
      </c>
      <c r="O12" s="16" t="s">
        <v>129</v>
      </c>
      <c r="P12" s="5" t="s">
        <v>130</v>
      </c>
      <c r="R12" s="21"/>
      <c r="S12" s="22" t="s">
        <v>131</v>
      </c>
    </row>
    <row r="13" spans="7:19">
      <c r="G13" s="6">
        <v>11</v>
      </c>
      <c r="H13" s="6" t="s">
        <v>132</v>
      </c>
      <c r="I13" s="6" t="s">
        <v>133</v>
      </c>
      <c r="J13" s="6" t="s">
        <v>132</v>
      </c>
      <c r="O13" s="16" t="s">
        <v>134</v>
      </c>
      <c r="P13" s="5" t="s">
        <v>135</v>
      </c>
      <c r="R13" s="21"/>
      <c r="S13" s="22" t="s">
        <v>136</v>
      </c>
    </row>
    <row r="14" spans="7:19">
      <c r="G14" s="6">
        <v>12</v>
      </c>
      <c r="H14" s="6" t="s">
        <v>137</v>
      </c>
      <c r="I14" s="6" t="s">
        <v>138</v>
      </c>
      <c r="J14" s="6" t="s">
        <v>137</v>
      </c>
      <c r="O14" s="16" t="s">
        <v>139</v>
      </c>
      <c r="P14" s="5" t="s">
        <v>140</v>
      </c>
      <c r="R14" s="21"/>
      <c r="S14" s="22" t="s">
        <v>141</v>
      </c>
    </row>
    <row r="15" spans="7:19">
      <c r="G15" s="6">
        <v>13</v>
      </c>
      <c r="H15" s="6" t="s">
        <v>142</v>
      </c>
      <c r="I15" s="6" t="s">
        <v>143</v>
      </c>
      <c r="J15" s="6" t="s">
        <v>142</v>
      </c>
      <c r="O15" s="16" t="s">
        <v>144</v>
      </c>
      <c r="P15" s="5" t="s">
        <v>145</v>
      </c>
      <c r="R15" s="23"/>
      <c r="S15" s="24" t="s">
        <v>146</v>
      </c>
    </row>
    <row r="16" spans="7:19">
      <c r="G16" s="6">
        <v>14</v>
      </c>
      <c r="H16" s="6" t="s">
        <v>147</v>
      </c>
      <c r="I16" s="6" t="s">
        <v>34</v>
      </c>
      <c r="J16" s="6" t="s">
        <v>147</v>
      </c>
      <c r="O16" s="16" t="s">
        <v>148</v>
      </c>
      <c r="P16" s="5" t="s">
        <v>149</v>
      </c>
      <c r="R16" s="25" t="s">
        <v>150</v>
      </c>
      <c r="S16" s="26" t="s">
        <v>151</v>
      </c>
    </row>
    <row r="17" spans="7:19">
      <c r="G17" s="6">
        <v>15</v>
      </c>
      <c r="H17" s="6" t="s">
        <v>150</v>
      </c>
      <c r="I17" s="6" t="s">
        <v>49</v>
      </c>
      <c r="J17" s="6" t="s">
        <v>150</v>
      </c>
      <c r="O17" s="16" t="s">
        <v>152</v>
      </c>
      <c r="P17" s="5" t="s">
        <v>153</v>
      </c>
      <c r="R17" s="27" t="s">
        <v>84</v>
      </c>
      <c r="S17" s="20" t="s">
        <v>154</v>
      </c>
    </row>
    <row r="18" spans="7:19">
      <c r="G18" s="6">
        <v>16</v>
      </c>
      <c r="H18" s="6" t="s">
        <v>155</v>
      </c>
      <c r="I18" s="6" t="s">
        <v>156</v>
      </c>
      <c r="J18" s="6" t="s">
        <v>155</v>
      </c>
      <c r="O18" s="16" t="s">
        <v>157</v>
      </c>
      <c r="P18" s="5" t="s">
        <v>158</v>
      </c>
      <c r="R18" s="28"/>
      <c r="S18" s="22" t="s">
        <v>159</v>
      </c>
    </row>
    <row r="19" spans="7:19">
      <c r="G19" s="6">
        <v>17</v>
      </c>
      <c r="H19" s="6" t="s">
        <v>160</v>
      </c>
      <c r="I19" s="6" t="s">
        <v>161</v>
      </c>
      <c r="J19" s="6" t="s">
        <v>160</v>
      </c>
      <c r="O19" s="16" t="s">
        <v>162</v>
      </c>
      <c r="P19" s="5" t="s">
        <v>163</v>
      </c>
      <c r="R19" s="28"/>
      <c r="S19" s="22" t="s">
        <v>164</v>
      </c>
    </row>
    <row r="20" spans="7:19">
      <c r="G20" s="6">
        <v>18</v>
      </c>
      <c r="H20" s="6" t="s">
        <v>165</v>
      </c>
      <c r="I20" s="6" t="s">
        <v>166</v>
      </c>
      <c r="J20" s="6" t="s">
        <v>165</v>
      </c>
      <c r="O20" s="16" t="s">
        <v>167</v>
      </c>
      <c r="P20" s="5" t="s">
        <v>168</v>
      </c>
      <c r="R20" s="28"/>
      <c r="S20" s="22" t="s">
        <v>169</v>
      </c>
    </row>
    <row r="21" spans="7:19">
      <c r="G21" s="6">
        <v>19</v>
      </c>
      <c r="H21" s="6" t="s">
        <v>170</v>
      </c>
      <c r="I21" s="6" t="s">
        <v>171</v>
      </c>
      <c r="J21" s="6" t="s">
        <v>170</v>
      </c>
      <c r="O21" s="16" t="s">
        <v>172</v>
      </c>
      <c r="P21" s="5" t="s">
        <v>173</v>
      </c>
      <c r="R21" s="28"/>
      <c r="S21" s="22" t="s">
        <v>174</v>
      </c>
    </row>
    <row r="22" spans="7:19">
      <c r="G22" s="6">
        <v>20</v>
      </c>
      <c r="H22" s="6" t="s">
        <v>175</v>
      </c>
      <c r="I22" s="6" t="s">
        <v>176</v>
      </c>
      <c r="J22" s="6" t="s">
        <v>175</v>
      </c>
      <c r="O22" s="16" t="s">
        <v>177</v>
      </c>
      <c r="P22" s="5" t="s">
        <v>178</v>
      </c>
      <c r="R22" s="28"/>
      <c r="S22" s="22" t="s">
        <v>179</v>
      </c>
    </row>
    <row r="23" spans="7:19">
      <c r="G23" s="6">
        <v>21</v>
      </c>
      <c r="H23" s="6" t="s">
        <v>84</v>
      </c>
      <c r="I23" s="6" t="s">
        <v>84</v>
      </c>
      <c r="J23" s="6" t="s">
        <v>84</v>
      </c>
      <c r="O23" s="16" t="s">
        <v>180</v>
      </c>
      <c r="P23" s="5" t="s">
        <v>181</v>
      </c>
      <c r="R23" s="29"/>
      <c r="S23" s="22" t="s">
        <v>182</v>
      </c>
    </row>
    <row r="24" spans="7:19">
      <c r="G24" s="6">
        <v>22</v>
      </c>
      <c r="H24" s="6" t="s">
        <v>183</v>
      </c>
      <c r="I24" s="6" t="s">
        <v>184</v>
      </c>
      <c r="J24" s="6" t="s">
        <v>183</v>
      </c>
      <c r="O24" s="16" t="s">
        <v>185</v>
      </c>
      <c r="P24" s="5" t="s">
        <v>186</v>
      </c>
      <c r="R24" s="30" t="s">
        <v>183</v>
      </c>
      <c r="S24" s="20" t="s">
        <v>187</v>
      </c>
    </row>
    <row r="25" spans="15:19">
      <c r="O25" s="16" t="s">
        <v>188</v>
      </c>
      <c r="P25" s="5" t="s">
        <v>189</v>
      </c>
      <c r="R25" s="31"/>
      <c r="S25" s="22" t="s">
        <v>190</v>
      </c>
    </row>
    <row r="26" spans="15:19">
      <c r="O26" s="16" t="s">
        <v>191</v>
      </c>
      <c r="P26" s="5" t="s">
        <v>192</v>
      </c>
      <c r="R26" s="31"/>
      <c r="S26" s="22" t="s">
        <v>193</v>
      </c>
    </row>
    <row r="27" spans="15:19">
      <c r="O27" s="16" t="s">
        <v>194</v>
      </c>
      <c r="P27" s="5" t="s">
        <v>195</v>
      </c>
      <c r="R27" s="31"/>
      <c r="S27" s="22" t="s">
        <v>196</v>
      </c>
    </row>
    <row r="28" spans="15:19">
      <c r="O28" s="16" t="s">
        <v>197</v>
      </c>
      <c r="P28" s="5" t="s">
        <v>198</v>
      </c>
      <c r="R28" s="31"/>
      <c r="S28" s="22" t="s">
        <v>199</v>
      </c>
    </row>
    <row r="29" spans="15:19">
      <c r="O29" s="16" t="s">
        <v>200</v>
      </c>
      <c r="P29" s="5" t="s">
        <v>201</v>
      </c>
      <c r="R29" s="31"/>
      <c r="S29" s="22" t="s">
        <v>202</v>
      </c>
    </row>
    <row r="30" spans="15:19">
      <c r="O30" s="16" t="s">
        <v>203</v>
      </c>
      <c r="P30" s="5" t="s">
        <v>204</v>
      </c>
      <c r="R30" s="31"/>
      <c r="S30" s="22" t="s">
        <v>205</v>
      </c>
    </row>
    <row r="31" spans="15:19">
      <c r="O31" s="16" t="s">
        <v>206</v>
      </c>
      <c r="P31" s="5" t="s">
        <v>207</v>
      </c>
      <c r="R31" s="31"/>
      <c r="S31" s="22" t="s">
        <v>208</v>
      </c>
    </row>
    <row r="32" spans="15:19">
      <c r="O32" s="16" t="s">
        <v>209</v>
      </c>
      <c r="P32" s="5" t="s">
        <v>210</v>
      </c>
      <c r="R32" s="31"/>
      <c r="S32" s="22" t="s">
        <v>211</v>
      </c>
    </row>
    <row r="33" spans="15:19">
      <c r="O33" s="16" t="s">
        <v>212</v>
      </c>
      <c r="P33" s="5" t="s">
        <v>213</v>
      </c>
      <c r="R33" s="31"/>
      <c r="S33" s="22" t="s">
        <v>214</v>
      </c>
    </row>
    <row r="34" spans="15:19">
      <c r="O34" s="16" t="s">
        <v>215</v>
      </c>
      <c r="P34" s="5" t="s">
        <v>216</v>
      </c>
      <c r="R34" s="31"/>
      <c r="S34" s="22" t="s">
        <v>217</v>
      </c>
    </row>
    <row r="35" spans="15:19">
      <c r="O35" s="16" t="s">
        <v>218</v>
      </c>
      <c r="P35" s="5" t="s">
        <v>219</v>
      </c>
      <c r="R35" s="31"/>
      <c r="S35" s="22" t="s">
        <v>220</v>
      </c>
    </row>
    <row r="36" spans="15:19">
      <c r="O36" s="16" t="s">
        <v>221</v>
      </c>
      <c r="P36" s="5" t="s">
        <v>222</v>
      </c>
      <c r="R36" s="32"/>
      <c r="S36" s="24" t="s">
        <v>223</v>
      </c>
    </row>
    <row r="37" spans="15:19">
      <c r="O37" s="16" t="s">
        <v>224</v>
      </c>
      <c r="P37" s="5" t="s">
        <v>225</v>
      </c>
      <c r="R37" s="27" t="s">
        <v>226</v>
      </c>
      <c r="S37" s="20" t="s">
        <v>227</v>
      </c>
    </row>
    <row r="38" spans="15:19">
      <c r="O38" s="16" t="s">
        <v>228</v>
      </c>
      <c r="P38" s="5" t="s">
        <v>229</v>
      </c>
      <c r="R38" s="29"/>
      <c r="S38" s="24" t="s">
        <v>230</v>
      </c>
    </row>
    <row r="39" spans="15:19">
      <c r="O39" s="16" t="s">
        <v>231</v>
      </c>
      <c r="P39" s="5" t="s">
        <v>232</v>
      </c>
      <c r="R39" s="27" t="s">
        <v>233</v>
      </c>
      <c r="S39" s="20" t="s">
        <v>234</v>
      </c>
    </row>
    <row r="40" spans="15:19">
      <c r="O40" s="16" t="s">
        <v>235</v>
      </c>
      <c r="P40" s="5" t="s">
        <v>236</v>
      </c>
      <c r="R40" s="29"/>
      <c r="S40" s="24" t="s">
        <v>230</v>
      </c>
    </row>
    <row r="41" spans="15:19">
      <c r="O41" s="16" t="s">
        <v>237</v>
      </c>
      <c r="P41" s="5" t="s">
        <v>238</v>
      </c>
      <c r="R41" s="27" t="s">
        <v>74</v>
      </c>
      <c r="S41" s="20" t="s">
        <v>239</v>
      </c>
    </row>
    <row r="42" spans="15:19">
      <c r="O42" s="16" t="s">
        <v>240</v>
      </c>
      <c r="P42" s="5" t="s">
        <v>241</v>
      </c>
      <c r="R42" s="29"/>
      <c r="S42" s="24" t="s">
        <v>242</v>
      </c>
    </row>
    <row r="43" spans="15:19">
      <c r="O43" s="16" t="s">
        <v>243</v>
      </c>
      <c r="P43" s="5" t="s">
        <v>244</v>
      </c>
      <c r="R43" s="27" t="s">
        <v>245</v>
      </c>
      <c r="S43" s="20" t="s">
        <v>246</v>
      </c>
    </row>
    <row r="44" spans="15:19">
      <c r="O44" s="16" t="s">
        <v>247</v>
      </c>
      <c r="P44" s="5" t="s">
        <v>248</v>
      </c>
      <c r="R44" s="29"/>
      <c r="S44" s="24" t="s">
        <v>242</v>
      </c>
    </row>
    <row r="45" spans="15:19">
      <c r="O45" s="16" t="s">
        <v>249</v>
      </c>
      <c r="P45" s="5" t="s">
        <v>250</v>
      </c>
      <c r="R45" s="27" t="s">
        <v>251</v>
      </c>
      <c r="S45" s="20" t="s">
        <v>252</v>
      </c>
    </row>
    <row r="46" spans="15:19">
      <c r="O46" s="16" t="s">
        <v>253</v>
      </c>
      <c r="P46" s="5" t="s">
        <v>254</v>
      </c>
      <c r="R46" s="29"/>
      <c r="S46" s="24" t="s">
        <v>255</v>
      </c>
    </row>
    <row r="47" spans="15:16">
      <c r="O47" s="16" t="s">
        <v>256</v>
      </c>
      <c r="P47" s="5" t="s">
        <v>257</v>
      </c>
    </row>
    <row r="48" spans="15:16">
      <c r="O48" s="16" t="s">
        <v>258</v>
      </c>
      <c r="P48" s="5" t="s">
        <v>259</v>
      </c>
    </row>
    <row r="49" spans="15:16">
      <c r="O49" s="16" t="s">
        <v>260</v>
      </c>
      <c r="P49" s="5" t="s">
        <v>261</v>
      </c>
    </row>
    <row r="50" spans="15:16">
      <c r="O50" s="16" t="s">
        <v>262</v>
      </c>
      <c r="P50" s="5" t="s">
        <v>263</v>
      </c>
    </row>
    <row r="51" spans="15:16">
      <c r="O51" s="16" t="s">
        <v>264</v>
      </c>
      <c r="P51" s="5" t="s">
        <v>265</v>
      </c>
    </row>
    <row r="52" spans="15:16">
      <c r="O52" s="16" t="s">
        <v>266</v>
      </c>
      <c r="P52" s="5" t="s">
        <v>267</v>
      </c>
    </row>
    <row r="53" spans="15:16">
      <c r="O53" s="16" t="s">
        <v>268</v>
      </c>
      <c r="P53" s="5" t="s">
        <v>269</v>
      </c>
    </row>
    <row r="54" spans="15:16">
      <c r="O54" s="16" t="s">
        <v>270</v>
      </c>
      <c r="P54" s="5" t="s">
        <v>271</v>
      </c>
    </row>
    <row r="55" spans="15:16">
      <c r="O55" s="16" t="s">
        <v>272</v>
      </c>
      <c r="P55" s="5" t="s">
        <v>273</v>
      </c>
    </row>
    <row r="56" spans="15:16">
      <c r="O56" s="16" t="s">
        <v>274</v>
      </c>
      <c r="P56" s="5" t="s">
        <v>275</v>
      </c>
    </row>
    <row r="57" spans="15:16">
      <c r="O57" s="16" t="s">
        <v>276</v>
      </c>
      <c r="P57" s="5" t="s">
        <v>277</v>
      </c>
    </row>
    <row r="58" spans="15:16">
      <c r="O58" s="16" t="s">
        <v>278</v>
      </c>
      <c r="P58" s="5" t="s">
        <v>279</v>
      </c>
    </row>
    <row r="59" spans="15:16">
      <c r="O59" s="16" t="s">
        <v>280</v>
      </c>
      <c r="P59" s="5" t="s">
        <v>281</v>
      </c>
    </row>
    <row r="60" spans="15:16">
      <c r="O60" s="16" t="s">
        <v>282</v>
      </c>
      <c r="P60" s="5" t="s">
        <v>283</v>
      </c>
    </row>
    <row r="61" spans="15:16">
      <c r="O61" s="16" t="s">
        <v>284</v>
      </c>
      <c r="P61" s="5" t="s">
        <v>285</v>
      </c>
    </row>
    <row r="62" spans="15:16">
      <c r="O62" s="16" t="s">
        <v>286</v>
      </c>
      <c r="P62" s="5" t="s">
        <v>287</v>
      </c>
    </row>
    <row r="63" spans="15:16">
      <c r="O63" s="16" t="s">
        <v>288</v>
      </c>
      <c r="P63" s="5" t="s">
        <v>289</v>
      </c>
    </row>
    <row r="64" spans="15:16">
      <c r="O64" s="16" t="s">
        <v>290</v>
      </c>
      <c r="P64" s="5" t="s">
        <v>291</v>
      </c>
    </row>
    <row r="65" spans="15:16">
      <c r="O65" s="16" t="s">
        <v>292</v>
      </c>
      <c r="P65" s="5" t="s">
        <v>293</v>
      </c>
    </row>
    <row r="66" spans="15:16">
      <c r="O66" s="16" t="s">
        <v>294</v>
      </c>
      <c r="P66" s="5" t="s">
        <v>295</v>
      </c>
    </row>
    <row r="67" spans="15:16">
      <c r="O67" s="16" t="s">
        <v>296</v>
      </c>
      <c r="P67" s="5" t="s">
        <v>297</v>
      </c>
    </row>
    <row r="68" spans="15:16">
      <c r="O68" s="16" t="s">
        <v>298</v>
      </c>
      <c r="P68" s="5" t="s">
        <v>299</v>
      </c>
    </row>
    <row r="69" spans="15:16">
      <c r="O69" s="16" t="s">
        <v>300</v>
      </c>
      <c r="P69" s="5" t="s">
        <v>301</v>
      </c>
    </row>
    <row r="70" spans="15:16">
      <c r="O70" s="16" t="s">
        <v>302</v>
      </c>
      <c r="P70" s="5" t="s">
        <v>303</v>
      </c>
    </row>
    <row r="71" spans="15:16">
      <c r="O71" s="16" t="s">
        <v>304</v>
      </c>
      <c r="P71" s="5" t="s">
        <v>305</v>
      </c>
    </row>
    <row r="72" spans="15:16">
      <c r="O72" s="16" t="s">
        <v>306</v>
      </c>
      <c r="P72" s="5" t="s">
        <v>307</v>
      </c>
    </row>
    <row r="73" spans="15:16">
      <c r="O73" s="16" t="s">
        <v>308</v>
      </c>
      <c r="P73" s="5" t="s">
        <v>309</v>
      </c>
    </row>
    <row r="74" spans="15:16">
      <c r="O74" s="16" t="s">
        <v>310</v>
      </c>
      <c r="P74" s="5" t="s">
        <v>311</v>
      </c>
    </row>
    <row r="75" spans="15:16">
      <c r="O75" s="16" t="s">
        <v>312</v>
      </c>
      <c r="P75" s="5" t="s">
        <v>313</v>
      </c>
    </row>
    <row r="76" spans="15:16">
      <c r="O76" s="16" t="s">
        <v>314</v>
      </c>
      <c r="P76" s="5" t="s">
        <v>315</v>
      </c>
    </row>
    <row r="77" spans="15:16">
      <c r="O77" s="16" t="s">
        <v>316</v>
      </c>
      <c r="P77" s="5" t="s">
        <v>317</v>
      </c>
    </row>
    <row r="78" spans="15:16">
      <c r="O78" s="16" t="s">
        <v>318</v>
      </c>
      <c r="P78" s="5" t="s">
        <v>319</v>
      </c>
    </row>
    <row r="79" spans="15:16">
      <c r="O79" s="16" t="s">
        <v>320</v>
      </c>
      <c r="P79" s="5" t="s">
        <v>321</v>
      </c>
    </row>
    <row r="80" spans="15:16">
      <c r="O80" s="16" t="s">
        <v>322</v>
      </c>
      <c r="P80" s="5" t="s">
        <v>323</v>
      </c>
    </row>
    <row r="81" spans="15:16">
      <c r="O81" s="16" t="s">
        <v>324</v>
      </c>
      <c r="P81" s="5" t="s">
        <v>325</v>
      </c>
    </row>
    <row r="82" spans="15:16">
      <c r="O82" s="16" t="s">
        <v>326</v>
      </c>
      <c r="P82" s="5" t="s">
        <v>327</v>
      </c>
    </row>
    <row r="83" spans="15:16">
      <c r="O83" s="16" t="s">
        <v>328</v>
      </c>
      <c r="P83" s="5" t="s">
        <v>329</v>
      </c>
    </row>
    <row r="84" spans="15:16">
      <c r="O84" s="16" t="s">
        <v>330</v>
      </c>
      <c r="P84" s="5" t="s">
        <v>331</v>
      </c>
    </row>
    <row r="85" spans="15:16">
      <c r="O85" s="16" t="s">
        <v>332</v>
      </c>
      <c r="P85" s="5" t="s">
        <v>333</v>
      </c>
    </row>
    <row r="86" spans="15:16">
      <c r="O86" s="16" t="s">
        <v>334</v>
      </c>
      <c r="P86" s="5" t="s">
        <v>335</v>
      </c>
    </row>
    <row r="87" spans="15:16">
      <c r="O87" s="16" t="s">
        <v>336</v>
      </c>
      <c r="P87" s="5" t="s">
        <v>337</v>
      </c>
    </row>
    <row r="88" spans="15:16">
      <c r="O88" s="16" t="s">
        <v>338</v>
      </c>
      <c r="P88" s="5" t="s">
        <v>339</v>
      </c>
    </row>
    <row r="89" spans="15:16">
      <c r="O89" s="16" t="s">
        <v>340</v>
      </c>
      <c r="P89" s="5" t="s">
        <v>341</v>
      </c>
    </row>
    <row r="90" spans="15:16">
      <c r="O90" s="16" t="s">
        <v>342</v>
      </c>
      <c r="P90" s="5" t="s">
        <v>343</v>
      </c>
    </row>
    <row r="91" spans="15:16">
      <c r="O91" s="16" t="s">
        <v>344</v>
      </c>
      <c r="P91" s="5" t="s">
        <v>345</v>
      </c>
    </row>
    <row r="92" spans="15:16">
      <c r="O92" s="16" t="s">
        <v>346</v>
      </c>
      <c r="P92" s="5" t="s">
        <v>347</v>
      </c>
    </row>
    <row r="93" spans="15:16">
      <c r="O93" s="16" t="s">
        <v>348</v>
      </c>
      <c r="P93" s="5" t="s">
        <v>349</v>
      </c>
    </row>
    <row r="94" spans="15:16">
      <c r="O94" s="16" t="s">
        <v>350</v>
      </c>
      <c r="P94" s="5" t="s">
        <v>351</v>
      </c>
    </row>
    <row r="95" spans="15:16">
      <c r="O95" s="16" t="s">
        <v>352</v>
      </c>
      <c r="P95" s="5" t="s">
        <v>353</v>
      </c>
    </row>
    <row r="96" spans="15:16">
      <c r="O96" s="16" t="s">
        <v>354</v>
      </c>
      <c r="P96" s="5" t="s">
        <v>355</v>
      </c>
    </row>
    <row r="97" spans="15:16">
      <c r="O97" s="16" t="s">
        <v>356</v>
      </c>
      <c r="P97" s="5" t="s">
        <v>357</v>
      </c>
    </row>
    <row r="98" spans="15:16">
      <c r="O98" s="16" t="s">
        <v>358</v>
      </c>
      <c r="P98" s="5" t="s">
        <v>359</v>
      </c>
    </row>
    <row r="99" spans="15:16">
      <c r="O99" s="16" t="s">
        <v>360</v>
      </c>
      <c r="P99" s="5" t="s">
        <v>361</v>
      </c>
    </row>
    <row r="100" spans="15:16">
      <c r="O100" s="16" t="s">
        <v>362</v>
      </c>
      <c r="P100" s="5" t="s">
        <v>363</v>
      </c>
    </row>
    <row r="101" spans="15:16">
      <c r="O101" s="16" t="s">
        <v>364</v>
      </c>
      <c r="P101" s="5" t="s">
        <v>365</v>
      </c>
    </row>
    <row r="102" spans="15:16">
      <c r="O102" s="16" t="s">
        <v>366</v>
      </c>
      <c r="P102" s="5" t="s">
        <v>367</v>
      </c>
    </row>
    <row r="103" spans="15:16">
      <c r="O103" s="16" t="s">
        <v>368</v>
      </c>
      <c r="P103" s="5" t="s">
        <v>369</v>
      </c>
    </row>
    <row r="104" spans="15:16">
      <c r="O104" s="16" t="s">
        <v>370</v>
      </c>
      <c r="P104" s="5" t="s">
        <v>371</v>
      </c>
    </row>
    <row r="105" spans="15:16">
      <c r="O105" s="16" t="s">
        <v>372</v>
      </c>
      <c r="P105" s="5" t="s">
        <v>373</v>
      </c>
    </row>
    <row r="106" spans="15:16">
      <c r="O106" s="16" t="s">
        <v>374</v>
      </c>
      <c r="P106" s="5" t="s">
        <v>375</v>
      </c>
    </row>
    <row r="107" spans="15:16">
      <c r="O107" s="16" t="s">
        <v>376</v>
      </c>
      <c r="P107" s="5" t="s">
        <v>377</v>
      </c>
    </row>
    <row r="108" spans="15:16">
      <c r="O108" s="16" t="s">
        <v>378</v>
      </c>
      <c r="P108" s="5" t="s">
        <v>379</v>
      </c>
    </row>
    <row r="109" spans="15:16">
      <c r="O109" s="16" t="s">
        <v>380</v>
      </c>
      <c r="P109" s="5" t="s">
        <v>381</v>
      </c>
    </row>
    <row r="110" spans="15:16">
      <c r="O110" s="16" t="s">
        <v>382</v>
      </c>
      <c r="P110" s="5" t="s">
        <v>383</v>
      </c>
    </row>
    <row r="111" spans="15:16">
      <c r="O111" s="16" t="s">
        <v>384</v>
      </c>
      <c r="P111" s="5" t="s">
        <v>385</v>
      </c>
    </row>
    <row r="112" spans="15:16">
      <c r="O112" s="16" t="s">
        <v>386</v>
      </c>
      <c r="P112" s="5" t="s">
        <v>387</v>
      </c>
    </row>
    <row r="113" spans="15:16">
      <c r="O113" s="16" t="s">
        <v>388</v>
      </c>
      <c r="P113" s="5" t="s">
        <v>389</v>
      </c>
    </row>
    <row r="114" spans="15:16">
      <c r="O114" s="16" t="s">
        <v>390</v>
      </c>
      <c r="P114" s="5" t="s">
        <v>391</v>
      </c>
    </row>
    <row r="115" spans="15:16">
      <c r="O115" s="16" t="s">
        <v>392</v>
      </c>
      <c r="P115" s="5" t="s">
        <v>393</v>
      </c>
    </row>
    <row r="116" spans="15:16">
      <c r="O116" s="16" t="s">
        <v>394</v>
      </c>
      <c r="P116" s="5" t="s">
        <v>395</v>
      </c>
    </row>
    <row r="117" spans="15:16">
      <c r="O117" s="16" t="s">
        <v>396</v>
      </c>
      <c r="P117" s="5" t="s">
        <v>397</v>
      </c>
    </row>
    <row r="118" spans="15:16">
      <c r="O118" s="16" t="s">
        <v>398</v>
      </c>
      <c r="P118" s="5" t="s">
        <v>399</v>
      </c>
    </row>
    <row r="119" spans="15:16">
      <c r="O119" s="16" t="s">
        <v>400</v>
      </c>
      <c r="P119" s="5" t="s">
        <v>401</v>
      </c>
    </row>
    <row r="120" spans="15:16">
      <c r="O120" s="16" t="s">
        <v>402</v>
      </c>
      <c r="P120" s="5" t="s">
        <v>403</v>
      </c>
    </row>
    <row r="121" spans="15:16">
      <c r="O121" s="16" t="s">
        <v>404</v>
      </c>
      <c r="P121" s="5" t="s">
        <v>405</v>
      </c>
    </row>
    <row r="122" spans="15:16">
      <c r="O122" s="16" t="s">
        <v>406</v>
      </c>
      <c r="P122" s="5" t="s">
        <v>407</v>
      </c>
    </row>
    <row r="123" spans="15:16">
      <c r="O123" s="16" t="s">
        <v>408</v>
      </c>
      <c r="P123" s="5" t="s">
        <v>409</v>
      </c>
    </row>
    <row r="124" spans="15:16">
      <c r="O124" s="16" t="s">
        <v>410</v>
      </c>
      <c r="P124" s="5" t="s">
        <v>411</v>
      </c>
    </row>
    <row r="125" spans="15:16">
      <c r="O125" s="16" t="s">
        <v>412</v>
      </c>
      <c r="P125" s="5" t="s">
        <v>413</v>
      </c>
    </row>
    <row r="126" spans="15:16">
      <c r="O126" s="16" t="s">
        <v>414</v>
      </c>
      <c r="P126" s="5" t="s">
        <v>415</v>
      </c>
    </row>
    <row r="127" spans="15:16">
      <c r="O127" s="16" t="s">
        <v>416</v>
      </c>
      <c r="P127" s="5" t="s">
        <v>417</v>
      </c>
    </row>
    <row r="128" spans="15:16">
      <c r="O128" s="16" t="s">
        <v>418</v>
      </c>
      <c r="P128" s="5" t="s">
        <v>419</v>
      </c>
    </row>
    <row r="129" spans="15:16">
      <c r="O129" s="16" t="s">
        <v>420</v>
      </c>
      <c r="P129" s="5" t="s">
        <v>421</v>
      </c>
    </row>
    <row r="130" spans="15:16">
      <c r="O130" s="16" t="s">
        <v>422</v>
      </c>
      <c r="P130" s="5" t="s">
        <v>423</v>
      </c>
    </row>
    <row r="131" spans="15:16">
      <c r="O131" s="16" t="s">
        <v>424</v>
      </c>
      <c r="P131" s="5" t="s">
        <v>425</v>
      </c>
    </row>
    <row r="132" spans="15:16">
      <c r="O132" s="16" t="s">
        <v>426</v>
      </c>
      <c r="P132" s="5" t="s">
        <v>427</v>
      </c>
    </row>
    <row r="133" spans="15:16">
      <c r="O133" s="16" t="s">
        <v>428</v>
      </c>
      <c r="P133" s="5" t="s">
        <v>429</v>
      </c>
    </row>
    <row r="134" spans="15:16">
      <c r="O134" s="16" t="s">
        <v>430</v>
      </c>
      <c r="P134" s="5" t="s">
        <v>431</v>
      </c>
    </row>
    <row r="135" spans="15:16">
      <c r="O135" s="16" t="s">
        <v>432</v>
      </c>
      <c r="P135" s="5" t="s">
        <v>433</v>
      </c>
    </row>
    <row r="136" spans="15:16">
      <c r="O136" s="16" t="s">
        <v>434</v>
      </c>
      <c r="P136" s="5" t="s">
        <v>435</v>
      </c>
    </row>
    <row r="137" spans="15:16">
      <c r="O137" s="16" t="s">
        <v>436</v>
      </c>
      <c r="P137" s="5" t="s">
        <v>437</v>
      </c>
    </row>
    <row r="138" spans="15:16">
      <c r="O138" s="16" t="s">
        <v>438</v>
      </c>
      <c r="P138" s="5" t="s">
        <v>439</v>
      </c>
    </row>
    <row r="139" spans="15:16">
      <c r="O139" s="16" t="s">
        <v>440</v>
      </c>
      <c r="P139" s="5" t="s">
        <v>441</v>
      </c>
    </row>
    <row r="140" spans="15:16">
      <c r="O140" s="16" t="s">
        <v>442</v>
      </c>
      <c r="P140" s="5" t="s">
        <v>443</v>
      </c>
    </row>
    <row r="141" spans="15:16">
      <c r="O141" s="16" t="s">
        <v>444</v>
      </c>
      <c r="P141" s="5" t="s">
        <v>445</v>
      </c>
    </row>
    <row r="142" spans="15:16">
      <c r="O142" s="16" t="s">
        <v>446</v>
      </c>
      <c r="P142" s="5" t="s">
        <v>447</v>
      </c>
    </row>
    <row r="143" spans="15:16">
      <c r="O143" s="16" t="s">
        <v>448</v>
      </c>
      <c r="P143" s="5" t="s">
        <v>449</v>
      </c>
    </row>
    <row r="144" spans="15:16">
      <c r="O144" s="16" t="s">
        <v>450</v>
      </c>
      <c r="P144" s="5" t="s">
        <v>451</v>
      </c>
    </row>
    <row r="145" spans="15:16">
      <c r="O145" s="16" t="s">
        <v>452</v>
      </c>
      <c r="P145" s="5" t="s">
        <v>453</v>
      </c>
    </row>
    <row r="146" spans="15:16">
      <c r="O146" s="16" t="s">
        <v>454</v>
      </c>
      <c r="P146" s="5" t="s">
        <v>455</v>
      </c>
    </row>
    <row r="147" spans="15:16">
      <c r="O147" s="16" t="s">
        <v>456</v>
      </c>
      <c r="P147" s="5" t="s">
        <v>457</v>
      </c>
    </row>
    <row r="148" spans="15:16">
      <c r="O148" s="16" t="s">
        <v>458</v>
      </c>
      <c r="P148" s="5" t="s">
        <v>459</v>
      </c>
    </row>
    <row r="149" spans="15:16">
      <c r="O149" s="16" t="s">
        <v>460</v>
      </c>
      <c r="P149" s="5" t="s">
        <v>461</v>
      </c>
    </row>
    <row r="150" spans="15:16">
      <c r="O150" s="16" t="s">
        <v>462</v>
      </c>
      <c r="P150" s="5" t="s">
        <v>463</v>
      </c>
    </row>
    <row r="151" spans="15:16">
      <c r="O151" s="16" t="s">
        <v>464</v>
      </c>
      <c r="P151" s="5" t="s">
        <v>465</v>
      </c>
    </row>
    <row r="152" spans="15:16">
      <c r="O152" s="16" t="s">
        <v>466</v>
      </c>
      <c r="P152" s="5" t="s">
        <v>467</v>
      </c>
    </row>
    <row r="153" spans="15:16">
      <c r="O153" s="16" t="s">
        <v>468</v>
      </c>
      <c r="P153" s="5" t="s">
        <v>469</v>
      </c>
    </row>
    <row r="154" spans="15:16">
      <c r="O154" s="16" t="s">
        <v>470</v>
      </c>
      <c r="P154" s="5" t="s">
        <v>471</v>
      </c>
    </row>
    <row r="155" spans="15:16">
      <c r="O155" s="16" t="s">
        <v>472</v>
      </c>
      <c r="P155" s="5" t="s">
        <v>473</v>
      </c>
    </row>
    <row r="156" spans="15:16">
      <c r="O156" s="16" t="s">
        <v>474</v>
      </c>
      <c r="P156" s="5" t="s">
        <v>475</v>
      </c>
    </row>
    <row r="157" spans="15:16">
      <c r="O157" s="16" t="s">
        <v>476</v>
      </c>
      <c r="P157" s="5" t="s">
        <v>477</v>
      </c>
    </row>
    <row r="158" spans="15:16">
      <c r="O158" s="16" t="s">
        <v>478</v>
      </c>
      <c r="P158" s="5" t="s">
        <v>479</v>
      </c>
    </row>
    <row r="159" spans="15:16">
      <c r="O159" s="16" t="s">
        <v>480</v>
      </c>
      <c r="P159" s="5" t="s">
        <v>481</v>
      </c>
    </row>
    <row r="160" spans="15:16">
      <c r="O160" s="16" t="s">
        <v>482</v>
      </c>
      <c r="P160" s="5" t="s">
        <v>483</v>
      </c>
    </row>
    <row r="161" spans="15:16">
      <c r="O161" s="16" t="s">
        <v>484</v>
      </c>
      <c r="P161" s="5" t="s">
        <v>485</v>
      </c>
    </row>
    <row r="162" spans="15:16">
      <c r="O162" s="16" t="s">
        <v>486</v>
      </c>
      <c r="P162" s="5" t="s">
        <v>487</v>
      </c>
    </row>
    <row r="163" spans="15:16">
      <c r="O163" s="16" t="s">
        <v>488</v>
      </c>
      <c r="P163" s="5" t="s">
        <v>489</v>
      </c>
    </row>
    <row r="164" spans="15:16">
      <c r="O164" s="16" t="s">
        <v>490</v>
      </c>
      <c r="P164" s="5" t="s">
        <v>491</v>
      </c>
    </row>
    <row r="165" spans="15:16">
      <c r="O165" s="16" t="s">
        <v>492</v>
      </c>
      <c r="P165" s="5" t="s">
        <v>493</v>
      </c>
    </row>
    <row r="166" spans="15:16">
      <c r="O166" s="16" t="s">
        <v>494</v>
      </c>
      <c r="P166" s="5" t="s">
        <v>495</v>
      </c>
    </row>
    <row r="167" spans="15:16">
      <c r="O167" s="16" t="s">
        <v>496</v>
      </c>
      <c r="P167" s="5" t="s">
        <v>497</v>
      </c>
    </row>
    <row r="168" spans="15:16">
      <c r="O168" s="16" t="s">
        <v>498</v>
      </c>
      <c r="P168" s="5" t="s">
        <v>499</v>
      </c>
    </row>
    <row r="169" spans="15:16">
      <c r="O169" s="16" t="s">
        <v>500</v>
      </c>
      <c r="P169" s="5" t="s">
        <v>501</v>
      </c>
    </row>
    <row r="170" spans="15:16">
      <c r="O170" s="16" t="s">
        <v>502</v>
      </c>
      <c r="P170" s="5" t="s">
        <v>503</v>
      </c>
    </row>
    <row r="171" spans="15:16">
      <c r="O171" s="16" t="s">
        <v>504</v>
      </c>
      <c r="P171" s="5" t="s">
        <v>505</v>
      </c>
    </row>
    <row r="172" spans="15:16">
      <c r="O172" s="33" t="s">
        <v>506</v>
      </c>
      <c r="P172" s="34" t="s">
        <v>151</v>
      </c>
    </row>
    <row r="173" spans="15:16">
      <c r="O173" s="33" t="s">
        <v>507</v>
      </c>
      <c r="P173" s="34" t="s">
        <v>508</v>
      </c>
    </row>
    <row r="174" spans="15:16">
      <c r="O174" s="33" t="s">
        <v>509</v>
      </c>
      <c r="P174" s="34" t="s">
        <v>510</v>
      </c>
    </row>
    <row r="175" spans="15:16">
      <c r="O175" s="33" t="s">
        <v>511</v>
      </c>
      <c r="P175" s="34" t="s">
        <v>512</v>
      </c>
    </row>
  </sheetData>
  <mergeCells count="14">
    <mergeCell ref="A1:B1"/>
    <mergeCell ref="D1:E1"/>
    <mergeCell ref="G1:J1"/>
    <mergeCell ref="L1:M1"/>
    <mergeCell ref="O1:P1"/>
    <mergeCell ref="R1:S1"/>
    <mergeCell ref="R3:R15"/>
    <mergeCell ref="R17:R23"/>
    <mergeCell ref="R24:R36"/>
    <mergeCell ref="R37:R38"/>
    <mergeCell ref="R39:R40"/>
    <mergeCell ref="R41:R42"/>
    <mergeCell ref="R43:R44"/>
    <mergeCell ref="R45:R46"/>
  </mergeCells>
  <pageMargins left="0.7" right="0.7" top="0.75" bottom="0.75" header="0.3" footer="0.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78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2023-10-25T07:55:14Z</dcterms:created>
  <dcterms:modified xsi:type="dcterms:W3CDTF">2024-02-22T06:21:37Z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BD32744579974812B4249AD9B37C6879_13</vt:lpwstr>
  </property>
  <property fmtid="{D5CDD505-2E9C-101B-9397-08002B2CF9AE}" pid="3" name="KSOProductBuildVer">
    <vt:lpwstr>1033-12.2.0.13431</vt:lpwstr>
  </property>
</Properties>
</file>