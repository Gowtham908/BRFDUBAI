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85" sheetId="1" r:id="rId1"/>
    <sheet name="Drop_Down" sheetId="2" r:id="rId2"/>
  </sheets>
  <definedNames>
    <definedName name="B1END">BRF85!$A$12</definedName>
    <definedName name="B1START">BRF85!$A$10</definedName>
    <definedName name="BORCODE">Drop_Down!$A$3:$A$4</definedName>
    <definedName name="CURRENCY">Drop_Down!$D$3:$D$175</definedName>
    <definedName name="_xlnm.Print_Area" localSheetId="0">BRF85!$B$2:$U$15</definedName>
    <definedName name="RANGED8">BRF85!$D$8</definedName>
  </definedNames>
  <calcPr calcId="144525"/>
</workbook>
</file>

<file path=xl/sharedStrings.xml><?xml version="1.0" encoding="utf-8"?>
<sst xmlns="http://schemas.openxmlformats.org/spreadsheetml/2006/main" count="468" uniqueCount="442">
  <si>
    <t>LR</t>
  </si>
  <si>
    <t>CT1</t>
  </si>
  <si>
    <t>CT2</t>
  </si>
  <si>
    <t>BANKING AND MONETARY STATISTICS - LE WITHIN A BANKING GROUP - BRF 85 (AED 000)</t>
  </si>
  <si>
    <t>Template ID:</t>
  </si>
  <si>
    <t>4-85-3-4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</si>
  <si>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</si>
  <si>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</si>
  <si>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</si>
  <si>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</si>
  <si>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</si>
  <si>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Aggregate Limit</t>
  </si>
  <si>
    <t>Name of Entity/ Group</t>
  </si>
  <si>
    <t>CIN /FIGI / GLEI ID</t>
  </si>
  <si>
    <t>% share in capital</t>
  </si>
  <si>
    <t>Borrower Type
Specify as "S" for Single or "G" for Group</t>
  </si>
  <si>
    <t>Currency</t>
  </si>
  <si>
    <t>Funded O/S (Excl. Debt Securities and equities)</t>
  </si>
  <si>
    <t xml:space="preserve">Debt securities </t>
  </si>
  <si>
    <t>Equities</t>
  </si>
  <si>
    <t>Unfunded O/S</t>
  </si>
  <si>
    <t>CCF equivalent of unfunded O/s</t>
  </si>
  <si>
    <t>CCF equivalent of committed unused funded and unfunded limits</t>
  </si>
  <si>
    <t>Total exposures (CCF based) net of credit risk mitigation after haircut</t>
  </si>
  <si>
    <t>As % of Tier 1 Capital
(10% Limit)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</si>
  <si>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</si>
  <si>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</si>
  <si>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</si>
  <si>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</si>
  <si>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</si>
  <si>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Remarks /Additional Information</t>
  </si>
  <si>
    <t>B1</t>
  </si>
  <si>
    <t>NA</t>
  </si>
  <si>
    <t>GT</t>
  </si>
  <si>
    <t>Total</t>
  </si>
  <si>
    <t xml:space="preserve">Note: 1. Report exposures to entities forming part of a banking group.  </t>
  </si>
  <si>
    <t>2.  If an entity falling within the group has subsidiaries, total for the entity should be given.  For example, if a bank has real estate subsidiary.  If such company has several subsidiaries where exposure is incurred, total exposure to entity should be given.</t>
  </si>
  <si>
    <t>FORM NO: BSD/85 - LE WITHIN BANKING GROUP / NOV23</t>
  </si>
  <si>
    <t>Borrower Type</t>
  </si>
  <si>
    <t>Credit Risk Mitigation</t>
  </si>
  <si>
    <t>Code</t>
  </si>
  <si>
    <t>Description</t>
  </si>
  <si>
    <t>Decryption</t>
  </si>
  <si>
    <t>S</t>
  </si>
  <si>
    <t>Single</t>
  </si>
  <si>
    <t>AED</t>
  </si>
  <si>
    <t>UAE Dirham</t>
  </si>
  <si>
    <t>A</t>
  </si>
  <si>
    <t xml:space="preserve">Cash (as well as certificates of deposit or comparable instruments issued </t>
  </si>
  <si>
    <t>G</t>
  </si>
  <si>
    <t>Group</t>
  </si>
  <si>
    <t>AFN</t>
  </si>
  <si>
    <t>Afghani</t>
  </si>
  <si>
    <t>by the lending bank) on deposit with the bank which is incurring the</t>
  </si>
  <si>
    <t>ALL</t>
  </si>
  <si>
    <t>Lek</t>
  </si>
  <si>
    <t xml:space="preserve"> counterparty exposure.</t>
  </si>
  <si>
    <t>AMD</t>
  </si>
  <si>
    <t>Armenian Dram</t>
  </si>
  <si>
    <t>Note 1: Cash funded credit linked notes issued by the bank against</t>
  </si>
  <si>
    <t>ANG</t>
  </si>
  <si>
    <t>Netherlands Antillean Guilder</t>
  </si>
  <si>
    <t>exposures in the banking book which fulfil the criteria for credit</t>
  </si>
  <si>
    <t>AOA</t>
  </si>
  <si>
    <t>Kwanza</t>
  </si>
  <si>
    <t>derivatives will be treated as cash collateralised transactions.</t>
  </si>
  <si>
    <t>ARS</t>
  </si>
  <si>
    <t>Argentine Peso</t>
  </si>
  <si>
    <t>Note 2: When cash on deposit, certificates of deposit or comparable</t>
  </si>
  <si>
    <t>AUD</t>
  </si>
  <si>
    <t>Australian Dollar</t>
  </si>
  <si>
    <t>instruments issued by the lending bank are held as collateral at a</t>
  </si>
  <si>
    <t>AWG</t>
  </si>
  <si>
    <t>Aruban Florin</t>
  </si>
  <si>
    <t>third-party bank in a noncustodial arrangement, if they are openly</t>
  </si>
  <si>
    <t>AZN</t>
  </si>
  <si>
    <t>Azerbaijan Manat</t>
  </si>
  <si>
    <t>pledged/assigned to the lending bank and if the pledge/assignment is</t>
  </si>
  <si>
    <t>BAM</t>
  </si>
  <si>
    <t>Convertible Mark</t>
  </si>
  <si>
    <t>unconditional and irrevocable, the exposure amount covered by the</t>
  </si>
  <si>
    <t>BBD</t>
  </si>
  <si>
    <t>Barbados Dollar</t>
  </si>
  <si>
    <t>collateral (after any necessary haircuts for currency risk) will receive the</t>
  </si>
  <si>
    <t>BDT</t>
  </si>
  <si>
    <t>Taka</t>
  </si>
  <si>
    <t>risk weight of the third-party bank);</t>
  </si>
  <si>
    <t>BGN</t>
  </si>
  <si>
    <t>Bulgarian Lev</t>
  </si>
  <si>
    <t>B</t>
  </si>
  <si>
    <t>Gold</t>
  </si>
  <si>
    <t>BHD</t>
  </si>
  <si>
    <t>Bahraini Dinar</t>
  </si>
  <si>
    <t>C</t>
  </si>
  <si>
    <t>Debt securities rated by a recognised external credit assessment</t>
  </si>
  <si>
    <t>BIF</t>
  </si>
  <si>
    <t>Burundi Franc</t>
  </si>
  <si>
    <t>institution where these are either:</t>
  </si>
  <si>
    <t>BMD</t>
  </si>
  <si>
    <t>Bermudian Dollar</t>
  </si>
  <si>
    <t>Rated at least BB- when issued by sovereigns or PSEs that are treated as</t>
  </si>
  <si>
    <t>BND</t>
  </si>
  <si>
    <t>Brunei Dollar</t>
  </si>
  <si>
    <t>sovereigns by the Central Bank; or</t>
  </si>
  <si>
    <t>BOB</t>
  </si>
  <si>
    <t>Boliviano</t>
  </si>
  <si>
    <t>At least BBB- when issued by other entities (including banks and</t>
  </si>
  <si>
    <t>BOV</t>
  </si>
  <si>
    <t>Mvdol</t>
  </si>
  <si>
    <t xml:space="preserve"> securities firms); or </t>
  </si>
  <si>
    <t>BRL</t>
  </si>
  <si>
    <t>Brazilian Real</t>
  </si>
  <si>
    <t>At least A-3/P-3 for short-term debt instruments.</t>
  </si>
  <si>
    <t>BSD</t>
  </si>
  <si>
    <t>Bahamian Dollar</t>
  </si>
  <si>
    <t>D</t>
  </si>
  <si>
    <t>Debt securities not rated by a recognised external credit assessment</t>
  </si>
  <si>
    <t>BTN</t>
  </si>
  <si>
    <t>Ngultrum</t>
  </si>
  <si>
    <t>institution where these are:</t>
  </si>
  <si>
    <t>BWP</t>
  </si>
  <si>
    <t>Pula</t>
  </si>
  <si>
    <t>Issued by a bank; and</t>
  </si>
  <si>
    <t>BYN</t>
  </si>
  <si>
    <t>Belarusian Ruble</t>
  </si>
  <si>
    <t>Listed on a recognised exchange; and</t>
  </si>
  <si>
    <t>BZD</t>
  </si>
  <si>
    <t>Belize Dollar</t>
  </si>
  <si>
    <t>Classified as senior debt; and</t>
  </si>
  <si>
    <t>CAD</t>
  </si>
  <si>
    <t>Canadian Dollar</t>
  </si>
  <si>
    <t>All rated issues of the same seniority by the issuing bank must be rated at</t>
  </si>
  <si>
    <t>CDF</t>
  </si>
  <si>
    <t>Congolese Franc</t>
  </si>
  <si>
    <t>least BBB- or A-3/P-3 by a recognised external credit assessment</t>
  </si>
  <si>
    <t>CHE</t>
  </si>
  <si>
    <t>WIR Euro</t>
  </si>
  <si>
    <t>institution; and</t>
  </si>
  <si>
    <t>CHF</t>
  </si>
  <si>
    <t>Swiss Franc</t>
  </si>
  <si>
    <t>The bank holding the securities as collateral has no information to</t>
  </si>
  <si>
    <t>CHW</t>
  </si>
  <si>
    <t>WIR Franc</t>
  </si>
  <si>
    <t>suggest that the issue justifies a rating below BBB- or A-3/P-3 (as</t>
  </si>
  <si>
    <t>CLF</t>
  </si>
  <si>
    <t>Unidad de Fomento</t>
  </si>
  <si>
    <t>applicable); and</t>
  </si>
  <si>
    <t>CLP</t>
  </si>
  <si>
    <t>Chilean Peso</t>
  </si>
  <si>
    <t>The Central Bank is sufficiently confident about the market liquidity of</t>
  </si>
  <si>
    <t>CNY</t>
  </si>
  <si>
    <t>Yuan Renminbi</t>
  </si>
  <si>
    <t>the security.</t>
  </si>
  <si>
    <t>COP</t>
  </si>
  <si>
    <t>Colombian Peso</t>
  </si>
  <si>
    <t>E</t>
  </si>
  <si>
    <t>Equities (including convertible bonds) as per paragraph 95 of the CBUAE</t>
  </si>
  <si>
    <t>COU</t>
  </si>
  <si>
    <t>Unidad de Valor Real</t>
  </si>
  <si>
    <t>Standards re Capital Adequacy of Banks in the UAE</t>
  </si>
  <si>
    <t>CRC</t>
  </si>
  <si>
    <t>Costa Rican Colon</t>
  </si>
  <si>
    <t>F</t>
  </si>
  <si>
    <t>Equities (including convertible bonds) as per paragraph 96 of the CBUAE</t>
  </si>
  <si>
    <t>CUC</t>
  </si>
  <si>
    <t>Peso Convertible</t>
  </si>
  <si>
    <t>CUP</t>
  </si>
  <si>
    <t>Cuban Peso</t>
  </si>
  <si>
    <t>UCITS and mutual funds as per paragraph 95 of the CBUAE Standards re</t>
  </si>
  <si>
    <t>CVE</t>
  </si>
  <si>
    <t>Cabo Verde Escudo</t>
  </si>
  <si>
    <t>Capital Adequacy in the UAE</t>
  </si>
  <si>
    <t>CZK</t>
  </si>
  <si>
    <t>Czech Koruna</t>
  </si>
  <si>
    <t>H</t>
  </si>
  <si>
    <t>UCITS and mutual funds as per paragraph 96 of the CBUAE Standards re</t>
  </si>
  <si>
    <t>DJF</t>
  </si>
  <si>
    <t>Djibouti Franc</t>
  </si>
  <si>
    <t>DKK</t>
  </si>
  <si>
    <t>Danish Krone</t>
  </si>
  <si>
    <t>I</t>
  </si>
  <si>
    <t>Eligible Guarantees as prescribed in CBUAE Standards re Capital Adequacy in</t>
  </si>
  <si>
    <t>DOP</t>
  </si>
  <si>
    <t>Dominican Peso</t>
  </si>
  <si>
    <t>the UAE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</si>
  <si>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</si>
  <si>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</si>
  <si>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</si>
  <si>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</si>
  <si>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</si>
  <si>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</si>
  <si>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</si>
  <si>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</si>
  <si>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</si>
  <si>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</si>
  <si>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</si>
  <si>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</si>
  <si>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</si>
  <si>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</si>
  <si>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</si>
  <si>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</si>
  <si>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</si>
  <si>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Lari</t>
  </si>
  <si>
    <t>GHS</t>
  </si>
  <si>
    <t>Ghana Cedi</t>
  </si>
  <si>
    <t>GIP</t>
  </si>
  <si>
    <t>Gibraltar Pound</t>
  </si>
  <si>
    <t>GMD</t>
  </si>
  <si>
    <t>Dalasi</t>
  </si>
  <si>
    <t>GNF</t>
  </si>
  <si>
    <t>Guinean Franc</t>
  </si>
  <si>
    <t>GTQ</t>
  </si>
  <si>
    <t>Quetzal</t>
  </si>
  <si>
    <t>GYD</t>
  </si>
  <si>
    <t>Guyana Dollar</t>
  </si>
  <si>
    <t>HKD</t>
  </si>
  <si>
    <t>Hong Kong Dollar</t>
  </si>
  <si>
    <t>HNL</t>
  </si>
  <si>
    <t>Lempira</t>
  </si>
  <si>
    <t>HRK</t>
  </si>
  <si>
    <t>Kuna</t>
  </si>
  <si>
    <t>HTG</t>
  </si>
  <si>
    <t>Gourde</t>
  </si>
  <si>
    <t>HUF</t>
  </si>
  <si>
    <t>Forint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</si>
  <si>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</si>
  <si>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</si>
  <si>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</si>
  <si>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</si>
  <si>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</si>
  <si>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</si>
  <si>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</si>
  <si>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</si>
  <si>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</si>
  <si>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</si>
  <si>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</si>
  <si>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</si>
  <si>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</si>
  <si>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</si>
  <si>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</si>
  <si>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</si>
  <si>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</si>
  <si>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</si>
  <si>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</si>
  <si>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</si>
  <si>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</si>
  <si>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</si>
  <si>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</si>
  <si>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</si>
  <si>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</si>
  <si>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</si>
  <si>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</si>
  <si>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</si>
  <si>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</si>
  <si>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</si>
  <si>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</si>
  <si>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</si>
  <si>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</si>
  <si>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</si>
  <si>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</si>
  <si>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</si>
  <si>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</si>
  <si>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</si>
  <si>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</si>
  <si>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</si>
  <si>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</si>
  <si>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</si>
  <si>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</si>
  <si>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</si>
  <si>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</si>
  <si>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</si>
  <si>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</si>
  <si>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</si>
  <si>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</si>
  <si>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</si>
  <si>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</si>
  <si>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</si>
  <si>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</si>
  <si>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</si>
  <si>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</si>
  <si>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</si>
  <si>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</si>
  <si>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</si>
  <si>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</si>
  <si>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</si>
  <si>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</si>
  <si>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</si>
  <si>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</si>
  <si>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Ouguiya</t>
  </si>
  <si>
    <t>MUR</t>
  </si>
  <si>
    <t>Mauritius Rupee</t>
  </si>
  <si>
    <t>MVR</t>
  </si>
  <si>
    <t>Rufiyaa</t>
  </si>
  <si>
    <t>MWK</t>
  </si>
  <si>
    <t>Malawi Kwacha</t>
  </si>
  <si>
    <t>MYR</t>
  </si>
  <si>
    <t>Malaysian Ringgit</t>
  </si>
  <si>
    <t>MXN</t>
  </si>
  <si>
    <t>Mexican Peso</t>
  </si>
  <si>
    <t>MXV</t>
  </si>
  <si>
    <t>Mexican Unidad de Inversion (UDI)</t>
  </si>
  <si>
    <t>MZN</t>
  </si>
  <si>
    <t>Mozambique Metical</t>
  </si>
  <si>
    <t>NAD</t>
  </si>
  <si>
    <t>Namibia Dollar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</si>
  <si>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</si>
  <si>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</si>
  <si>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</si>
  <si>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</si>
  <si>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</si>
  <si>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</si>
  <si>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</si>
  <si>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</si>
  <si>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</si>
  <si>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</si>
  <si>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</si>
  <si>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</si>
  <si>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</si>
  <si>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</si>
  <si>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PEN</t>
  </si>
  <si>
    <t>Sol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</si>
  <si>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</si>
  <si>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</si>
  <si>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</si>
  <si>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</si>
  <si>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</si>
  <si>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</si>
  <si>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</si>
  <si>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</si>
  <si>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PYG</t>
  </si>
  <si>
    <t>Guarani</t>
  </si>
  <si>
    <t>QAR</t>
  </si>
  <si>
    <t>Qatari Rial</t>
  </si>
  <si>
    <t>RON</t>
  </si>
  <si>
    <t>Romanian 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</si>
  <si>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</si>
  <si>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</si>
  <si>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</si>
  <si>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</si>
  <si>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</si>
  <si>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</si>
  <si>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</si>
  <si>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</si>
  <si>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</si>
  <si>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</si>
  <si>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</si>
  <si>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</si>
  <si>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</si>
  <si>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</si>
  <si>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</si>
  <si>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</si>
  <si>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</si>
  <si>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</si>
  <si>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</si>
  <si>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</si>
  <si>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</si>
  <si>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</si>
  <si>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</si>
  <si>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</si>
  <si>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</si>
  <si>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</si>
  <si>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SSP</t>
  </si>
  <si>
    <t>South Sudanese Pound</t>
  </si>
  <si>
    <t>STN</t>
  </si>
  <si>
    <t>Dobra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</si>
  <si>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</si>
  <si>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</si>
  <si>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</si>
  <si>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</si>
  <si>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</si>
  <si>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</si>
  <si>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</si>
  <si>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</si>
  <si>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</si>
  <si>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</si>
  <si>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</si>
  <si>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Turkmenistan New Manat</t>
  </si>
  <si>
    <t>TND</t>
  </si>
  <si>
    <t>Tunisian Dinar</t>
  </si>
  <si>
    <t>TOP</t>
  </si>
  <si>
    <t>Pa’anga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</si>
  <si>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</si>
  <si>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</si>
  <si>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</si>
  <si>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</si>
  <si>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</si>
  <si>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</si>
  <si>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</si>
  <si>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</si>
  <si>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</si>
  <si>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</si>
  <si>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</si>
  <si>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</si>
  <si>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</si>
  <si>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</si>
  <si>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</si>
  <si>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</t>
  </si>
  <si>
    <t>UYI</t>
  </si>
  <si>
    <t>Uruguay Peso en Unidades Indexadas (UI)</t>
  </si>
  <si>
    <t>UYU</t>
  </si>
  <si>
    <t>Peso Uruguayo</t>
  </si>
  <si>
    <t>UYW</t>
  </si>
  <si>
    <t>Unidad Previsional</t>
  </si>
  <si>
    <t>UZS</t>
  </si>
  <si>
    <t>Uzbekistan Sum</t>
  </si>
  <si>
    <t>VES</t>
  </si>
  <si>
    <t>Bol?var Soberano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</si>
  <si>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</si>
  <si>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</si>
  <si>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</si>
  <si>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</si>
  <si>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</si>
  <si>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</si>
  <si>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</si>
  <si>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</si>
  <si>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XCD</t>
  </si>
  <si>
    <t>East Caribbean Dollar</t>
  </si>
  <si>
    <t>XDR</t>
  </si>
  <si>
    <t>SDR (Special Drawing Right)</t>
  </si>
  <si>
    <t>XOF</t>
  </si>
  <si>
    <t>CFA Franc BCEAO</t>
  </si>
  <si>
    <t>XPF</t>
  </si>
  <si>
    <t>CFP Franc</t>
  </si>
  <si>
    <t>XSU</t>
  </si>
  <si>
    <t>Sucre</t>
  </si>
  <si>
    <t>XUA</t>
  </si>
  <si>
    <t>ADB Unit of Account</t>
  </si>
  <si>
    <t>YER</t>
  </si>
  <si>
    <t>Yemeni Rial</t>
  </si>
  <si>
    <t>ZAR</t>
  </si>
  <si>
    <t>Rand</t>
  </si>
  <si>
    <t>ZMW</t>
  </si>
  <si>
    <t>Zambian Kwacha</t>
  </si>
  <si>
    <t>ZWL</t>
  </si>
  <si>
    <t>Zimbabwe Dollar</t>
  </si>
  <si>
    <t>XAU</t>
  </si>
  <si>
    <t>XAG</t>
  </si>
  <si>
    <t>Silver</t>
  </si>
  <si>
    <t>XPD</t>
  </si>
  <si>
    <t>Palladium</t>
  </si>
  <si>
    <t>XPT</t>
  </si>
  <si>
    <t>Platinum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</si>
</sst>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3">
    <font>
      <sz val="11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0"/>
      <scheme val="minor"/>
    </font>
    <font>
      <b/>
      <sz val="8"/>
      <color theme="0"/>
      <name val="Calibri"/>
      <family val="2"/>
      <charset val="0"/>
    </font>
    <font>
      <b/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sz val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0" fillId="7" borderId="16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1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20" applyNumberFormat="0" applyAlignment="0" applyProtection="0"/>
    <xf numFmtId="0" fontId="23" fillId="9" borderId="21" applyNumberFormat="0" applyAlignment="0" applyProtection="0"/>
    <xf numFmtId="0" fontId="24" fillId="9" borderId="20" applyNumberFormat="0" applyAlignment="0" applyProtection="0"/>
    <xf numFmtId="0" fontId="25" fillId="10" borderId="22" applyNumberFormat="0" applyAlignment="0" applyProtection="0"/>
    <xf numFmtId="0" fontId="26" fillId="0" borderId="23" applyNumberFormat="0" applyFill="0" applyAlignment="0" applyProtection="0"/>
    <xf numFmtId="0" fontId="27" fillId="0" borderId="24" applyNumberFormat="0" applyFill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30" fillId="13" borderId="0" applyNumberFormat="0" applyBorder="0" applyAlignment="0" applyProtection="0"/>
    <xf numFmtId="0" fontId="5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5" fillId="37" borderId="0" applyNumberFormat="0" applyBorder="0" applyAlignment="0" applyProtection="0"/>
    <xf numFmtId="0" fontId="31" fillId="0" borderId="0"/>
    <xf numFmtId="0" fontId="31" fillId="0" borderId="0"/>
    <xf numFmtId="0" fontId="32" fillId="0" borderId="0">
      <alignment vertical="center"/>
    </xf>
    <xf numFmtId="0" fontId="4" fillId="0" borderId="0"/>
  </cellStyleXfs>
  <cellXfs count="1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0" xfId="0" applyFont="1" applyFill="1" applyBorder="1"/>
    <xf numFmtId="0" fontId="2" fillId="3" borderId="2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4" borderId="1" xfId="52" applyFill="1" applyBorder="1"/>
    <xf numFmtId="0" fontId="5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Fill="1" applyBorder="1" applyProtection="1"/>
    <xf numFmtId="0" fontId="7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 wrapText="1"/>
    </xf>
    <xf numFmtId="0" fontId="8" fillId="3" borderId="8" xfId="51" applyFont="1" applyFill="1" applyBorder="1" applyAlignment="1" applyProtection="1">
      <alignment horizontal="center" vertical="center"/>
    </xf>
    <xf numFmtId="0" fontId="8" fillId="3" borderId="9" xfId="51" applyFont="1" applyFill="1" applyBorder="1" applyAlignment="1" applyProtection="1">
      <alignment horizontal="center" vertical="center"/>
    </xf>
    <xf numFmtId="0" fontId="8" fillId="3" borderId="10" xfId="51" applyFont="1" applyFill="1" applyBorder="1" applyAlignment="1" applyProtection="1">
      <alignment horizontal="center" vertical="center"/>
    </xf>
    <xf numFmtId="0" fontId="9" fillId="5" borderId="4" xfId="49" applyFont="1" applyFill="1" applyBorder="1" applyAlignment="1" applyProtection="1">
      <alignment vertical="center"/>
    </xf>
    <xf numFmtId="15" fontId="10" fillId="0" borderId="7" xfId="50" applyNumberFormat="1" applyFont="1" applyFill="1" applyBorder="1" applyAlignment="1" applyProtection="1">
      <alignment horizontal="left" vertical="center"/>
    </xf>
    <xf numFmtId="15" fontId="10" fillId="0" borderId="11" xfId="50" applyNumberFormat="1" applyFont="1" applyFill="1" applyBorder="1" applyAlignment="1" applyProtection="1">
      <alignment horizontal="left" vertical="center"/>
    </xf>
    <xf numFmtId="15" fontId="10" fillId="0" borderId="5" xfId="50" applyNumberFormat="1" applyFont="1" applyFill="1" applyBorder="1" applyAlignment="1" applyProtection="1">
      <alignment horizontal="center"/>
    </xf>
    <xf numFmtId="15" fontId="10" fillId="0" borderId="10" xfId="50" applyNumberFormat="1" applyFont="1" applyFill="1" applyBorder="1" applyAlignment="1" applyProtection="1">
      <alignment horizontal="center"/>
    </xf>
    <xf numFmtId="15" fontId="10" fillId="5" borderId="1" xfId="50" applyNumberFormat="1" applyFont="1" applyFill="1" applyBorder="1" applyAlignment="1" applyProtection="1">
      <alignment horizontal="left" vertical="center"/>
    </xf>
    <xf numFmtId="15" fontId="10" fillId="0" borderId="8" xfId="50" applyNumberFormat="1" applyFont="1" applyFill="1" applyBorder="1" applyAlignment="1" applyProtection="1">
      <alignment horizontal="left" vertical="center"/>
    </xf>
    <xf numFmtId="15" fontId="10" fillId="0" borderId="9" xfId="50" applyNumberFormat="1" applyFont="1" applyFill="1" applyBorder="1" applyAlignment="1" applyProtection="1">
      <alignment horizontal="left" vertical="center"/>
    </xf>
    <xf numFmtId="15" fontId="10" fillId="0" borderId="6" xfId="50" applyNumberFormat="1" applyFont="1" applyFill="1" applyBorder="1" applyAlignment="1" applyProtection="1">
      <alignment horizontal="center"/>
    </xf>
    <xf numFmtId="15" fontId="10" fillId="0" borderId="0" xfId="50" applyNumberFormat="1" applyFont="1" applyFill="1" applyBorder="1" applyAlignment="1" applyProtection="1">
      <alignment horizontal="center"/>
    </xf>
    <xf numFmtId="0" fontId="10" fillId="5" borderId="2" xfId="50" applyFont="1" applyFill="1" applyBorder="1" applyAlignment="1" applyProtection="1">
      <alignment vertical="center"/>
    </xf>
    <xf numFmtId="15" fontId="10" fillId="0" borderId="5" xfId="50" applyNumberFormat="1" applyFont="1" applyFill="1" applyBorder="1" applyAlignment="1" applyProtection="1">
      <alignment horizontal="left" vertical="center"/>
    </xf>
    <xf numFmtId="15" fontId="10" fillId="0" borderId="10" xfId="50" applyNumberFormat="1" applyFont="1" applyFill="1" applyBorder="1" applyAlignment="1" applyProtection="1">
      <alignment horizontal="left" vertical="center"/>
    </xf>
    <xf numFmtId="0" fontId="11" fillId="0" borderId="8" xfId="0" applyFont="1" applyBorder="1" applyAlignment="1" applyProtection="1">
      <alignment horizontal="center" vertical="center"/>
    </xf>
    <xf numFmtId="0" fontId="11" fillId="0" borderId="12" xfId="0" applyFont="1" applyBorder="1" applyAlignment="1" applyProtection="1">
      <alignment horizontal="center" vertical="center"/>
    </xf>
    <xf numFmtId="0" fontId="12" fillId="0" borderId="9" xfId="51" applyFont="1" applyBorder="1" applyAlignment="1" applyProtection="1">
      <alignment vertical="center"/>
    </xf>
    <xf numFmtId="15" fontId="10" fillId="0" borderId="7" xfId="50" applyNumberFormat="1" applyFont="1" applyFill="1" applyBorder="1" applyAlignment="1" applyProtection="1">
      <alignment horizontal="center"/>
    </xf>
    <xf numFmtId="15" fontId="10" fillId="0" borderId="11" xfId="50" applyNumberFormat="1" applyFont="1" applyFill="1" applyBorder="1" applyAlignment="1" applyProtection="1">
      <alignment horizontal="center"/>
    </xf>
    <xf numFmtId="0" fontId="0" fillId="0" borderId="8" xfId="0" applyBorder="1" applyAlignment="1" applyProtection="1"/>
    <xf numFmtId="0" fontId="0" fillId="0" borderId="9" xfId="0" applyBorder="1" applyAlignment="1" applyProtection="1"/>
    <xf numFmtId="0" fontId="0" fillId="0" borderId="11" xfId="0" applyBorder="1" applyAlignment="1" applyProtection="1"/>
    <xf numFmtId="0" fontId="10" fillId="3" borderId="1" xfId="51" applyFont="1" applyFill="1" applyBorder="1" applyAlignment="1" applyProtection="1"/>
    <xf numFmtId="0" fontId="10" fillId="3" borderId="1" xfId="51" applyFont="1" applyFill="1" applyBorder="1" applyAlignment="1" applyProtection="1">
      <alignment horizontal="left" vertical="center"/>
    </xf>
    <xf numFmtId="3" fontId="10" fillId="6" borderId="1" xfId="1" applyNumberFormat="1" applyFont="1" applyFill="1" applyBorder="1" applyAlignment="1" applyProtection="1">
      <alignment vertical="top" wrapText="1"/>
      <protection locked="0"/>
    </xf>
    <xf numFmtId="0" fontId="10" fillId="3" borderId="8" xfId="51" applyFont="1" applyFill="1" applyBorder="1" applyAlignment="1" applyProtection="1">
      <alignment horizontal="left" vertical="center"/>
    </xf>
    <xf numFmtId="0" fontId="10" fillId="3" borderId="9" xfId="51" applyFont="1" applyFill="1" applyBorder="1" applyAlignment="1" applyProtection="1">
      <alignment horizontal="left" vertical="center"/>
    </xf>
    <xf numFmtId="0" fontId="10" fillId="3" borderId="9" xfId="51" applyFont="1" applyFill="1" applyBorder="1" applyAlignment="1" applyProtection="1">
      <alignment vertical="top" wrapText="1"/>
    </xf>
    <xf numFmtId="9" fontId="10" fillId="3" borderId="1" xfId="1" applyNumberFormat="1" applyFont="1" applyFill="1" applyBorder="1" applyAlignment="1" applyProtection="1">
      <alignment vertical="top" wrapText="1"/>
    </xf>
    <xf numFmtId="0" fontId="10" fillId="3" borderId="1" xfId="51" applyFont="1" applyFill="1" applyBorder="1" applyAlignment="1" applyProtection="1">
      <alignment horizontal="center" vertical="center"/>
    </xf>
    <xf numFmtId="0" fontId="10" fillId="3" borderId="1" xfId="51" applyFont="1" applyFill="1" applyBorder="1" applyAlignment="1" applyProtection="1">
      <alignment horizontal="left" vertical="center" wrapText="1"/>
    </xf>
    <xf numFmtId="0" fontId="10" fillId="4" borderId="1" xfId="51" applyFont="1" applyFill="1" applyBorder="1" applyAlignment="1" applyProtection="1">
      <alignment horizontal="center" vertical="center" wrapText="1"/>
    </xf>
    <xf numFmtId="0" fontId="10" fillId="3" borderId="4" xfId="51" applyFont="1" applyFill="1" applyBorder="1" applyAlignment="1" applyProtection="1">
      <alignment horizontal="center" vertical="center" wrapText="1"/>
    </xf>
    <xf numFmtId="0" fontId="10" fillId="4" borderId="4" xfId="51" applyFont="1" applyFill="1" applyBorder="1" applyAlignment="1" applyProtection="1">
      <alignment horizontal="center" vertical="center" wrapText="1"/>
    </xf>
    <xf numFmtId="3" fontId="10" fillId="4" borderId="4" xfId="51" applyNumberFormat="1" applyFont="1" applyFill="1" applyBorder="1" applyAlignment="1" applyProtection="1">
      <alignment horizontal="center" vertical="center" wrapText="1"/>
    </xf>
    <xf numFmtId="0" fontId="13" fillId="0" borderId="1" xfId="51" applyFont="1" applyFill="1" applyBorder="1" applyAlignment="1" applyProtection="1">
      <alignment horizontal="center" vertical="center"/>
    </xf>
    <xf numFmtId="0" fontId="13" fillId="0" borderId="1" xfId="51" applyFont="1" applyBorder="1" applyProtection="1">
      <alignment vertical="center"/>
      <protection locked="0"/>
    </xf>
    <xf numFmtId="0" fontId="13" fillId="6" borderId="1" xfId="51" applyFont="1" applyFill="1" applyBorder="1" applyProtection="1">
      <alignment vertical="center"/>
      <protection locked="0"/>
    </xf>
    <xf numFmtId="3" fontId="13" fillId="0" borderId="1" xfId="1" applyNumberFormat="1" applyFont="1" applyBorder="1" applyAlignment="1" applyProtection="1">
      <alignment vertical="center"/>
      <protection locked="0"/>
    </xf>
    <xf numFmtId="0" fontId="7" fillId="0" borderId="0" xfId="51" applyFont="1" applyProtection="1">
      <alignment vertical="center"/>
    </xf>
    <xf numFmtId="0" fontId="11" fillId="3" borderId="1" xfId="0" applyFont="1" applyFill="1" applyBorder="1" applyAlignment="1" applyProtection="1">
      <alignment horizontal="center" vertical="center"/>
    </xf>
    <xf numFmtId="0" fontId="11" fillId="3" borderId="2" xfId="0" applyFont="1" applyFill="1" applyBorder="1" applyAlignment="1" applyProtection="1">
      <alignment horizontal="left" vertical="center"/>
    </xf>
    <xf numFmtId="0" fontId="11" fillId="3" borderId="2" xfId="0" applyFont="1" applyFill="1" applyBorder="1" applyAlignment="1" applyProtection="1">
      <alignment horizontal="center" vertical="center"/>
    </xf>
    <xf numFmtId="3" fontId="13" fillId="3" borderId="2" xfId="1" applyNumberFormat="1" applyFont="1" applyFill="1" applyBorder="1" applyAlignment="1" applyProtection="1">
      <alignment vertical="center"/>
    </xf>
    <xf numFmtId="0" fontId="13" fillId="6" borderId="2" xfId="51" applyFont="1" applyFill="1" applyBorder="1" applyAlignment="1" applyProtection="1">
      <alignment horizontal="center" vertical="center"/>
    </xf>
    <xf numFmtId="3" fontId="13" fillId="6" borderId="8" xfId="0" applyNumberFormat="1" applyFont="1" applyFill="1" applyBorder="1" applyAlignment="1" applyProtection="1">
      <alignment vertical="center"/>
    </xf>
    <xf numFmtId="3" fontId="13" fillId="6" borderId="9" xfId="0" applyNumberFormat="1" applyFont="1" applyFill="1" applyBorder="1" applyAlignment="1" applyProtection="1">
      <alignment vertical="center"/>
    </xf>
    <xf numFmtId="0" fontId="13" fillId="6" borderId="3" xfId="51" applyFont="1" applyFill="1" applyBorder="1" applyAlignment="1" applyProtection="1">
      <alignment horizontal="center" vertical="center"/>
    </xf>
    <xf numFmtId="0" fontId="13" fillId="6" borderId="4" xfId="51" applyFont="1" applyFill="1" applyBorder="1" applyAlignment="1" applyProtection="1">
      <alignment horizontal="center" vertical="center"/>
    </xf>
    <xf numFmtId="0" fontId="13" fillId="6" borderId="1" xfId="51" applyFont="1" applyFill="1" applyBorder="1" applyProtection="1">
      <alignment vertical="center"/>
    </xf>
    <xf numFmtId="0" fontId="13" fillId="6" borderId="8" xfId="51" applyFont="1" applyFill="1" applyBorder="1" applyProtection="1">
      <alignment vertical="center"/>
    </xf>
    <xf numFmtId="0" fontId="13" fillId="6" borderId="9" xfId="51" applyFont="1" applyFill="1" applyBorder="1" applyProtection="1">
      <alignment vertical="center"/>
    </xf>
    <xf numFmtId="0" fontId="13" fillId="6" borderId="9" xfId="51" applyFont="1" applyFill="1" applyBorder="1" applyAlignment="1" applyProtection="1">
      <alignment vertical="center"/>
    </xf>
    <xf numFmtId="0" fontId="5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11" xfId="51" applyFont="1" applyBorder="1" applyProtection="1">
      <alignment vertical="center"/>
    </xf>
    <xf numFmtId="3" fontId="10" fillId="3" borderId="4" xfId="51" applyNumberFormat="1" applyFont="1" applyFill="1" applyBorder="1" applyAlignment="1" applyProtection="1">
      <alignment horizontal="center" vertical="center" wrapText="1"/>
    </xf>
    <xf numFmtId="3" fontId="13" fillId="3" borderId="1" xfId="1" applyNumberFormat="1" applyFont="1" applyFill="1" applyBorder="1" applyAlignment="1" applyProtection="1">
      <alignment vertical="center"/>
    </xf>
    <xf numFmtId="10" fontId="13" fillId="3" borderId="1" xfId="51" applyNumberFormat="1" applyFont="1" applyFill="1" applyBorder="1" applyProtection="1">
      <alignment vertical="center"/>
    </xf>
    <xf numFmtId="0" fontId="13" fillId="0" borderId="1" xfId="51" applyFont="1" applyFill="1" applyBorder="1" applyAlignment="1" applyProtection="1">
      <alignment horizontal="center" vertical="center"/>
      <protection locked="0"/>
    </xf>
    <xf numFmtId="10" fontId="13" fillId="3" borderId="2" xfId="51" applyNumberFormat="1" applyFont="1" applyFill="1" applyBorder="1" applyProtection="1">
      <alignment vertical="center"/>
    </xf>
    <xf numFmtId="0" fontId="13" fillId="3" borderId="2" xfId="51" applyFont="1" applyFill="1" applyBorder="1" applyProtection="1">
      <alignment vertical="center"/>
    </xf>
    <xf numFmtId="0" fontId="13" fillId="0" borderId="9" xfId="51" applyFont="1" applyFill="1" applyBorder="1" applyProtection="1">
      <alignment vertical="center"/>
    </xf>
    <xf numFmtId="0" fontId="13" fillId="0" borderId="9" xfId="51" applyFont="1" applyBorder="1" applyProtection="1">
      <alignment vertical="center"/>
    </xf>
    <xf numFmtId="0" fontId="8" fillId="3" borderId="13" xfId="51" applyFont="1" applyFill="1" applyBorder="1" applyAlignment="1" applyProtection="1">
      <alignment horizontal="center" vertical="center"/>
    </xf>
    <xf numFmtId="15" fontId="10" fillId="0" borderId="13" xfId="50" applyNumberFormat="1" applyFont="1" applyFill="1" applyBorder="1" applyAlignment="1" applyProtection="1">
      <alignment horizontal="center"/>
    </xf>
    <xf numFmtId="15" fontId="10" fillId="0" borderId="14" xfId="50" applyNumberFormat="1" applyFont="1" applyFill="1" applyBorder="1" applyAlignment="1" applyProtection="1">
      <alignment horizontal="center"/>
    </xf>
    <xf numFmtId="15" fontId="10" fillId="0" borderId="15" xfId="50" applyNumberFormat="1" applyFont="1" applyFill="1" applyBorder="1" applyAlignment="1" applyProtection="1">
      <alignment horizontal="center"/>
    </xf>
    <xf numFmtId="0" fontId="13" fillId="0" borderId="15" xfId="51" applyFont="1" applyBorder="1" applyProtection="1">
      <alignment vertical="center"/>
    </xf>
    <xf numFmtId="0" fontId="13" fillId="3" borderId="9" xfId="51" applyFont="1" applyFill="1" applyBorder="1" applyProtection="1">
      <alignment vertical="center"/>
    </xf>
    <xf numFmtId="0" fontId="13" fillId="3" borderId="12" xfId="51" applyFont="1" applyFill="1" applyBorder="1" applyProtection="1">
      <alignment vertical="center"/>
    </xf>
    <xf numFmtId="3" fontId="10" fillId="3" borderId="1" xfId="1" applyNumberFormat="1" applyFont="1" applyFill="1" applyBorder="1" applyAlignment="1" applyProtection="1">
      <alignment vertical="center"/>
    </xf>
    <xf numFmtId="0" fontId="13" fillId="0" borderId="12" xfId="51" applyFont="1" applyFill="1" applyBorder="1" applyProtection="1">
      <alignment vertical="center"/>
    </xf>
    <xf numFmtId="0" fontId="13" fillId="0" borderId="12" xfId="51" applyFont="1" applyBorder="1" applyProtection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 8" xfId="52"/>
  </cellStyles>
  <tableStyles count="0" defaultTableStyle="TableStyleMedium2" defaultPivotStyle="PivotStyleLight16"/>
  <colors>
    <mruColors>
      <color rgb="00BFBFBF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1257935</xdr:colOff>
          <xdr:row>3</xdr:row>
          <xdr:rowOff>53340</xdr:rowOff>
        </xdr:from>
        <xdr:to>
          <xdr:col>8</xdr:col>
          <xdr:colOff>1164590</xdr:colOff>
          <xdr:row>4</xdr:row>
          <xdr:rowOff>129540</xdr:rowOff>
        </xdr:to>
        <xdr:sp macro="[0]!InsertRow85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092700" y="605790"/>
              <a:ext cx="613410" cy="26035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209550</xdr:colOff>
          <xdr:row>3</xdr:row>
          <xdr:rowOff>53340</xdr:rowOff>
        </xdr:from>
        <xdr:to>
          <xdr:col>11</xdr:col>
          <xdr:colOff>85725</xdr:colOff>
          <xdr:row>4</xdr:row>
          <xdr:rowOff>144780</xdr:rowOff>
        </xdr:to>
        <xdr:sp macro="[0]!DeleteRow85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529070" y="605790"/>
              <a:ext cx="489585" cy="27559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U17"/>
  <sheetViews>
    <sheetView showGridLines="0" tabSelected="1" zoomScale="90" zoomScaleNormal="90" zoomScaleSheetLayoutView="60" workbookViewId="0">
      <selection activeCell="D9" sqref="D9"/>
    </sheetView>
  </sheetViews>
  <sheetFormatPr defaultColWidth="0" defaultRowHeight="14.5"/>
  <cols>
    <col min="1" max="1" width="3" style="30" customWidth="1"/>
    <col min="2" max="2" width="11.7818181818182"/>
    <col min="3" max="3" width="14.2181818181818" customWidth="1"/>
    <col min="4" max="22" width="8.78181818181818" customWidth="1"/>
    <col min="23" max="16384" width="8.78181818181818" hidden="1"/>
  </cols>
  <sheetData>
    <row r="1" s="30" customFormat="1" spans="1:21">
      <c r="A1" s="32" t="s">
        <v>0</v>
      </c>
      <c r="B1" s="33"/>
      <c r="C1" s="34"/>
      <c r="D1" s="34"/>
      <c r="E1" s="34"/>
      <c r="F1" s="34"/>
      <c r="G1" s="34"/>
      <c r="H1" s="33"/>
      <c r="I1" s="33"/>
      <c r="J1" s="33"/>
      <c r="K1" s="33"/>
      <c r="L1" s="76"/>
      <c r="M1" s="76"/>
      <c r="N1" s="76" t="s">
        <v>1</v>
      </c>
      <c r="O1" s="76" t="s">
        <v>2</v>
      </c>
      <c r="P1" s="76"/>
      <c r="Q1" s="76"/>
      <c r="R1" s="76"/>
      <c r="S1" s="76"/>
      <c r="T1" s="76"/>
      <c r="U1" s="76"/>
    </row>
    <row r="2" spans="1:21">
      <c r="A2" s="32" t="s">
        <v>0</v>
      </c>
      <c r="B2" s="35" t="s">
        <v>3</v>
      </c>
      <c r="C2" s="36"/>
      <c r="D2" s="36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102"/>
    </row>
    <row r="3" spans="1:21">
      <c r="A3" s="32" t="s">
        <v>0</v>
      </c>
      <c r="B3" s="38" t="s">
        <v>4</v>
      </c>
      <c r="C3" s="39" t="s">
        <v>5</v>
      </c>
      <c r="D3" s="40"/>
      <c r="E3" s="4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103"/>
    </row>
    <row r="4" spans="1:21">
      <c r="A4" s="32" t="s">
        <v>0</v>
      </c>
      <c r="B4" s="43" t="s">
        <v>6</v>
      </c>
      <c r="C4" s="44" t="s">
        <v>7</v>
      </c>
      <c r="D4" s="45"/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104"/>
    </row>
    <row r="5" spans="1:21">
      <c r="A5" s="32" t="s">
        <v>0</v>
      </c>
      <c r="B5" s="48" t="s">
        <v>8</v>
      </c>
      <c r="C5" s="49"/>
      <c r="D5" s="50"/>
      <c r="E5" s="46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104"/>
    </row>
    <row r="6" spans="1:21">
      <c r="A6" s="32" t="s">
        <v>0</v>
      </c>
      <c r="B6" s="51"/>
      <c r="C6" s="52"/>
      <c r="D6" s="53">
        <v>1</v>
      </c>
      <c r="E6" s="54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05"/>
    </row>
    <row r="7" spans="1:21">
      <c r="A7" s="32" t="s">
        <v>0</v>
      </c>
      <c r="B7" s="56"/>
      <c r="C7" s="57"/>
      <c r="D7" s="57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93"/>
      <c r="Q7" s="93"/>
      <c r="R7" s="93"/>
      <c r="S7" s="93"/>
      <c r="T7" s="93"/>
      <c r="U7" s="106"/>
    </row>
    <row r="8" spans="1:21">
      <c r="A8" s="32" t="s">
        <v>9</v>
      </c>
      <c r="B8" s="59"/>
      <c r="C8" s="60" t="s">
        <v>10</v>
      </c>
      <c r="D8" s="61">
        <v>0</v>
      </c>
      <c r="E8" s="62"/>
      <c r="F8" s="63"/>
      <c r="G8" s="64"/>
      <c r="H8" s="64"/>
      <c r="I8" s="64"/>
      <c r="J8" s="64"/>
      <c r="K8" s="64"/>
      <c r="L8" s="64"/>
      <c r="M8" s="64"/>
      <c r="N8" s="64"/>
      <c r="O8" s="64"/>
      <c r="P8" s="64"/>
      <c r="Q8" s="107"/>
      <c r="R8" s="107"/>
      <c r="S8" s="107"/>
      <c r="T8" s="107"/>
      <c r="U8" s="108"/>
    </row>
    <row r="9" spans="1:21">
      <c r="A9" s="32" t="s">
        <v>9</v>
      </c>
      <c r="B9" s="59"/>
      <c r="C9" s="60" t="s">
        <v>11</v>
      </c>
      <c r="D9" s="65">
        <v>0.25</v>
      </c>
      <c r="E9" s="62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107"/>
      <c r="R9" s="107"/>
      <c r="S9" s="107"/>
      <c r="T9" s="107"/>
      <c r="U9" s="108"/>
    </row>
    <row r="10" ht="94.5" spans="1:21">
      <c r="A10" s="32" t="s">
        <v>9</v>
      </c>
      <c r="B10" s="66"/>
      <c r="C10" s="67" t="s">
        <v>12</v>
      </c>
      <c r="D10" s="68" t="s">
        <v>13</v>
      </c>
      <c r="E10" s="69" t="s">
        <v>14</v>
      </c>
      <c r="F10" s="69" t="s">
        <v>15</v>
      </c>
      <c r="G10" s="70" t="s">
        <v>16</v>
      </c>
      <c r="H10" s="71" t="s">
        <v>17</v>
      </c>
      <c r="I10" s="94" t="s">
        <v>18</v>
      </c>
      <c r="J10" s="71" t="s">
        <v>19</v>
      </c>
      <c r="K10" s="94" t="s">
        <v>20</v>
      </c>
      <c r="L10" s="94" t="s">
        <v>21</v>
      </c>
      <c r="M10" s="94" t="s">
        <v>22</v>
      </c>
      <c r="N10" s="69" t="s">
        <v>23</v>
      </c>
      <c r="O10" s="69" t="s">
        <v>24</v>
      </c>
      <c r="P10" s="70" t="s">
        <v>25</v>
      </c>
      <c r="Q10" s="71" t="s">
        <v>26</v>
      </c>
      <c r="R10" s="71" t="s">
        <v>27</v>
      </c>
      <c r="S10" s="70" t="s">
        <v>28</v>
      </c>
      <c r="T10" s="71" t="s">
        <v>29</v>
      </c>
      <c r="U10" s="68" t="s">
        <v>30</v>
      </c>
    </row>
    <row r="11" spans="1:21">
      <c r="A11" s="32" t="s">
        <v>31</v>
      </c>
      <c r="B11" s="72">
        <v>1</v>
      </c>
      <c r="C11" s="73" t="s">
        <v>32</v>
      </c>
      <c r="D11" s="73" t="s">
        <v>32</v>
      </c>
      <c r="E11" s="73" t="s">
        <v>32</v>
      </c>
      <c r="F11" s="73" t="s">
        <v>32</v>
      </c>
      <c r="G11" s="74" t="s">
        <v>32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95">
        <f>H11+I11+J11+L11+M11</f>
        <v>0</v>
      </c>
      <c r="O11" s="96">
        <f>IF(D8=0,0,+N11/D8)</f>
        <v>0</v>
      </c>
      <c r="P11" s="97" t="s">
        <v>32</v>
      </c>
      <c r="Q11" s="75">
        <v>0</v>
      </c>
      <c r="R11" s="75">
        <v>0</v>
      </c>
      <c r="S11" s="97" t="s">
        <v>32</v>
      </c>
      <c r="T11" s="75">
        <v>0</v>
      </c>
      <c r="U11" s="75" t="s">
        <v>32</v>
      </c>
    </row>
    <row r="12" spans="1:21">
      <c r="A12" s="76" t="s">
        <v>33</v>
      </c>
      <c r="B12" s="77"/>
      <c r="C12" s="78" t="s">
        <v>34</v>
      </c>
      <c r="D12" s="78"/>
      <c r="E12" s="78"/>
      <c r="F12" s="78"/>
      <c r="G12" s="79"/>
      <c r="H12" s="80">
        <f t="shared" ref="H12:M12" si="0">SUM(H11:H11)</f>
        <v>0</v>
      </c>
      <c r="I12" s="80">
        <f t="shared" si="0"/>
        <v>0</v>
      </c>
      <c r="J12" s="80">
        <f t="shared" si="0"/>
        <v>0</v>
      </c>
      <c r="K12" s="80">
        <f t="shared" si="0"/>
        <v>0</v>
      </c>
      <c r="L12" s="80">
        <f t="shared" si="0"/>
        <v>0</v>
      </c>
      <c r="M12" s="80">
        <f t="shared" si="0"/>
        <v>0</v>
      </c>
      <c r="N12" s="95">
        <f>H12+I12+J12+L12+M12</f>
        <v>0</v>
      </c>
      <c r="O12" s="98">
        <f>IF(D8=0,0,+N12/D8)</f>
        <v>0</v>
      </c>
      <c r="P12" s="99"/>
      <c r="Q12" s="80">
        <f>SUM(Q11:Q11)</f>
        <v>0</v>
      </c>
      <c r="R12" s="80">
        <f>SUM(R11:R11)</f>
        <v>0</v>
      </c>
      <c r="S12" s="99"/>
      <c r="T12" s="80">
        <f>SUM(T11:T11)</f>
        <v>0</v>
      </c>
      <c r="U12" s="109"/>
    </row>
    <row r="13" spans="1:21">
      <c r="A13" s="32" t="s">
        <v>0</v>
      </c>
      <c r="B13" s="81"/>
      <c r="C13" s="82" t="s">
        <v>35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100"/>
      <c r="Q13" s="100"/>
      <c r="R13" s="100"/>
      <c r="S13" s="100"/>
      <c r="T13" s="100"/>
      <c r="U13" s="110"/>
    </row>
    <row r="14" spans="1:21">
      <c r="A14" s="32" t="s">
        <v>0</v>
      </c>
      <c r="B14" s="84"/>
      <c r="C14" s="82" t="s">
        <v>36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100"/>
      <c r="Q14" s="100"/>
      <c r="R14" s="100"/>
      <c r="S14" s="100"/>
      <c r="T14" s="100"/>
      <c r="U14" s="110"/>
    </row>
    <row r="15" spans="1:21">
      <c r="A15" s="32" t="s">
        <v>0</v>
      </c>
      <c r="B15" s="85"/>
      <c r="C15" s="86" t="s">
        <v>37</v>
      </c>
      <c r="D15" s="87"/>
      <c r="E15" s="88"/>
      <c r="F15" s="88"/>
      <c r="G15" s="89"/>
      <c r="H15" s="89"/>
      <c r="I15" s="89"/>
      <c r="J15" s="89"/>
      <c r="K15" s="89"/>
      <c r="L15" s="89"/>
      <c r="M15" s="89"/>
      <c r="N15" s="89"/>
      <c r="O15" s="89"/>
      <c r="P15" s="101"/>
      <c r="Q15" s="101"/>
      <c r="R15" s="101"/>
      <c r="S15" s="101"/>
      <c r="T15" s="101"/>
      <c r="U15" s="111"/>
    </row>
    <row r="16" s="31" customFormat="1" spans="1:21">
      <c r="A16" s="90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</row>
    <row r="17" s="31" customFormat="1" spans="1:21">
      <c r="A17" s="92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</row>
  </sheetData>
  <sheetProtection password="CC74" sheet="1" objects="1" scenarios="1"/>
  <mergeCells count="6">
    <mergeCell ref="B2:U2"/>
    <mergeCell ref="C3:D3"/>
    <mergeCell ref="C4:D4"/>
    <mergeCell ref="C5:D5"/>
    <mergeCell ref="B6:C6"/>
    <mergeCell ref="B13:B15"/>
  </mergeCells>
  <dataValidations count="6">
    <dataValidation type="whole" operator="greaterThanOrEqual" allowBlank="1" showInputMessage="1" showErrorMessage="1" error="Please input a valid data!" sqref="D8 G8:G9">
      <formula1>0</formula1>
    </dataValidation>
    <dataValidation allowBlank="1" showInputMessage="1" showErrorMessage="1" error="Please input a valid data!" sqref="D9"/>
    <dataValidation type="textLength" operator="lessThan" allowBlank="1" showInputMessage="1" showErrorMessage="1" error="Data Length is too long!" sqref="C11:E11">
      <formula1>500</formula1>
    </dataValidation>
    <dataValidation type="list" allowBlank="1" showInputMessage="1" showErrorMessage="1" error="Data Length is too long!" sqref="F11">
      <formula1>BORCODE</formula1>
    </dataValidation>
    <dataValidation type="list" allowBlank="1" showInputMessage="1" showErrorMessage="1" error="Data Length is too long!" sqref="G11">
      <formula1>CURRENCY</formula1>
    </dataValidation>
    <dataValidation type="whole" operator="greaterThanOrEqual" allowBlank="1" showInputMessage="1" showErrorMessage="1" sqref="H11:M11 Q11:R11 T11">
      <formula1>0</formula1>
    </dataValidation>
  </dataValidations>
  <pageMargins left="0.7" right="0.7" top="0.75" bottom="0.75" header="0.3" footer="0.3"/>
  <pageSetup paperSize="9" scale="72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7</xdr:col>
                    <xdr:colOff>1257935</xdr:colOff>
                    <xdr:row>3</xdr:row>
                    <xdr:rowOff>53340</xdr:rowOff>
                  </from>
                  <to>
                    <xdr:col>8</xdr:col>
                    <xdr:colOff>1164590</xdr:colOff>
                    <xdr:row>4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10</xdr:col>
                    <xdr:colOff>209550</xdr:colOff>
                    <xdr:row>3</xdr:row>
                    <xdr:rowOff>53340</xdr:rowOff>
                  </from>
                  <to>
                    <xdr:col>11</xdr:col>
                    <xdr:colOff>85725</xdr:colOff>
                    <xdr:row>4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75"/>
  <sheetViews>
    <sheetView zoomScale="90" zoomScaleNormal="90" zoomScaleSheetLayoutView="60" workbookViewId="0">
      <selection activeCell="D3" sqref="D3:D175"/>
    </sheetView>
  </sheetViews>
  <sheetFormatPr defaultColWidth="8.78181818181818" defaultRowHeight="13" outlineLevelCol="7"/>
  <cols>
    <col min="1" max="1" width="8.78181818181818" style="1"/>
    <col min="2" max="2" width="32.7818181818182" style="1" customWidth="1"/>
    <col min="3" max="3" width="3.21818181818182" style="1" customWidth="1"/>
    <col min="4" max="4" width="8.78181818181818" style="1"/>
    <col min="5" max="5" width="46.7818181818182" style="1" customWidth="1"/>
    <col min="6" max="6" width="4" style="1" customWidth="1"/>
    <col min="7" max="7" width="8.78181818181818" style="1"/>
    <col min="8" max="8" width="70.7818181818182" style="1" customWidth="1"/>
    <col min="9" max="244" width="8.78181818181818" style="1"/>
    <col min="245" max="245" width="7.55454545454545" style="1" customWidth="1"/>
    <col min="246" max="246" width="45.7818181818182" style="1"/>
    <col min="247" max="247" width="4" style="1" customWidth="1"/>
    <col min="248" max="248" width="15.5545454545455" style="1" customWidth="1"/>
    <col min="249" max="249" width="23.7818181818182" style="1" customWidth="1"/>
    <col min="250" max="251" width="8.78181818181818" style="1"/>
    <col min="252" max="252" width="101.445454545455" style="1" customWidth="1"/>
    <col min="253" max="254" width="8.78181818181818" style="1"/>
    <col min="255" max="255" width="46.7818181818182" style="1" customWidth="1"/>
    <col min="256" max="16384" width="8.78181818181818" style="1"/>
  </cols>
  <sheetData>
    <row r="1" spans="1:8">
      <c r="A1" s="2" t="s">
        <v>38</v>
      </c>
      <c r="B1" s="2"/>
      <c r="C1" s="3"/>
      <c r="D1" s="4" t="s">
        <v>16</v>
      </c>
      <c r="E1" s="4"/>
      <c r="G1" s="4" t="s">
        <v>39</v>
      </c>
      <c r="H1" s="4"/>
    </row>
    <row r="2" spans="1:8">
      <c r="A2" s="5" t="s">
        <v>40</v>
      </c>
      <c r="B2" s="6" t="s">
        <v>41</v>
      </c>
      <c r="C2" s="7"/>
      <c r="D2" s="5" t="s">
        <v>40</v>
      </c>
      <c r="E2" s="5" t="s">
        <v>16</v>
      </c>
      <c r="G2" s="5" t="s">
        <v>40</v>
      </c>
      <c r="H2" s="8" t="s">
        <v>42</v>
      </c>
    </row>
    <row r="3" spans="1:8">
      <c r="A3" s="9" t="s">
        <v>43</v>
      </c>
      <c r="B3" s="10" t="s">
        <v>44</v>
      </c>
      <c r="C3" s="11"/>
      <c r="D3" s="10" t="s">
        <v>45</v>
      </c>
      <c r="E3" s="10" t="s">
        <v>46</v>
      </c>
      <c r="G3" s="12" t="s">
        <v>47</v>
      </c>
      <c r="H3" s="13" t="s">
        <v>48</v>
      </c>
    </row>
    <row r="4" spans="1:8">
      <c r="A4" s="9" t="s">
        <v>49</v>
      </c>
      <c r="B4" s="10" t="s">
        <v>50</v>
      </c>
      <c r="C4" s="11"/>
      <c r="D4" s="10" t="s">
        <v>51</v>
      </c>
      <c r="E4" s="10" t="s">
        <v>52</v>
      </c>
      <c r="G4" s="14"/>
      <c r="H4" s="15" t="s">
        <v>53</v>
      </c>
    </row>
    <row r="5" spans="1:8">
      <c r="A5" s="16"/>
      <c r="B5" s="11"/>
      <c r="C5" s="11"/>
      <c r="D5" s="10" t="s">
        <v>54</v>
      </c>
      <c r="E5" s="10" t="s">
        <v>55</v>
      </c>
      <c r="G5" s="14"/>
      <c r="H5" s="15" t="s">
        <v>56</v>
      </c>
    </row>
    <row r="6" spans="1:8">
      <c r="A6" s="17"/>
      <c r="B6" s="18"/>
      <c r="C6" s="18"/>
      <c r="D6" s="10" t="s">
        <v>57</v>
      </c>
      <c r="E6" s="10" t="s">
        <v>58</v>
      </c>
      <c r="G6" s="14"/>
      <c r="H6" s="15" t="s">
        <v>59</v>
      </c>
    </row>
    <row r="7" spans="4:8">
      <c r="D7" s="10" t="s">
        <v>60</v>
      </c>
      <c r="E7" s="10" t="s">
        <v>61</v>
      </c>
      <c r="G7" s="14"/>
      <c r="H7" s="15" t="s">
        <v>62</v>
      </c>
    </row>
    <row r="8" spans="4:8">
      <c r="D8" s="10" t="s">
        <v>63</v>
      </c>
      <c r="E8" s="10" t="s">
        <v>64</v>
      </c>
      <c r="G8" s="14"/>
      <c r="H8" s="15" t="s">
        <v>65</v>
      </c>
    </row>
    <row r="9" spans="4:8">
      <c r="D9" s="10" t="s">
        <v>66</v>
      </c>
      <c r="E9" s="10" t="s">
        <v>67</v>
      </c>
      <c r="G9" s="14"/>
      <c r="H9" s="15" t="s">
        <v>68</v>
      </c>
    </row>
    <row r="10" spans="4:8">
      <c r="D10" s="10" t="s">
        <v>69</v>
      </c>
      <c r="E10" s="10" t="s">
        <v>70</v>
      </c>
      <c r="G10" s="14"/>
      <c r="H10" s="15" t="s">
        <v>71</v>
      </c>
    </row>
    <row r="11" spans="4:8">
      <c r="D11" s="10" t="s">
        <v>72</v>
      </c>
      <c r="E11" s="10" t="s">
        <v>73</v>
      </c>
      <c r="G11" s="14"/>
      <c r="H11" s="15" t="s">
        <v>74</v>
      </c>
    </row>
    <row r="12" spans="4:8">
      <c r="D12" s="10" t="s">
        <v>75</v>
      </c>
      <c r="E12" s="10" t="s">
        <v>76</v>
      </c>
      <c r="G12" s="14"/>
      <c r="H12" s="15" t="s">
        <v>77</v>
      </c>
    </row>
    <row r="13" spans="4:8">
      <c r="D13" s="10" t="s">
        <v>78</v>
      </c>
      <c r="E13" s="10" t="s">
        <v>79</v>
      </c>
      <c r="G13" s="14"/>
      <c r="H13" s="15" t="s">
        <v>80</v>
      </c>
    </row>
    <row r="14" spans="4:8">
      <c r="D14" s="10" t="s">
        <v>81</v>
      </c>
      <c r="E14" s="10" t="s">
        <v>82</v>
      </c>
      <c r="G14" s="14"/>
      <c r="H14" s="15" t="s">
        <v>83</v>
      </c>
    </row>
    <row r="15" spans="4:8">
      <c r="D15" s="10" t="s">
        <v>84</v>
      </c>
      <c r="E15" s="10" t="s">
        <v>85</v>
      </c>
      <c r="G15" s="19"/>
      <c r="H15" s="20" t="s">
        <v>86</v>
      </c>
    </row>
    <row r="16" spans="4:8">
      <c r="D16" s="10" t="s">
        <v>87</v>
      </c>
      <c r="E16" s="10" t="s">
        <v>88</v>
      </c>
      <c r="G16" s="21" t="s">
        <v>89</v>
      </c>
      <c r="H16" s="22" t="s">
        <v>90</v>
      </c>
    </row>
    <row r="17" spans="4:8">
      <c r="D17" s="10" t="s">
        <v>91</v>
      </c>
      <c r="E17" s="10" t="s">
        <v>92</v>
      </c>
      <c r="G17" s="23" t="s">
        <v>93</v>
      </c>
      <c r="H17" s="13" t="s">
        <v>94</v>
      </c>
    </row>
    <row r="18" spans="4:8">
      <c r="D18" s="10" t="s">
        <v>95</v>
      </c>
      <c r="E18" s="10" t="s">
        <v>96</v>
      </c>
      <c r="G18" s="24"/>
      <c r="H18" s="15" t="s">
        <v>97</v>
      </c>
    </row>
    <row r="19" spans="4:8">
      <c r="D19" s="10" t="s">
        <v>98</v>
      </c>
      <c r="E19" s="10" t="s">
        <v>99</v>
      </c>
      <c r="G19" s="24"/>
      <c r="H19" s="15" t="s">
        <v>100</v>
      </c>
    </row>
    <row r="20" spans="4:8">
      <c r="D20" s="10" t="s">
        <v>101</v>
      </c>
      <c r="E20" s="10" t="s">
        <v>102</v>
      </c>
      <c r="G20" s="24"/>
      <c r="H20" s="15" t="s">
        <v>103</v>
      </c>
    </row>
    <row r="21" spans="4:8">
      <c r="D21" s="10" t="s">
        <v>104</v>
      </c>
      <c r="E21" s="10" t="s">
        <v>105</v>
      </c>
      <c r="G21" s="24"/>
      <c r="H21" s="15" t="s">
        <v>106</v>
      </c>
    </row>
    <row r="22" spans="4:8">
      <c r="D22" s="10" t="s">
        <v>107</v>
      </c>
      <c r="E22" s="10" t="s">
        <v>108</v>
      </c>
      <c r="G22" s="24"/>
      <c r="H22" s="15" t="s">
        <v>109</v>
      </c>
    </row>
    <row r="23" spans="4:8">
      <c r="D23" s="10" t="s">
        <v>110</v>
      </c>
      <c r="E23" s="10" t="s">
        <v>111</v>
      </c>
      <c r="G23" s="25"/>
      <c r="H23" s="15" t="s">
        <v>112</v>
      </c>
    </row>
    <row r="24" spans="4:8">
      <c r="D24" s="10" t="s">
        <v>113</v>
      </c>
      <c r="E24" s="10" t="s">
        <v>114</v>
      </c>
      <c r="G24" s="26" t="s">
        <v>115</v>
      </c>
      <c r="H24" s="13" t="s">
        <v>116</v>
      </c>
    </row>
    <row r="25" spans="4:8">
      <c r="D25" s="10" t="s">
        <v>117</v>
      </c>
      <c r="E25" s="10" t="s">
        <v>118</v>
      </c>
      <c r="G25" s="27"/>
      <c r="H25" s="15" t="s">
        <v>119</v>
      </c>
    </row>
    <row r="26" spans="4:8">
      <c r="D26" s="10" t="s">
        <v>120</v>
      </c>
      <c r="E26" s="10" t="s">
        <v>121</v>
      </c>
      <c r="G26" s="27"/>
      <c r="H26" s="15" t="s">
        <v>122</v>
      </c>
    </row>
    <row r="27" spans="4:8">
      <c r="D27" s="10" t="s">
        <v>123</v>
      </c>
      <c r="E27" s="10" t="s">
        <v>124</v>
      </c>
      <c r="G27" s="27"/>
      <c r="H27" s="15" t="s">
        <v>125</v>
      </c>
    </row>
    <row r="28" spans="4:8">
      <c r="D28" s="10" t="s">
        <v>126</v>
      </c>
      <c r="E28" s="10" t="s">
        <v>127</v>
      </c>
      <c r="G28" s="27"/>
      <c r="H28" s="15" t="s">
        <v>128</v>
      </c>
    </row>
    <row r="29" spans="4:8">
      <c r="D29" s="10" t="s">
        <v>129</v>
      </c>
      <c r="E29" s="10" t="s">
        <v>130</v>
      </c>
      <c r="G29" s="27"/>
      <c r="H29" s="15" t="s">
        <v>131</v>
      </c>
    </row>
    <row r="30" spans="4:8">
      <c r="D30" s="10" t="s">
        <v>132</v>
      </c>
      <c r="E30" s="10" t="s">
        <v>133</v>
      </c>
      <c r="G30" s="27"/>
      <c r="H30" s="15" t="s">
        <v>134</v>
      </c>
    </row>
    <row r="31" spans="4:8">
      <c r="D31" s="10" t="s">
        <v>135</v>
      </c>
      <c r="E31" s="10" t="s">
        <v>136</v>
      </c>
      <c r="G31" s="27"/>
      <c r="H31" s="15" t="s">
        <v>137</v>
      </c>
    </row>
    <row r="32" spans="4:8">
      <c r="D32" s="10" t="s">
        <v>138</v>
      </c>
      <c r="E32" s="10" t="s">
        <v>139</v>
      </c>
      <c r="G32" s="27"/>
      <c r="H32" s="15" t="s">
        <v>140</v>
      </c>
    </row>
    <row r="33" spans="4:8">
      <c r="D33" s="10" t="s">
        <v>141</v>
      </c>
      <c r="E33" s="10" t="s">
        <v>142</v>
      </c>
      <c r="G33" s="27"/>
      <c r="H33" s="15" t="s">
        <v>143</v>
      </c>
    </row>
    <row r="34" spans="4:8">
      <c r="D34" s="10" t="s">
        <v>144</v>
      </c>
      <c r="E34" s="10" t="s">
        <v>145</v>
      </c>
      <c r="G34" s="27"/>
      <c r="H34" s="15" t="s">
        <v>146</v>
      </c>
    </row>
    <row r="35" spans="4:8">
      <c r="D35" s="10" t="s">
        <v>147</v>
      </c>
      <c r="E35" s="10" t="s">
        <v>148</v>
      </c>
      <c r="G35" s="27"/>
      <c r="H35" s="15" t="s">
        <v>149</v>
      </c>
    </row>
    <row r="36" spans="4:8">
      <c r="D36" s="10" t="s">
        <v>150</v>
      </c>
      <c r="E36" s="10" t="s">
        <v>151</v>
      </c>
      <c r="G36" s="28"/>
      <c r="H36" s="20" t="s">
        <v>152</v>
      </c>
    </row>
    <row r="37" spans="4:8">
      <c r="D37" s="10" t="s">
        <v>153</v>
      </c>
      <c r="E37" s="10" t="s">
        <v>154</v>
      </c>
      <c r="G37" s="23" t="s">
        <v>155</v>
      </c>
      <c r="H37" s="13" t="s">
        <v>156</v>
      </c>
    </row>
    <row r="38" spans="4:8">
      <c r="D38" s="10" t="s">
        <v>157</v>
      </c>
      <c r="E38" s="10" t="s">
        <v>158</v>
      </c>
      <c r="G38" s="25"/>
      <c r="H38" s="20" t="s">
        <v>159</v>
      </c>
    </row>
    <row r="39" spans="4:8">
      <c r="D39" s="10" t="s">
        <v>160</v>
      </c>
      <c r="E39" s="10" t="s">
        <v>161</v>
      </c>
      <c r="G39" s="23" t="s">
        <v>162</v>
      </c>
      <c r="H39" s="13" t="s">
        <v>163</v>
      </c>
    </row>
    <row r="40" spans="4:8">
      <c r="D40" s="10" t="s">
        <v>164</v>
      </c>
      <c r="E40" s="10" t="s">
        <v>165</v>
      </c>
      <c r="G40" s="25"/>
      <c r="H40" s="20" t="s">
        <v>159</v>
      </c>
    </row>
    <row r="41" spans="4:8">
      <c r="D41" s="10" t="s">
        <v>166</v>
      </c>
      <c r="E41" s="10" t="s">
        <v>167</v>
      </c>
      <c r="G41" s="23" t="s">
        <v>49</v>
      </c>
      <c r="H41" s="13" t="s">
        <v>168</v>
      </c>
    </row>
    <row r="42" spans="4:8">
      <c r="D42" s="10" t="s">
        <v>169</v>
      </c>
      <c r="E42" s="10" t="s">
        <v>170</v>
      </c>
      <c r="G42" s="25"/>
      <c r="H42" s="20" t="s">
        <v>171</v>
      </c>
    </row>
    <row r="43" spans="4:8">
      <c r="D43" s="10" t="s">
        <v>172</v>
      </c>
      <c r="E43" s="10" t="s">
        <v>173</v>
      </c>
      <c r="G43" s="23" t="s">
        <v>174</v>
      </c>
      <c r="H43" s="13" t="s">
        <v>175</v>
      </c>
    </row>
    <row r="44" spans="4:8">
      <c r="D44" s="10" t="s">
        <v>176</v>
      </c>
      <c r="E44" s="10" t="s">
        <v>177</v>
      </c>
      <c r="G44" s="25"/>
      <c r="H44" s="20" t="s">
        <v>171</v>
      </c>
    </row>
    <row r="45" spans="4:8">
      <c r="D45" s="10" t="s">
        <v>178</v>
      </c>
      <c r="E45" s="10" t="s">
        <v>179</v>
      </c>
      <c r="G45" s="23" t="s">
        <v>180</v>
      </c>
      <c r="H45" s="13" t="s">
        <v>181</v>
      </c>
    </row>
    <row r="46" spans="4:8">
      <c r="D46" s="10" t="s">
        <v>182</v>
      </c>
      <c r="E46" s="10" t="s">
        <v>183</v>
      </c>
      <c r="G46" s="25"/>
      <c r="H46" s="20" t="s">
        <v>184</v>
      </c>
    </row>
    <row r="47" spans="4:5">
      <c r="D47" s="10" t="s">
        <v>185</v>
      </c>
      <c r="E47" s="10" t="s">
        <v>186</v>
      </c>
    </row>
    <row r="48" spans="4:5">
      <c r="D48" s="10" t="s">
        <v>187</v>
      </c>
      <c r="E48" s="10" t="s">
        <v>188</v>
      </c>
    </row>
    <row r="49" spans="4:5">
      <c r="D49" s="10" t="s">
        <v>189</v>
      </c>
      <c r="E49" s="10" t="s">
        <v>190</v>
      </c>
    </row>
    <row r="50" spans="4:5">
      <c r="D50" s="10" t="s">
        <v>191</v>
      </c>
      <c r="E50" s="10" t="s">
        <v>192</v>
      </c>
    </row>
    <row r="51" spans="4:5">
      <c r="D51" s="10" t="s">
        <v>193</v>
      </c>
      <c r="E51" s="10" t="s">
        <v>194</v>
      </c>
    </row>
    <row r="52" spans="4:5">
      <c r="D52" s="10" t="s">
        <v>195</v>
      </c>
      <c r="E52" s="10" t="s">
        <v>196</v>
      </c>
    </row>
    <row r="53" spans="4:5">
      <c r="D53" s="10" t="s">
        <v>197</v>
      </c>
      <c r="E53" s="10" t="s">
        <v>198</v>
      </c>
    </row>
    <row r="54" spans="4:5">
      <c r="D54" s="10" t="s">
        <v>199</v>
      </c>
      <c r="E54" s="10" t="s">
        <v>200</v>
      </c>
    </row>
    <row r="55" spans="4:5">
      <c r="D55" s="10" t="s">
        <v>201</v>
      </c>
      <c r="E55" s="10" t="s">
        <v>202</v>
      </c>
    </row>
    <row r="56" spans="4:5">
      <c r="D56" s="10" t="s">
        <v>203</v>
      </c>
      <c r="E56" s="10" t="s">
        <v>204</v>
      </c>
    </row>
    <row r="57" spans="4:5">
      <c r="D57" s="10" t="s">
        <v>205</v>
      </c>
      <c r="E57" s="10" t="s">
        <v>206</v>
      </c>
    </row>
    <row r="58" spans="4:5">
      <c r="D58" s="10" t="s">
        <v>207</v>
      </c>
      <c r="E58" s="10" t="s">
        <v>208</v>
      </c>
    </row>
    <row r="59" spans="4:5">
      <c r="D59" s="10" t="s">
        <v>209</v>
      </c>
      <c r="E59" s="10" t="s">
        <v>210</v>
      </c>
    </row>
    <row r="60" spans="4:5">
      <c r="D60" s="10" t="s">
        <v>211</v>
      </c>
      <c r="E60" s="10" t="s">
        <v>212</v>
      </c>
    </row>
    <row r="61" spans="4:5">
      <c r="D61" s="10" t="s">
        <v>213</v>
      </c>
      <c r="E61" s="10" t="s">
        <v>214</v>
      </c>
    </row>
    <row r="62" spans="4:5">
      <c r="D62" s="10" t="s">
        <v>215</v>
      </c>
      <c r="E62" s="10" t="s">
        <v>216</v>
      </c>
    </row>
    <row r="63" spans="4:5">
      <c r="D63" s="10" t="s">
        <v>217</v>
      </c>
      <c r="E63" s="10" t="s">
        <v>218</v>
      </c>
    </row>
    <row r="64" spans="4:5">
      <c r="D64" s="10" t="s">
        <v>219</v>
      </c>
      <c r="E64" s="10" t="s">
        <v>220</v>
      </c>
    </row>
    <row r="65" spans="4:5">
      <c r="D65" s="10" t="s">
        <v>221</v>
      </c>
      <c r="E65" s="10" t="s">
        <v>222</v>
      </c>
    </row>
    <row r="66" spans="4:5">
      <c r="D66" s="10" t="s">
        <v>223</v>
      </c>
      <c r="E66" s="10" t="s">
        <v>224</v>
      </c>
    </row>
    <row r="67" spans="4:5">
      <c r="D67" s="10" t="s">
        <v>225</v>
      </c>
      <c r="E67" s="10" t="s">
        <v>226</v>
      </c>
    </row>
    <row r="68" spans="4:5">
      <c r="D68" s="10" t="s">
        <v>227</v>
      </c>
      <c r="E68" s="10" t="s">
        <v>228</v>
      </c>
    </row>
    <row r="69" spans="4:5">
      <c r="D69" s="10" t="s">
        <v>229</v>
      </c>
      <c r="E69" s="10" t="s">
        <v>230</v>
      </c>
    </row>
    <row r="70" spans="4:5">
      <c r="D70" s="10" t="s">
        <v>231</v>
      </c>
      <c r="E70" s="10" t="s">
        <v>232</v>
      </c>
    </row>
    <row r="71" spans="4:5">
      <c r="D71" s="10" t="s">
        <v>233</v>
      </c>
      <c r="E71" s="10" t="s">
        <v>234</v>
      </c>
    </row>
    <row r="72" spans="4:5">
      <c r="D72" s="10" t="s">
        <v>235</v>
      </c>
      <c r="E72" s="10" t="s">
        <v>236</v>
      </c>
    </row>
    <row r="73" spans="4:5">
      <c r="D73" s="10" t="s">
        <v>237</v>
      </c>
      <c r="E73" s="10" t="s">
        <v>238</v>
      </c>
    </row>
    <row r="74" spans="4:5">
      <c r="D74" s="10" t="s">
        <v>239</v>
      </c>
      <c r="E74" s="10" t="s">
        <v>240</v>
      </c>
    </row>
    <row r="75" spans="4:5">
      <c r="D75" s="10" t="s">
        <v>241</v>
      </c>
      <c r="E75" s="10" t="s">
        <v>242</v>
      </c>
    </row>
    <row r="76" spans="4:5">
      <c r="D76" s="10" t="s">
        <v>243</v>
      </c>
      <c r="E76" s="10" t="s">
        <v>244</v>
      </c>
    </row>
    <row r="77" spans="4:5">
      <c r="D77" s="10" t="s">
        <v>245</v>
      </c>
      <c r="E77" s="10" t="s">
        <v>246</v>
      </c>
    </row>
    <row r="78" spans="4:5">
      <c r="D78" s="10" t="s">
        <v>247</v>
      </c>
      <c r="E78" s="10" t="s">
        <v>248</v>
      </c>
    </row>
    <row r="79" spans="4:5">
      <c r="D79" s="10" t="s">
        <v>249</v>
      </c>
      <c r="E79" s="10" t="s">
        <v>250</v>
      </c>
    </row>
    <row r="80" spans="4:5">
      <c r="D80" s="10" t="s">
        <v>251</v>
      </c>
      <c r="E80" s="10" t="s">
        <v>252</v>
      </c>
    </row>
    <row r="81" spans="4:5">
      <c r="D81" s="10" t="s">
        <v>253</v>
      </c>
      <c r="E81" s="10" t="s">
        <v>254</v>
      </c>
    </row>
    <row r="82" spans="4:5">
      <c r="D82" s="10" t="s">
        <v>255</v>
      </c>
      <c r="E82" s="10" t="s">
        <v>256</v>
      </c>
    </row>
    <row r="83" spans="4:5">
      <c r="D83" s="10" t="s">
        <v>257</v>
      </c>
      <c r="E83" s="10" t="s">
        <v>258</v>
      </c>
    </row>
    <row r="84" spans="4:5">
      <c r="D84" s="10" t="s">
        <v>259</v>
      </c>
      <c r="E84" s="10" t="s">
        <v>260</v>
      </c>
    </row>
    <row r="85" spans="4:5">
      <c r="D85" s="10" t="s">
        <v>261</v>
      </c>
      <c r="E85" s="10" t="s">
        <v>262</v>
      </c>
    </row>
    <row r="86" spans="4:5">
      <c r="D86" s="10" t="s">
        <v>263</v>
      </c>
      <c r="E86" s="10" t="s">
        <v>264</v>
      </c>
    </row>
    <row r="87" spans="4:5">
      <c r="D87" s="10" t="s">
        <v>265</v>
      </c>
      <c r="E87" s="10" t="s">
        <v>266</v>
      </c>
    </row>
    <row r="88" spans="4:5">
      <c r="D88" s="10" t="s">
        <v>267</v>
      </c>
      <c r="E88" s="10" t="s">
        <v>268</v>
      </c>
    </row>
    <row r="89" spans="4:5">
      <c r="D89" s="10" t="s">
        <v>269</v>
      </c>
      <c r="E89" s="10" t="s">
        <v>270</v>
      </c>
    </row>
    <row r="90" spans="4:5">
      <c r="D90" s="10" t="s">
        <v>271</v>
      </c>
      <c r="E90" s="10" t="s">
        <v>272</v>
      </c>
    </row>
    <row r="91" spans="4:5">
      <c r="D91" s="10" t="s">
        <v>273</v>
      </c>
      <c r="E91" s="10" t="s">
        <v>274</v>
      </c>
    </row>
    <row r="92" spans="4:5">
      <c r="D92" s="10" t="s">
        <v>275</v>
      </c>
      <c r="E92" s="10" t="s">
        <v>276</v>
      </c>
    </row>
    <row r="93" spans="4:5">
      <c r="D93" s="10" t="s">
        <v>277</v>
      </c>
      <c r="E93" s="10" t="s">
        <v>278</v>
      </c>
    </row>
    <row r="94" spans="4:5">
      <c r="D94" s="10" t="s">
        <v>279</v>
      </c>
      <c r="E94" s="10" t="s">
        <v>280</v>
      </c>
    </row>
    <row r="95" spans="4:5">
      <c r="D95" s="10" t="s">
        <v>281</v>
      </c>
      <c r="E95" s="10" t="s">
        <v>282</v>
      </c>
    </row>
    <row r="96" spans="4:5">
      <c r="D96" s="10" t="s">
        <v>283</v>
      </c>
      <c r="E96" s="10" t="s">
        <v>284</v>
      </c>
    </row>
    <row r="97" spans="4:5">
      <c r="D97" s="10" t="s">
        <v>285</v>
      </c>
      <c r="E97" s="10" t="s">
        <v>286</v>
      </c>
    </row>
    <row r="98" spans="4:5">
      <c r="D98" s="10" t="s">
        <v>287</v>
      </c>
      <c r="E98" s="10" t="s">
        <v>288</v>
      </c>
    </row>
    <row r="99" spans="4:5">
      <c r="D99" s="10" t="s">
        <v>289</v>
      </c>
      <c r="E99" s="10" t="s">
        <v>290</v>
      </c>
    </row>
    <row r="100" spans="4:5">
      <c r="D100" s="10" t="s">
        <v>291</v>
      </c>
      <c r="E100" s="10" t="s">
        <v>292</v>
      </c>
    </row>
    <row r="101" spans="4:5">
      <c r="D101" s="10" t="s">
        <v>293</v>
      </c>
      <c r="E101" s="10" t="s">
        <v>294</v>
      </c>
    </row>
    <row r="102" spans="4:5">
      <c r="D102" s="10" t="s">
        <v>295</v>
      </c>
      <c r="E102" s="10" t="s">
        <v>296</v>
      </c>
    </row>
    <row r="103" spans="4:5">
      <c r="D103" s="10" t="s">
        <v>297</v>
      </c>
      <c r="E103" s="10" t="s">
        <v>298</v>
      </c>
    </row>
    <row r="104" spans="4:5">
      <c r="D104" s="10" t="s">
        <v>299</v>
      </c>
      <c r="E104" s="10" t="s">
        <v>300</v>
      </c>
    </row>
    <row r="105" spans="4:5">
      <c r="D105" s="10" t="s">
        <v>301</v>
      </c>
      <c r="E105" s="10" t="s">
        <v>302</v>
      </c>
    </row>
    <row r="106" spans="4:5">
      <c r="D106" s="10" t="s">
        <v>303</v>
      </c>
      <c r="E106" s="10" t="s">
        <v>304</v>
      </c>
    </row>
    <row r="107" spans="4:5">
      <c r="D107" s="10" t="s">
        <v>305</v>
      </c>
      <c r="E107" s="10" t="s">
        <v>306</v>
      </c>
    </row>
    <row r="108" spans="4:5">
      <c r="D108" s="10" t="s">
        <v>307</v>
      </c>
      <c r="E108" s="10" t="s">
        <v>308</v>
      </c>
    </row>
    <row r="109" spans="4:5">
      <c r="D109" s="10" t="s">
        <v>309</v>
      </c>
      <c r="E109" s="10" t="s">
        <v>310</v>
      </c>
    </row>
    <row r="110" spans="4:5">
      <c r="D110" s="10" t="s">
        <v>311</v>
      </c>
      <c r="E110" s="10" t="s">
        <v>312</v>
      </c>
    </row>
    <row r="111" spans="4:5">
      <c r="D111" s="10" t="s">
        <v>313</v>
      </c>
      <c r="E111" s="10" t="s">
        <v>314</v>
      </c>
    </row>
    <row r="112" spans="4:5">
      <c r="D112" s="10" t="s">
        <v>315</v>
      </c>
      <c r="E112" s="10" t="s">
        <v>316</v>
      </c>
    </row>
    <row r="113" spans="4:5">
      <c r="D113" s="10" t="s">
        <v>317</v>
      </c>
      <c r="E113" s="10" t="s">
        <v>318</v>
      </c>
    </row>
    <row r="114" spans="4:5">
      <c r="D114" s="10" t="s">
        <v>319</v>
      </c>
      <c r="E114" s="10" t="s">
        <v>320</v>
      </c>
    </row>
    <row r="115" spans="4:5">
      <c r="D115" s="10" t="s">
        <v>321</v>
      </c>
      <c r="E115" s="10" t="s">
        <v>322</v>
      </c>
    </row>
    <row r="116" spans="4:5">
      <c r="D116" s="10" t="s">
        <v>323</v>
      </c>
      <c r="E116" s="10" t="s">
        <v>324</v>
      </c>
    </row>
    <row r="117" spans="4:5">
      <c r="D117" s="10" t="s">
        <v>325</v>
      </c>
      <c r="E117" s="10" t="s">
        <v>326</v>
      </c>
    </row>
    <row r="118" spans="4:5">
      <c r="D118" s="10" t="s">
        <v>327</v>
      </c>
      <c r="E118" s="10" t="s">
        <v>328</v>
      </c>
    </row>
    <row r="119" spans="4:5">
      <c r="D119" s="10" t="s">
        <v>329</v>
      </c>
      <c r="E119" s="10" t="s">
        <v>330</v>
      </c>
    </row>
    <row r="120" spans="4:5">
      <c r="D120" s="10" t="s">
        <v>331</v>
      </c>
      <c r="E120" s="10" t="s">
        <v>332</v>
      </c>
    </row>
    <row r="121" spans="4:5">
      <c r="D121" s="10" t="s">
        <v>333</v>
      </c>
      <c r="E121" s="10" t="s">
        <v>334</v>
      </c>
    </row>
    <row r="122" spans="4:5">
      <c r="D122" s="10" t="s">
        <v>335</v>
      </c>
      <c r="E122" s="10" t="s">
        <v>336</v>
      </c>
    </row>
    <row r="123" spans="4:5">
      <c r="D123" s="10" t="s">
        <v>337</v>
      </c>
      <c r="E123" s="10" t="s">
        <v>338</v>
      </c>
    </row>
    <row r="124" spans="4:5">
      <c r="D124" s="10" t="s">
        <v>339</v>
      </c>
      <c r="E124" s="10" t="s">
        <v>340</v>
      </c>
    </row>
    <row r="125" spans="4:5">
      <c r="D125" s="10" t="s">
        <v>341</v>
      </c>
      <c r="E125" s="10" t="s">
        <v>342</v>
      </c>
    </row>
    <row r="126" spans="4:5">
      <c r="D126" s="10" t="s">
        <v>343</v>
      </c>
      <c r="E126" s="10" t="s">
        <v>344</v>
      </c>
    </row>
    <row r="127" spans="4:5">
      <c r="D127" s="10" t="s">
        <v>345</v>
      </c>
      <c r="E127" s="10" t="s">
        <v>346</v>
      </c>
    </row>
    <row r="128" spans="4:5">
      <c r="D128" s="10" t="s">
        <v>347</v>
      </c>
      <c r="E128" s="10" t="s">
        <v>348</v>
      </c>
    </row>
    <row r="129" spans="4:5">
      <c r="D129" s="10" t="s">
        <v>349</v>
      </c>
      <c r="E129" s="10" t="s">
        <v>350</v>
      </c>
    </row>
    <row r="130" spans="4:5">
      <c r="D130" s="10" t="s">
        <v>351</v>
      </c>
      <c r="E130" s="10" t="s">
        <v>352</v>
      </c>
    </row>
    <row r="131" spans="4:5">
      <c r="D131" s="10" t="s">
        <v>353</v>
      </c>
      <c r="E131" s="10" t="s">
        <v>354</v>
      </c>
    </row>
    <row r="132" spans="4:5">
      <c r="D132" s="10" t="s">
        <v>355</v>
      </c>
      <c r="E132" s="10" t="s">
        <v>356</v>
      </c>
    </row>
    <row r="133" spans="4:5">
      <c r="D133" s="10" t="s">
        <v>357</v>
      </c>
      <c r="E133" s="10" t="s">
        <v>358</v>
      </c>
    </row>
    <row r="134" spans="4:5">
      <c r="D134" s="10" t="s">
        <v>359</v>
      </c>
      <c r="E134" s="10" t="s">
        <v>360</v>
      </c>
    </row>
    <row r="135" spans="4:5">
      <c r="D135" s="10" t="s">
        <v>361</v>
      </c>
      <c r="E135" s="10" t="s">
        <v>362</v>
      </c>
    </row>
    <row r="136" spans="4:5">
      <c r="D136" s="10" t="s">
        <v>363</v>
      </c>
      <c r="E136" s="10" t="s">
        <v>364</v>
      </c>
    </row>
    <row r="137" spans="4:5">
      <c r="D137" s="10" t="s">
        <v>365</v>
      </c>
      <c r="E137" s="10" t="s">
        <v>366</v>
      </c>
    </row>
    <row r="138" spans="4:5">
      <c r="D138" s="10" t="s">
        <v>367</v>
      </c>
      <c r="E138" s="10" t="s">
        <v>368</v>
      </c>
    </row>
    <row r="139" spans="4:5">
      <c r="D139" s="10" t="s">
        <v>369</v>
      </c>
      <c r="E139" s="10" t="s">
        <v>370</v>
      </c>
    </row>
    <row r="140" spans="4:5">
      <c r="D140" s="10" t="s">
        <v>371</v>
      </c>
      <c r="E140" s="10" t="s">
        <v>372</v>
      </c>
    </row>
    <row r="141" spans="4:5">
      <c r="D141" s="10" t="s">
        <v>373</v>
      </c>
      <c r="E141" s="10" t="s">
        <v>374</v>
      </c>
    </row>
    <row r="142" spans="4:5">
      <c r="D142" s="10" t="s">
        <v>375</v>
      </c>
      <c r="E142" s="10" t="s">
        <v>376</v>
      </c>
    </row>
    <row r="143" spans="4:5">
      <c r="D143" s="10" t="s">
        <v>377</v>
      </c>
      <c r="E143" s="10" t="s">
        <v>378</v>
      </c>
    </row>
    <row r="144" spans="4:5">
      <c r="D144" s="10" t="s">
        <v>379</v>
      </c>
      <c r="E144" s="10" t="s">
        <v>380</v>
      </c>
    </row>
    <row r="145" spans="4:5">
      <c r="D145" s="10" t="s">
        <v>381</v>
      </c>
      <c r="E145" s="10" t="s">
        <v>382</v>
      </c>
    </row>
    <row r="146" spans="4:5">
      <c r="D146" s="10" t="s">
        <v>383</v>
      </c>
      <c r="E146" s="10" t="s">
        <v>384</v>
      </c>
    </row>
    <row r="147" spans="4:5">
      <c r="D147" s="10" t="s">
        <v>385</v>
      </c>
      <c r="E147" s="10" t="s">
        <v>386</v>
      </c>
    </row>
    <row r="148" spans="4:5">
      <c r="D148" s="10" t="s">
        <v>387</v>
      </c>
      <c r="E148" s="10" t="s">
        <v>388</v>
      </c>
    </row>
    <row r="149" spans="4:5">
      <c r="D149" s="10" t="s">
        <v>389</v>
      </c>
      <c r="E149" s="10" t="s">
        <v>390</v>
      </c>
    </row>
    <row r="150" spans="4:5">
      <c r="D150" s="10" t="s">
        <v>391</v>
      </c>
      <c r="E150" s="10" t="s">
        <v>392</v>
      </c>
    </row>
    <row r="151" spans="4:5">
      <c r="D151" s="10" t="s">
        <v>393</v>
      </c>
      <c r="E151" s="10" t="s">
        <v>394</v>
      </c>
    </row>
    <row r="152" spans="4:5">
      <c r="D152" s="10" t="s">
        <v>395</v>
      </c>
      <c r="E152" s="10" t="s">
        <v>396</v>
      </c>
    </row>
    <row r="153" spans="4:5">
      <c r="D153" s="10" t="s">
        <v>397</v>
      </c>
      <c r="E153" s="10" t="s">
        <v>398</v>
      </c>
    </row>
    <row r="154" spans="4:5">
      <c r="D154" s="10" t="s">
        <v>399</v>
      </c>
      <c r="E154" s="10" t="s">
        <v>400</v>
      </c>
    </row>
    <row r="155" spans="4:5">
      <c r="D155" s="10" t="s">
        <v>401</v>
      </c>
      <c r="E155" s="10" t="s">
        <v>402</v>
      </c>
    </row>
    <row r="156" spans="4:5">
      <c r="D156" s="10" t="s">
        <v>403</v>
      </c>
      <c r="E156" s="10" t="s">
        <v>404</v>
      </c>
    </row>
    <row r="157" spans="4:5">
      <c r="D157" s="10" t="s">
        <v>405</v>
      </c>
      <c r="E157" s="10" t="s">
        <v>406</v>
      </c>
    </row>
    <row r="158" spans="4:5">
      <c r="D158" s="10" t="s">
        <v>407</v>
      </c>
      <c r="E158" s="10" t="s">
        <v>408</v>
      </c>
    </row>
    <row r="159" spans="4:5">
      <c r="D159" s="10" t="s">
        <v>409</v>
      </c>
      <c r="E159" s="10" t="s">
        <v>410</v>
      </c>
    </row>
    <row r="160" spans="4:5">
      <c r="D160" s="10" t="s">
        <v>411</v>
      </c>
      <c r="E160" s="10" t="s">
        <v>412</v>
      </c>
    </row>
    <row r="161" spans="4:5">
      <c r="D161" s="10" t="s">
        <v>413</v>
      </c>
      <c r="E161" s="10" t="s">
        <v>414</v>
      </c>
    </row>
    <row r="162" spans="4:5">
      <c r="D162" s="10" t="s">
        <v>415</v>
      </c>
      <c r="E162" s="10" t="s">
        <v>416</v>
      </c>
    </row>
    <row r="163" spans="4:5">
      <c r="D163" s="10" t="s">
        <v>417</v>
      </c>
      <c r="E163" s="10" t="s">
        <v>418</v>
      </c>
    </row>
    <row r="164" spans="4:5">
      <c r="D164" s="10" t="s">
        <v>419</v>
      </c>
      <c r="E164" s="10" t="s">
        <v>420</v>
      </c>
    </row>
    <row r="165" spans="4:5">
      <c r="D165" s="10" t="s">
        <v>421</v>
      </c>
      <c r="E165" s="10" t="s">
        <v>422</v>
      </c>
    </row>
    <row r="166" spans="4:5">
      <c r="D166" s="10" t="s">
        <v>423</v>
      </c>
      <c r="E166" s="10" t="s">
        <v>424</v>
      </c>
    </row>
    <row r="167" spans="4:5">
      <c r="D167" s="10" t="s">
        <v>425</v>
      </c>
      <c r="E167" s="10" t="s">
        <v>426</v>
      </c>
    </row>
    <row r="168" spans="4:5">
      <c r="D168" s="10" t="s">
        <v>427</v>
      </c>
      <c r="E168" s="10" t="s">
        <v>428</v>
      </c>
    </row>
    <row r="169" spans="4:5">
      <c r="D169" s="10" t="s">
        <v>429</v>
      </c>
      <c r="E169" s="10" t="s">
        <v>430</v>
      </c>
    </row>
    <row r="170" spans="4:5">
      <c r="D170" s="10" t="s">
        <v>431</v>
      </c>
      <c r="E170" s="10" t="s">
        <v>432</v>
      </c>
    </row>
    <row r="171" spans="4:5">
      <c r="D171" s="10" t="s">
        <v>433</v>
      </c>
      <c r="E171" s="10" t="s">
        <v>434</v>
      </c>
    </row>
    <row r="172" ht="14.5" spans="4:5">
      <c r="D172" s="29" t="s">
        <v>435</v>
      </c>
      <c r="E172" s="29" t="s">
        <v>90</v>
      </c>
    </row>
    <row r="173" ht="14.5" spans="4:5">
      <c r="D173" s="29" t="s">
        <v>436</v>
      </c>
      <c r="E173" s="29" t="s">
        <v>437</v>
      </c>
    </row>
    <row r="174" ht="14.5" spans="4:5">
      <c r="D174" s="29" t="s">
        <v>438</v>
      </c>
      <c r="E174" s="29" t="s">
        <v>439</v>
      </c>
    </row>
    <row r="175" ht="14.5" spans="4:5">
      <c r="D175" s="29" t="s">
        <v>440</v>
      </c>
      <c r="E175" s="29" t="s">
        <v>441</v>
      </c>
    </row>
  </sheetData>
  <mergeCells count="11">
    <mergeCell ref="A1:B1"/>
    <mergeCell ref="D1:E1"/>
    <mergeCell ref="G1:H1"/>
    <mergeCell ref="G3:G15"/>
    <mergeCell ref="G17:G23"/>
    <mergeCell ref="G24:G36"/>
    <mergeCell ref="G37:G38"/>
    <mergeCell ref="G39:G40"/>
    <mergeCell ref="G41:G42"/>
    <mergeCell ref="G43:G44"/>
    <mergeCell ref="G45:G4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BRF85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2023-10-29T13:19:15Z</dcterms:created>
  <dcterms:modified xsi:type="dcterms:W3CDTF">2024-02-22T06:24:51Z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4F765708E6624FD6B31B755D84AB7792_13</vt:lpwstr>
  </property>
  <property fmtid="{D5CDD505-2E9C-101B-9397-08002B2CF9AE}" pid="3" name="KSOProductBuildVer">
    <vt:lpwstr>1033-12.2.0.13431</vt:lpwstr>
  </property>
</Properties>
</file>