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73" sheetId="1" r:id="rId1"/>
  </sheets>
  <externalReferences>
    <externalReference r:id="rId2"/>
  </externalReferences>
  <definedNames>
    <definedName name="_8.1.1">#REF!</definedName>
    <definedName name="_xlnm.Print_Area" localSheetId="0">'BRF 73'!$B$1:$I$156</definedName>
    <definedName name="_xlnm.Print_Titles" localSheetId="0">'BRF 73'!$7:$8</definedName>
  </definedNames>
  <calcPr calcId="144525" fullCalcOnLoad="1"/>
</workbook>
</file>

<file path=xl/sharedStrings.xml><?xml version="1.0" encoding="utf-8"?>
<sst xmlns="http://schemas.openxmlformats.org/spreadsheetml/2006/main" count="220" uniqueCount="215">
  <si>
    <t xml:space="preserve"> BANKING AND MONETARY STATISTICS-  EXPOSURE BY ADVANCED ECONOMIC ACTIVITY - BRF 73 (AED 000)</t>
  </si>
  <si>
    <t>ID:</t>
  </si>
  <si>
    <t>4-73-1-0</t>
  </si>
  <si>
    <t>BANK</t>
  </si>
  <si>
    <t>Bank of Baroda</t>
  </si>
  <si>
    <t>As On</t>
  </si>
  <si>
    <t>Resident</t>
  </si>
  <si>
    <t>Non-resident</t>
  </si>
  <si>
    <t>Total</t>
  </si>
  <si>
    <r>
      <t xml:space="preserve"> ECONOMIC SECTOR-WISE</t>
    </r>
    <r>
      <rPr>
        <b/>
        <vertAlign val="superscript"/>
        <sz val="9"/>
        <color indexed="8"/>
        <rFont val="Arial"/>
        <family val="2"/>
        <charset val="0"/>
      </rPr>
      <t>1</t>
    </r>
    <r>
      <rPr>
        <b/>
        <sz val="9"/>
        <color indexed="8"/>
        <rFont val="Arial"/>
        <family val="2"/>
        <charset val="0"/>
      </rPr>
      <t xml:space="preserve"> CLASSIFICATION OF ADVANCES</t>
    </r>
  </si>
  <si>
    <t>No of A/Cs</t>
  </si>
  <si>
    <t>O/S</t>
  </si>
  <si>
    <t>Agriculture and allied activities</t>
  </si>
  <si>
    <t>Cultivation of crops</t>
  </si>
  <si>
    <r>
      <t>Animal Production (Raising cattle,</t>
    </r>
    <r>
      <rPr>
        <sz val="9"/>
        <color indexed="60"/>
        <rFont val="Arial"/>
        <family val="2"/>
        <charset val="0"/>
      </rPr>
      <t xml:space="preserve"> poultry</t>
    </r>
    <r>
      <rPr>
        <sz val="9"/>
        <rFont val="Arial"/>
        <family val="2"/>
        <charset val="0"/>
      </rPr>
      <t xml:space="preserve"> etc)</t>
    </r>
  </si>
  <si>
    <t>Fishing and aquaculture</t>
  </si>
  <si>
    <t>Other  agriculture and allied activities.</t>
  </si>
  <si>
    <t>Mining and quarrying</t>
  </si>
  <si>
    <t>Extraction of crude petroleum</t>
  </si>
  <si>
    <t>Extraction of natural gas</t>
  </si>
  <si>
    <t>Others  mining and quarrying</t>
  </si>
  <si>
    <t>Manufacturing</t>
  </si>
  <si>
    <t>Manufacture of food products</t>
  </si>
  <si>
    <t>Manufacture of beverages &amp; tobacco</t>
  </si>
  <si>
    <t>Manufacture of Textile, leather, footwear and clothing</t>
  </si>
  <si>
    <t>Manufacture of wearing apparel</t>
  </si>
  <si>
    <t xml:space="preserve">Manufacture of wood  &amp; other wood products </t>
  </si>
  <si>
    <t>Manufacture of furniture</t>
  </si>
  <si>
    <t>Manufacture of paper &amp; paper products</t>
  </si>
  <si>
    <t>Printing and reproduction of recorded media</t>
  </si>
  <si>
    <t>Chemical &amp; chemical products except petroleum</t>
  </si>
  <si>
    <t>3.9.1</t>
  </si>
  <si>
    <t>Manufacture of basic industrial chemicals except fertilizers</t>
  </si>
  <si>
    <t>3.9.2</t>
  </si>
  <si>
    <t>Fertilizers and pesticides</t>
  </si>
  <si>
    <t>3.9.3</t>
  </si>
  <si>
    <t>Paints, varnishes and lacquers</t>
  </si>
  <si>
    <t>3.9.4</t>
  </si>
  <si>
    <t>Drugs and medicines</t>
  </si>
  <si>
    <t>3.9.5</t>
  </si>
  <si>
    <t>Soap, cleaning preparations, perfumes, cosmetics etc</t>
  </si>
  <si>
    <t>3.9.6</t>
  </si>
  <si>
    <t>Other chemical products not classified elsewhere</t>
  </si>
  <si>
    <t>Petroleum refining and petroleum products</t>
  </si>
  <si>
    <t>3.10.1</t>
  </si>
  <si>
    <t>Petroleum refinery</t>
  </si>
  <si>
    <t>3.10.2</t>
  </si>
  <si>
    <t xml:space="preserve">Manufacture of miscellaneous  refined products of petroleum </t>
  </si>
  <si>
    <t>3.10.3</t>
  </si>
  <si>
    <t>Any other petroleum product not included elsewhere</t>
  </si>
  <si>
    <t xml:space="preserve">Basic metal industry </t>
  </si>
  <si>
    <t>3.11.1</t>
  </si>
  <si>
    <t>Iron and steel basic industries</t>
  </si>
  <si>
    <t>3.11.2</t>
  </si>
  <si>
    <t>Non-ferrous metal basic industries</t>
  </si>
  <si>
    <t>3.11.3</t>
  </si>
  <si>
    <t>Casting of metals</t>
  </si>
  <si>
    <t>Manufacture of rubber and plastics products</t>
  </si>
  <si>
    <t>Manufacture of fabricated metal products, except machinery and equipment</t>
  </si>
  <si>
    <t>Manufacturing of pharmaceuticals, medical chemical and botanical products</t>
  </si>
  <si>
    <r>
      <rPr>
        <b/>
        <sz val="8"/>
        <color indexed="10"/>
        <rFont val="Arial"/>
        <family val="2"/>
        <charset val="0"/>
      </rPr>
      <t>Manufacture</t>
    </r>
    <r>
      <rPr>
        <b/>
        <sz val="8"/>
        <rFont val="Arial"/>
        <family val="2"/>
        <charset val="0"/>
      </rPr>
      <t xml:space="preserve"> of computers, electronic and optical products</t>
    </r>
  </si>
  <si>
    <t>Manufacture of  electrical equipment</t>
  </si>
  <si>
    <r>
      <t xml:space="preserve">Manufacture of machinery and </t>
    </r>
    <r>
      <rPr>
        <b/>
        <sz val="8"/>
        <color indexed="10"/>
        <rFont val="Arial"/>
        <family val="2"/>
        <charset val="0"/>
      </rPr>
      <t>equipment</t>
    </r>
  </si>
  <si>
    <t>Manufacture of motor vehicles, trailers and semi trailers</t>
  </si>
  <si>
    <t>Manufacture of other transport equipment</t>
  </si>
  <si>
    <t>Other manufacturing (jewellery, musical instrument, sports, toys etc.)</t>
  </si>
  <si>
    <t>Repair and installation of machinery and equipment</t>
  </si>
  <si>
    <r>
      <t>Manufacture of other non-</t>
    </r>
    <r>
      <rPr>
        <b/>
        <sz val="8"/>
        <color indexed="10"/>
        <rFont val="Arial"/>
        <family val="2"/>
        <charset val="0"/>
      </rPr>
      <t>metallic</t>
    </r>
    <r>
      <rPr>
        <b/>
        <sz val="8"/>
        <rFont val="Arial"/>
        <family val="2"/>
        <charset val="0"/>
      </rPr>
      <t xml:space="preserve"> mineral products</t>
    </r>
  </si>
  <si>
    <t>3.22.1</t>
  </si>
  <si>
    <t>Cement, lime and plaster manufacturing</t>
  </si>
  <si>
    <t>3.22.2</t>
  </si>
  <si>
    <t>Tiles and other structural clay products</t>
  </si>
  <si>
    <t>3.22.3</t>
  </si>
  <si>
    <t>Glass and glass products</t>
  </si>
  <si>
    <t>3.22.4</t>
  </si>
  <si>
    <t>Other manufacturing non metallic mineral product not shown elsewhere</t>
  </si>
  <si>
    <t>Electricity, gas &amp; airconditioning supply</t>
  </si>
  <si>
    <t>Electric power generation, transmission and distribution</t>
  </si>
  <si>
    <t>Industrial and consumer gas, CNG</t>
  </si>
  <si>
    <t>Airconditioning and steam supply</t>
  </si>
  <si>
    <t>Water supply, sewerage, waste management and remediation activities</t>
  </si>
  <si>
    <t>Water collection,treatment and supply</t>
  </si>
  <si>
    <t>Sewerage</t>
  </si>
  <si>
    <t>Waste collection, treatment and disposal activities</t>
  </si>
  <si>
    <t>Remediation activities and other waste management services</t>
  </si>
  <si>
    <t>Construction &amp; real estate</t>
  </si>
  <si>
    <t>Construction</t>
  </si>
  <si>
    <t>6.1.1</t>
  </si>
  <si>
    <t>Construction of buildings</t>
  </si>
  <si>
    <t>6.1.2</t>
  </si>
  <si>
    <t>Civil engineering</t>
  </si>
  <si>
    <t>6.1.3</t>
  </si>
  <si>
    <r>
      <rPr>
        <sz val="8"/>
        <color indexed="10"/>
        <rFont val="Arial"/>
        <family val="2"/>
        <charset val="0"/>
      </rPr>
      <t xml:space="preserve">Specialized </t>
    </r>
    <r>
      <rPr>
        <sz val="8"/>
        <rFont val="Arial"/>
        <family val="2"/>
        <charset val="0"/>
      </rPr>
      <t>construction activities (Demolition, electrical, plumbing and installation etc)</t>
    </r>
  </si>
  <si>
    <t>Real estate activities</t>
  </si>
  <si>
    <t>6.2.1</t>
  </si>
  <si>
    <t>Real estate activities with own or leased property</t>
  </si>
  <si>
    <t>6.2.2</t>
  </si>
  <si>
    <t>Real estate activities on a free or contract basis</t>
  </si>
  <si>
    <t>Wholesale and retail trade; repair of motor vehicles and motorcycles</t>
  </si>
  <si>
    <t>Wholesale and retail trade and repair of motor vehicles and motorcycles</t>
  </si>
  <si>
    <t>7.1.1</t>
  </si>
  <si>
    <t>Sale of motor vehicles, parts and accessories</t>
  </si>
  <si>
    <t>7.1.2</t>
  </si>
  <si>
    <t>Sale, maintenance and repair of motor vehicles, parts and accessories</t>
  </si>
  <si>
    <t>Wholesale trade except of motor vehicles and motorcycles</t>
  </si>
  <si>
    <t>7.2.1</t>
  </si>
  <si>
    <t>Wholesale of construction materials,hardware, plumbing and heating equipment and supplies</t>
  </si>
  <si>
    <t>7.2.2</t>
  </si>
  <si>
    <t>Textiles, clothing and leather products</t>
  </si>
  <si>
    <t>7.2.3</t>
  </si>
  <si>
    <t>Wholesale of machinery, equipment and supplies</t>
  </si>
  <si>
    <t>7.2.4</t>
  </si>
  <si>
    <t>Wholesale of food, beverages  and tobacco</t>
  </si>
  <si>
    <t>7.2.5</t>
  </si>
  <si>
    <t>Wholesale of solid, liquid and gaseous fuels and related products</t>
  </si>
  <si>
    <t>7.2.6</t>
  </si>
  <si>
    <t>Wholesale of metals and metal ores</t>
  </si>
  <si>
    <t>7.2.7</t>
  </si>
  <si>
    <t>Wholesale of waste and scrap and other products.</t>
  </si>
  <si>
    <t>7.2.8</t>
  </si>
  <si>
    <t>Wholesale of agricultural raw materials and live animals</t>
  </si>
  <si>
    <t>7.2.9</t>
  </si>
  <si>
    <t>Non-specialized wholesale trade</t>
  </si>
  <si>
    <t>Retail trade except of motor vehicles and motorcycles</t>
  </si>
  <si>
    <t>7.3.1</t>
  </si>
  <si>
    <t>Retail sale in non-specialised stores</t>
  </si>
  <si>
    <t>7.3.2</t>
  </si>
  <si>
    <r>
      <t xml:space="preserve">Retail sale of food, beverages and tobacco in </t>
    </r>
    <r>
      <rPr>
        <sz val="8"/>
        <color indexed="10"/>
        <rFont val="Arial"/>
        <family val="2"/>
        <charset val="0"/>
      </rPr>
      <t>specialized</t>
    </r>
    <r>
      <rPr>
        <sz val="8"/>
        <rFont val="Arial"/>
        <family val="2"/>
        <charset val="0"/>
      </rPr>
      <t xml:space="preserve"> stores</t>
    </r>
  </si>
  <si>
    <t>7.3.3</t>
  </si>
  <si>
    <t>Retail sale of information and communication equipment in specialized stores</t>
  </si>
  <si>
    <t>7.3.4</t>
  </si>
  <si>
    <r>
      <t xml:space="preserve">Retail sale of cultural and recreation goods in </t>
    </r>
    <r>
      <rPr>
        <sz val="8"/>
        <color indexed="10"/>
        <rFont val="Arial"/>
        <family val="2"/>
        <charset val="0"/>
      </rPr>
      <t>specialized</t>
    </r>
    <r>
      <rPr>
        <sz val="8"/>
        <rFont val="Arial"/>
        <family val="2"/>
        <charset val="0"/>
      </rPr>
      <t xml:space="preserve"> stores</t>
    </r>
  </si>
  <si>
    <t>7.3.5</t>
  </si>
  <si>
    <r>
      <t xml:space="preserve">Retail sale of other household equipment in </t>
    </r>
    <r>
      <rPr>
        <sz val="8"/>
        <color indexed="10"/>
        <rFont val="Arial"/>
        <family val="2"/>
        <charset val="0"/>
      </rPr>
      <t>specialized</t>
    </r>
    <r>
      <rPr>
        <sz val="8"/>
        <rFont val="Arial"/>
        <family val="2"/>
        <charset val="0"/>
      </rPr>
      <t xml:space="preserve"> stores</t>
    </r>
  </si>
  <si>
    <t>7.3.6</t>
  </si>
  <si>
    <r>
      <t xml:space="preserve">Retail sale via stalls and </t>
    </r>
    <r>
      <rPr>
        <sz val="8"/>
        <color indexed="10"/>
        <rFont val="Arial"/>
        <family val="2"/>
        <charset val="0"/>
      </rPr>
      <t>markets other</t>
    </r>
    <r>
      <rPr>
        <sz val="8"/>
        <rFont val="Arial"/>
        <family val="2"/>
        <charset val="0"/>
      </rPr>
      <t xml:space="preserve"> goods in </t>
    </r>
    <r>
      <rPr>
        <sz val="8"/>
        <color indexed="10"/>
        <rFont val="Arial"/>
        <family val="2"/>
        <charset val="0"/>
      </rPr>
      <t>specialized</t>
    </r>
    <r>
      <rPr>
        <sz val="8"/>
        <rFont val="Arial"/>
        <family val="2"/>
        <charset val="0"/>
      </rPr>
      <t xml:space="preserve"> stores</t>
    </r>
  </si>
  <si>
    <t>7.3.7</t>
  </si>
  <si>
    <r>
      <t xml:space="preserve">Retail sale of other goods in </t>
    </r>
    <r>
      <rPr>
        <sz val="8"/>
        <color indexed="10"/>
        <rFont val="Arial"/>
        <family val="2"/>
        <charset val="0"/>
      </rPr>
      <t>specialized</t>
    </r>
    <r>
      <rPr>
        <sz val="8"/>
        <rFont val="Arial"/>
        <family val="2"/>
        <charset val="0"/>
      </rPr>
      <t xml:space="preserve"> stores</t>
    </r>
  </si>
  <si>
    <t>Transportation and storage</t>
  </si>
  <si>
    <t>Land transport and transport via pipelines</t>
  </si>
  <si>
    <t>8.1.1</t>
  </si>
  <si>
    <t>Taxies, buses, railways and other land transport</t>
  </si>
  <si>
    <t>8.1.2</t>
  </si>
  <si>
    <t>Transport via pipelines</t>
  </si>
  <si>
    <t xml:space="preserve"> Water Transport</t>
  </si>
  <si>
    <t>Air lines and air transport</t>
  </si>
  <si>
    <t>Storage</t>
  </si>
  <si>
    <t>8.4.1</t>
  </si>
  <si>
    <r>
      <t xml:space="preserve">Warehousing and support activities for </t>
    </r>
    <r>
      <rPr>
        <sz val="8"/>
        <color indexed="10"/>
        <rFont val="Arial"/>
        <family val="2"/>
        <charset val="0"/>
      </rPr>
      <t>transportation</t>
    </r>
  </si>
  <si>
    <t>Postal and courier activities</t>
  </si>
  <si>
    <t>8.5.1</t>
  </si>
  <si>
    <t>Hospitality</t>
  </si>
  <si>
    <t>Accommodation</t>
  </si>
  <si>
    <t>Food and beverages service activities</t>
  </si>
  <si>
    <t>Information and communications</t>
  </si>
  <si>
    <r>
      <t xml:space="preserve">Publishing </t>
    </r>
    <r>
      <rPr>
        <sz val="8"/>
        <color indexed="10"/>
        <rFont val="Arial"/>
        <family val="2"/>
        <charset val="0"/>
      </rPr>
      <t>activities</t>
    </r>
  </si>
  <si>
    <t>Motion pictures, video and television program production, sound recording and music publishing activities</t>
  </si>
  <si>
    <t>Programing and broadcasting activities</t>
  </si>
  <si>
    <t>Telecommunications and allied activities</t>
  </si>
  <si>
    <t>Computer programing, consultancy and related activities</t>
  </si>
  <si>
    <t>Information service activities</t>
  </si>
  <si>
    <t>Financial and Insurance activities</t>
  </si>
  <si>
    <t>Financial service activities, except insurance and pension funding</t>
  </si>
  <si>
    <t>11.1.1</t>
  </si>
  <si>
    <t>Central Banking</t>
  </si>
  <si>
    <t>11.1.2</t>
  </si>
  <si>
    <r>
      <t>Commercial banks</t>
    </r>
    <r>
      <rPr>
        <vertAlign val="superscript"/>
        <sz val="8"/>
        <rFont val="Arial"/>
        <family val="2"/>
        <charset val="0"/>
      </rPr>
      <t>*2</t>
    </r>
  </si>
  <si>
    <t>11.1.3</t>
  </si>
  <si>
    <t>Finance Companies</t>
  </si>
  <si>
    <t>11.1.3.1</t>
  </si>
  <si>
    <t>Real Estate Finance companies</t>
  </si>
  <si>
    <t>11.1.3.2</t>
  </si>
  <si>
    <t>Non Real Estate Finance Companies</t>
  </si>
  <si>
    <t>11.1.4</t>
  </si>
  <si>
    <t>Investment Companies</t>
  </si>
  <si>
    <t>11.1.5</t>
  </si>
  <si>
    <t>Brokerage Companies</t>
  </si>
  <si>
    <t>11.1.6</t>
  </si>
  <si>
    <t>Activities of holding companies</t>
  </si>
  <si>
    <t>11.1.7</t>
  </si>
  <si>
    <r>
      <t xml:space="preserve">Trusts, funds and similar </t>
    </r>
    <r>
      <rPr>
        <sz val="8"/>
        <color indexed="10"/>
        <rFont val="Arial"/>
        <family val="2"/>
        <charset val="0"/>
      </rPr>
      <t>financial</t>
    </r>
    <r>
      <rPr>
        <sz val="8"/>
        <rFont val="Arial"/>
        <family val="2"/>
        <charset val="0"/>
      </rPr>
      <t xml:space="preserve"> entities</t>
    </r>
  </si>
  <si>
    <t>11.1.8</t>
  </si>
  <si>
    <t>Financial leasing</t>
  </si>
  <si>
    <t>Others financial activities, such as insurance &amp; pension funding</t>
  </si>
  <si>
    <t>11.2.1</t>
  </si>
  <si>
    <t>Insurance, reinsurance and pension funding</t>
  </si>
  <si>
    <t>11.2.2</t>
  </si>
  <si>
    <r>
      <t xml:space="preserve">Activities </t>
    </r>
    <r>
      <rPr>
        <sz val="8"/>
        <color indexed="10"/>
        <rFont val="Arial"/>
        <family val="2"/>
        <charset val="0"/>
      </rPr>
      <t>auxiliary</t>
    </r>
    <r>
      <rPr>
        <sz val="8"/>
        <rFont val="Arial"/>
        <family val="2"/>
        <charset val="0"/>
      </rPr>
      <t xml:space="preserve"> to financial service and insurance activities</t>
    </r>
  </si>
  <si>
    <t>Professional, scientific and technical activities</t>
  </si>
  <si>
    <t>Administrative and support service activities</t>
  </si>
  <si>
    <t>Public administration and defence and social security.</t>
  </si>
  <si>
    <t>Education</t>
  </si>
  <si>
    <t>Human health and social work activities</t>
  </si>
  <si>
    <t>Arts, entertainment and recreation</t>
  </si>
  <si>
    <t>Other service activities</t>
  </si>
  <si>
    <r>
      <t>Activities of extraterritorial organisations and bodies (</t>
    </r>
    <r>
      <rPr>
        <b/>
        <sz val="8"/>
        <color indexed="10"/>
        <rFont val="Arial"/>
        <family val="2"/>
        <charset val="0"/>
      </rPr>
      <t>supranational</t>
    </r>
    <r>
      <rPr>
        <b/>
        <sz val="8"/>
        <rFont val="Arial"/>
        <family val="2"/>
        <charset val="0"/>
      </rPr>
      <t>)</t>
    </r>
  </si>
  <si>
    <r>
      <t>Government</t>
    </r>
    <r>
      <rPr>
        <b/>
        <vertAlign val="superscript"/>
        <sz val="9"/>
        <rFont val="Arial"/>
        <family val="2"/>
        <charset val="0"/>
      </rPr>
      <t xml:space="preserve"> 3</t>
    </r>
  </si>
  <si>
    <t>Federal Govt</t>
  </si>
  <si>
    <t>Emirate Govt</t>
  </si>
  <si>
    <t>Foreign Govt</t>
  </si>
  <si>
    <t>Individual Loans for consumption</t>
  </si>
  <si>
    <t>Personal installment loans, Overdrafts &amp; Car Loans</t>
  </si>
  <si>
    <t>Credit Cards</t>
  </si>
  <si>
    <t>Housing Loans</t>
  </si>
  <si>
    <t>Individual loans for business</t>
  </si>
  <si>
    <t xml:space="preserve">Term loans and overdraft </t>
  </si>
  <si>
    <r>
      <t>Loans against shares or other investment*</t>
    </r>
    <r>
      <rPr>
        <vertAlign val="superscript"/>
        <sz val="9"/>
        <rFont val="Arial"/>
        <family val="2"/>
        <charset val="0"/>
      </rPr>
      <t>4</t>
    </r>
  </si>
  <si>
    <t xml:space="preserve">All others (cannot be more than 5% of total or form will be rejected). </t>
  </si>
  <si>
    <t xml:space="preserve">GROSS LOANS AND ADVANCES </t>
  </si>
  <si>
    <t xml:space="preserve">Note </t>
  </si>
  <si>
    <t>1. Refer to International Standard Industrial Classification of All Economic Activities (ISIC) Rev 4</t>
  </si>
  <si>
    <t>2. Commercial Bank's exposure will not include Interbank positions as reported under BRF 1, item 3.</t>
  </si>
  <si>
    <t>3. Any exposure to Government which does not pertaining to economic activity shall be reported under this segment, excluding non commercial &amp; GREs</t>
  </si>
  <si>
    <t>4. Loan against shares/bonds/deposits shall be reported here</t>
  </si>
  <si>
    <t>BRF-73/March 2016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</si>
</sst>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8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9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sz val="9"/>
      <color indexed="8"/>
      <name val="Arial"/>
      <family val="2"/>
      <charset val="0"/>
    </font>
    <font>
      <sz val="8"/>
      <color rgb="FFFF0000"/>
      <name val="Arial"/>
      <family val="2"/>
      <charset val="0"/>
    </font>
    <font>
      <b/>
      <sz val="8"/>
      <color rgb="FFFF0000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vertAlign val="superscript"/>
      <sz val="9"/>
      <color indexed="8"/>
      <name val="Arial"/>
      <family val="2"/>
      <charset val="0"/>
    </font>
    <font>
      <sz val="9"/>
      <color indexed="60"/>
      <name val="Arial"/>
      <family val="2"/>
      <charset val="0"/>
    </font>
    <font>
      <b/>
      <sz val="8"/>
      <color indexed="10"/>
      <name val="Arial"/>
      <family val="2"/>
      <charset val="0"/>
    </font>
    <font>
      <sz val="8"/>
      <color indexed="10"/>
      <name val="Arial"/>
      <family val="2"/>
      <charset val="0"/>
    </font>
    <font>
      <vertAlign val="superscript"/>
      <sz val="8"/>
      <name val="Arial"/>
      <family val="2"/>
      <charset val="0"/>
    </font>
    <font>
      <b/>
      <vertAlign val="superscript"/>
      <sz val="9"/>
      <name val="Arial"/>
      <family val="2"/>
      <charset val="0"/>
    </font>
    <font>
      <vertAlign val="superscript"/>
      <sz val="9"/>
      <name val="Arial"/>
      <family val="2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1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9" fillId="11" borderId="17" applyNumberFormat="0" applyAlignment="0" applyProtection="0"/>
    <xf numFmtId="0" fontId="20" fillId="12" borderId="18" applyNumberFormat="0" applyAlignment="0" applyProtection="0"/>
    <xf numFmtId="0" fontId="21" fillId="12" borderId="17" applyNumberFormat="0" applyAlignment="0" applyProtection="0"/>
    <xf numFmtId="0" fontId="22" fillId="13" borderId="19" applyNumberFormat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0" fillId="38" borderId="0" applyNumberFormat="0" applyBorder="0" applyAlignment="0" applyProtection="0"/>
    <xf numFmtId="0" fontId="0" fillId="39" borderId="0" applyNumberFormat="0" applyBorder="0" applyAlignment="0" applyProtection="0"/>
    <xf numFmtId="0" fontId="28" fillId="40" borderId="0" applyNumberFormat="0" applyBorder="0" applyAlignment="0" applyProtection="0"/>
    <xf numFmtId="43" fontId="10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50" applyFont="1" applyBorder="1" applyAlignment="1">
      <alignment wrapText="1"/>
    </xf>
    <xf numFmtId="0" fontId="1" fillId="0" borderId="0" xfId="50" applyFont="1" applyBorder="1"/>
    <xf numFmtId="0" fontId="2" fillId="2" borderId="1" xfId="54" applyFont="1" applyFill="1" applyBorder="1" applyAlignment="1">
      <alignment horizontal="center"/>
    </xf>
    <xf numFmtId="0" fontId="2" fillId="2" borderId="2" xfId="54" applyFont="1" applyFill="1" applyBorder="1" applyAlignment="1">
      <alignment horizontal="center"/>
    </xf>
    <xf numFmtId="0" fontId="3" fillId="3" borderId="3" xfId="50" applyFont="1" applyFill="1" applyBorder="1" applyAlignment="1" applyProtection="1"/>
    <xf numFmtId="15" fontId="2" fillId="0" borderId="3" xfId="51" applyNumberFormat="1" applyFont="1" applyFill="1" applyBorder="1" applyAlignment="1" applyProtection="1">
      <alignment horizontal="center" wrapText="1"/>
    </xf>
    <xf numFmtId="15" fontId="2" fillId="0" borderId="4" xfId="51" applyNumberFormat="1" applyFont="1" applyFill="1" applyBorder="1" applyAlignment="1" applyProtection="1">
      <alignment horizontal="center"/>
    </xf>
    <xf numFmtId="15" fontId="2" fillId="0" borderId="5" xfId="51" applyNumberFormat="1" applyFont="1" applyFill="1" applyBorder="1" applyAlignment="1" applyProtection="1">
      <alignment horizontal="center"/>
    </xf>
    <xf numFmtId="15" fontId="4" fillId="3" borderId="3" xfId="51" applyNumberFormat="1" applyFont="1" applyFill="1" applyBorder="1" applyAlignment="1" applyProtection="1">
      <alignment horizontal="left"/>
    </xf>
    <xf numFmtId="15" fontId="2" fillId="0" borderId="6" xfId="51" applyNumberFormat="1" applyFont="1" applyFill="1" applyBorder="1" applyAlignment="1" applyProtection="1">
      <alignment horizontal="center"/>
    </xf>
    <xf numFmtId="15" fontId="2" fillId="0" borderId="0" xfId="51" applyNumberFormat="1" applyFont="1" applyFill="1" applyBorder="1" applyAlignment="1" applyProtection="1">
      <alignment horizontal="center"/>
    </xf>
    <xf numFmtId="0" fontId="4" fillId="3" borderId="3" xfId="51" applyFont="1" applyFill="1" applyBorder="1" applyProtection="1"/>
    <xf numFmtId="15" fontId="2" fillId="0" borderId="7" xfId="51" applyNumberFormat="1" applyFont="1" applyFill="1" applyBorder="1" applyAlignment="1" applyProtection="1">
      <alignment horizontal="center"/>
    </xf>
    <xf numFmtId="15" fontId="2" fillId="0" borderId="8" xfId="51" applyNumberFormat="1" applyFont="1" applyFill="1" applyBorder="1" applyAlignment="1" applyProtection="1">
      <alignment horizontal="center"/>
    </xf>
    <xf numFmtId="0" fontId="5" fillId="0" borderId="6" xfId="50" applyFont="1" applyBorder="1"/>
    <xf numFmtId="0" fontId="5" fillId="0" borderId="0" xfId="50" applyFont="1" applyBorder="1" applyAlignment="1">
      <alignment wrapText="1"/>
    </xf>
    <xf numFmtId="0" fontId="5" fillId="0" borderId="0" xfId="50" applyFont="1" applyBorder="1"/>
    <xf numFmtId="0" fontId="5" fillId="4" borderId="3" xfId="50" applyFont="1" applyFill="1" applyBorder="1" applyAlignment="1">
      <alignment horizontal="right"/>
    </xf>
    <xf numFmtId="0" fontId="5" fillId="4" borderId="3" xfId="50" applyFont="1" applyFill="1" applyBorder="1" applyAlignment="1">
      <alignment horizontal="right" wrapText="1"/>
    </xf>
    <xf numFmtId="0" fontId="6" fillId="4" borderId="3" xfId="54" applyFont="1" applyFill="1" applyBorder="1" applyAlignment="1">
      <alignment horizontal="center"/>
    </xf>
    <xf numFmtId="0" fontId="6" fillId="0" borderId="1" xfId="54" applyFont="1" applyFill="1" applyBorder="1" applyAlignment="1">
      <alignment horizontal="center" wrapText="1"/>
    </xf>
    <xf numFmtId="0" fontId="6" fillId="0" borderId="9" xfId="54" applyFont="1" applyFill="1" applyBorder="1" applyAlignment="1">
      <alignment horizontal="center" wrapText="1"/>
    </xf>
    <xf numFmtId="0" fontId="2" fillId="4" borderId="3" xfId="50" applyFont="1" applyFill="1" applyBorder="1" applyAlignment="1">
      <alignment wrapText="1"/>
    </xf>
    <xf numFmtId="0" fontId="2" fillId="4" borderId="3" xfId="54" applyFont="1" applyFill="1" applyBorder="1" applyAlignment="1">
      <alignment horizontal="center" wrapText="1"/>
    </xf>
    <xf numFmtId="0" fontId="6" fillId="4" borderId="3" xfId="54" applyFont="1" applyFill="1" applyBorder="1" applyAlignment="1">
      <alignment wrapText="1"/>
    </xf>
    <xf numFmtId="0" fontId="6" fillId="4" borderId="3" xfId="54" applyFont="1" applyFill="1" applyBorder="1" applyAlignment="1"/>
    <xf numFmtId="176" fontId="7" fillId="5" borderId="3" xfId="54" applyNumberFormat="1" applyFont="1" applyFill="1" applyBorder="1" applyAlignment="1">
      <alignment horizontal="right" wrapText="1"/>
    </xf>
    <xf numFmtId="0" fontId="5" fillId="0" borderId="3" xfId="54" applyFont="1" applyBorder="1" applyAlignment="1">
      <alignment wrapText="1"/>
    </xf>
    <xf numFmtId="0" fontId="5" fillId="0" borderId="3" xfId="54" applyFont="1" applyFill="1" applyBorder="1" applyProtection="1">
      <protection locked="0"/>
    </xf>
    <xf numFmtId="176" fontId="5" fillId="0" borderId="3" xfId="54" applyNumberFormat="1" applyFont="1" applyFill="1" applyBorder="1" applyAlignment="1">
      <alignment horizontal="right"/>
    </xf>
    <xf numFmtId="0" fontId="5" fillId="0" borderId="3" xfId="54" applyFont="1" applyFill="1" applyBorder="1" applyAlignment="1">
      <alignment wrapText="1"/>
    </xf>
    <xf numFmtId="0" fontId="2" fillId="4" borderId="3" xfId="54" applyFont="1" applyFill="1" applyBorder="1" applyAlignment="1">
      <alignment wrapText="1"/>
    </xf>
    <xf numFmtId="0" fontId="2" fillId="4" borderId="3" xfId="54" applyFont="1" applyFill="1" applyBorder="1" applyAlignment="1"/>
    <xf numFmtId="176" fontId="5" fillId="0" borderId="3" xfId="54" applyNumberFormat="1" applyFont="1" applyBorder="1" applyAlignment="1">
      <alignment horizontal="right"/>
    </xf>
    <xf numFmtId="0" fontId="2" fillId="0" borderId="3" xfId="54" applyFont="1" applyFill="1" applyBorder="1" applyAlignment="1">
      <alignment wrapText="1"/>
    </xf>
    <xf numFmtId="0" fontId="2" fillId="0" borderId="3" xfId="50" applyFont="1" applyFill="1" applyBorder="1" applyAlignment="1">
      <alignment wrapText="1"/>
    </xf>
    <xf numFmtId="0" fontId="4" fillId="6" borderId="3" xfId="50" applyFont="1" applyFill="1" applyBorder="1" applyAlignment="1">
      <alignment horizontal="right" vertical="center"/>
    </xf>
    <xf numFmtId="0" fontId="5" fillId="4" borderId="3" xfId="54" applyFont="1" applyFill="1" applyBorder="1" applyAlignment="1"/>
    <xf numFmtId="49" fontId="1" fillId="6" borderId="3" xfId="54" applyNumberFormat="1" applyFont="1" applyFill="1" applyBorder="1" applyAlignment="1">
      <alignment horizontal="right" vertical="center"/>
    </xf>
    <xf numFmtId="2" fontId="4" fillId="6" borderId="3" xfId="50" applyNumberFormat="1" applyFont="1" applyFill="1" applyBorder="1" applyAlignment="1">
      <alignment horizontal="right" vertical="center"/>
    </xf>
    <xf numFmtId="0" fontId="1" fillId="6" borderId="3" xfId="50" applyFont="1" applyFill="1" applyBorder="1" applyAlignment="1">
      <alignment horizontal="right" vertical="center"/>
    </xf>
    <xf numFmtId="2" fontId="4" fillId="6" borderId="3" xfId="54" applyNumberFormat="1" applyFont="1" applyFill="1" applyBorder="1" applyAlignment="1">
      <alignment horizontal="right" vertical="center"/>
    </xf>
    <xf numFmtId="0" fontId="4" fillId="0" borderId="3" xfId="50" applyFont="1" applyFill="1" applyBorder="1" applyAlignment="1">
      <alignment vertical="center" wrapText="1"/>
    </xf>
    <xf numFmtId="2" fontId="1" fillId="6" borderId="3" xfId="54" applyNumberFormat="1" applyFont="1" applyFill="1" applyBorder="1" applyAlignment="1">
      <alignment horizontal="right" vertical="center"/>
    </xf>
    <xf numFmtId="0" fontId="4" fillId="7" borderId="3" xfId="54" applyFont="1" applyFill="1" applyBorder="1" applyAlignment="1">
      <alignment vertical="center" wrapText="1"/>
    </xf>
    <xf numFmtId="0" fontId="1" fillId="0" borderId="3" xfId="54" applyFont="1" applyBorder="1" applyAlignment="1">
      <alignment vertical="center" wrapText="1" shrinkToFit="1"/>
    </xf>
    <xf numFmtId="0" fontId="1" fillId="0" borderId="3" xfId="54" applyFont="1" applyBorder="1" applyAlignment="1">
      <alignment vertical="center" wrapText="1"/>
    </xf>
    <xf numFmtId="0" fontId="4" fillId="4" borderId="3" xfId="54" applyFont="1" applyFill="1" applyBorder="1" applyAlignment="1">
      <alignment vertical="center" wrapText="1"/>
    </xf>
    <xf numFmtId="0" fontId="5" fillId="4" borderId="3" xfId="54" applyFont="1" applyFill="1" applyBorder="1" applyProtection="1">
      <protection locked="0"/>
    </xf>
    <xf numFmtId="0" fontId="5" fillId="0" borderId="3" xfId="50" applyFont="1" applyBorder="1"/>
    <xf numFmtId="0" fontId="1" fillId="0" borderId="3" xfId="50" applyFont="1" applyBorder="1" applyAlignment="1">
      <alignment vertical="center" wrapText="1"/>
    </xf>
    <xf numFmtId="0" fontId="5" fillId="0" borderId="3" xfId="50" applyFont="1" applyFill="1" applyBorder="1"/>
    <xf numFmtId="0" fontId="2" fillId="2" borderId="9" xfId="54" applyFont="1" applyFill="1" applyBorder="1" applyAlignment="1">
      <alignment horizontal="center"/>
    </xf>
    <xf numFmtId="15" fontId="2" fillId="0" borderId="10" xfId="51" applyNumberFormat="1" applyFont="1" applyFill="1" applyBorder="1" applyAlignment="1" applyProtection="1">
      <alignment horizontal="center"/>
    </xf>
    <xf numFmtId="15" fontId="2" fillId="0" borderId="11" xfId="51" applyNumberFormat="1" applyFont="1" applyFill="1" applyBorder="1" applyAlignment="1" applyProtection="1">
      <alignment horizontal="center"/>
    </xf>
    <xf numFmtId="15" fontId="2" fillId="0" borderId="12" xfId="51" applyNumberFormat="1" applyFont="1" applyFill="1" applyBorder="1" applyAlignment="1" applyProtection="1">
      <alignment horizontal="center"/>
    </xf>
    <xf numFmtId="0" fontId="5" fillId="0" borderId="11" xfId="50" applyFont="1" applyBorder="1"/>
    <xf numFmtId="0" fontId="8" fillId="0" borderId="0" xfId="50" applyFont="1" applyBorder="1"/>
    <xf numFmtId="176" fontId="5" fillId="4" borderId="3" xfId="54" applyNumberFormat="1" applyFont="1" applyFill="1" applyBorder="1" applyAlignment="1">
      <alignment horizontal="right"/>
    </xf>
    <xf numFmtId="0" fontId="9" fillId="7" borderId="3" xfId="54" applyFont="1" applyFill="1" applyBorder="1" applyAlignment="1">
      <alignment vertical="center" wrapText="1"/>
    </xf>
    <xf numFmtId="0" fontId="4" fillId="4" borderId="3" xfId="50" applyFont="1" applyFill="1" applyBorder="1" applyAlignment="1">
      <alignment horizontal="left" vertical="center" wrapText="1"/>
    </xf>
    <xf numFmtId="0" fontId="2" fillId="4" borderId="3" xfId="50" applyFont="1" applyFill="1" applyBorder="1" applyAlignment="1">
      <alignment horizontal="right"/>
    </xf>
    <xf numFmtId="176" fontId="5" fillId="0" borderId="3" xfId="50" applyNumberFormat="1" applyFont="1" applyFill="1" applyBorder="1" applyAlignment="1">
      <alignment horizontal="right"/>
    </xf>
    <xf numFmtId="0" fontId="4" fillId="7" borderId="3" xfId="50" applyFont="1" applyFill="1" applyBorder="1" applyAlignment="1">
      <alignment horizontal="left" vertical="center" wrapText="1"/>
    </xf>
    <xf numFmtId="0" fontId="2" fillId="8" borderId="3" xfId="54" applyFont="1" applyFill="1" applyBorder="1" applyAlignment="1"/>
    <xf numFmtId="2" fontId="5" fillId="0" borderId="3" xfId="50" applyNumberFormat="1" applyFont="1" applyFill="1" applyBorder="1" applyAlignment="1">
      <alignment horizontal="right"/>
    </xf>
    <xf numFmtId="0" fontId="1" fillId="0" borderId="3" xfId="50" applyFont="1" applyFill="1" applyBorder="1" applyAlignment="1">
      <alignment horizontal="left" vertical="center" wrapText="1"/>
    </xf>
    <xf numFmtId="0" fontId="2" fillId="0" borderId="3" xfId="54" applyFont="1" applyFill="1" applyBorder="1" applyAlignment="1" applyProtection="1">
      <protection locked="0"/>
    </xf>
    <xf numFmtId="0" fontId="1" fillId="0" borderId="3" xfId="54" applyFont="1" applyFill="1" applyBorder="1" applyAlignment="1">
      <alignment vertical="center" wrapText="1"/>
    </xf>
    <xf numFmtId="0" fontId="5" fillId="0" borderId="3" xfId="50" applyFont="1" applyFill="1" applyBorder="1" applyAlignment="1">
      <alignment horizontal="right"/>
    </xf>
    <xf numFmtId="49" fontId="4" fillId="4" borderId="3" xfId="54" applyNumberFormat="1" applyFont="1" applyFill="1" applyBorder="1" applyAlignment="1">
      <alignment horizontal="left" vertical="center" wrapText="1"/>
    </xf>
    <xf numFmtId="0" fontId="5" fillId="0" borderId="3" xfId="50" applyFont="1" applyBorder="1" applyAlignment="1">
      <alignment horizontal="right"/>
    </xf>
    <xf numFmtId="0" fontId="4" fillId="0" borderId="3" xfId="54" applyFont="1" applyFill="1" applyBorder="1" applyAlignment="1">
      <alignment vertical="center" wrapText="1"/>
    </xf>
    <xf numFmtId="0" fontId="8" fillId="0" borderId="3" xfId="54" applyFont="1" applyFill="1" applyBorder="1" applyAlignment="1">
      <alignment vertical="center" wrapText="1"/>
    </xf>
    <xf numFmtId="0" fontId="5" fillId="4" borderId="3" xfId="54" applyFont="1" applyFill="1" applyBorder="1" applyProtection="1"/>
    <xf numFmtId="0" fontId="1" fillId="7" borderId="3" xfId="54" applyFont="1" applyFill="1" applyBorder="1" applyAlignment="1">
      <alignment vertical="center" wrapText="1"/>
    </xf>
    <xf numFmtId="176" fontId="5" fillId="9" borderId="3" xfId="54" applyNumberFormat="1" applyFont="1" applyFill="1" applyBorder="1" applyAlignment="1">
      <alignment horizontal="right"/>
    </xf>
    <xf numFmtId="0" fontId="8" fillId="0" borderId="0" xfId="50" applyFont="1" applyFill="1" applyBorder="1"/>
    <xf numFmtId="0" fontId="1" fillId="0" borderId="0" xfId="50" applyFont="1" applyFill="1" applyBorder="1"/>
    <xf numFmtId="0" fontId="4" fillId="0" borderId="3" xfId="50" applyFont="1" applyBorder="1" applyAlignment="1">
      <alignment vertical="center" wrapText="1"/>
    </xf>
    <xf numFmtId="176" fontId="5" fillId="0" borderId="3" xfId="54" applyNumberFormat="1" applyFont="1" applyFill="1" applyBorder="1" applyAlignment="1">
      <alignment horizontal="right" wrapText="1"/>
    </xf>
    <xf numFmtId="0" fontId="5" fillId="4" borderId="3" xfId="50" applyFont="1" applyFill="1" applyBorder="1"/>
    <xf numFmtId="0" fontId="5" fillId="0" borderId="3" xfId="50" applyFont="1" applyFill="1" applyBorder="1" applyAlignment="1">
      <alignment wrapText="1"/>
    </xf>
    <xf numFmtId="0" fontId="5" fillId="4" borderId="3" xfId="50" applyFont="1" applyFill="1" applyBorder="1" applyAlignment="1">
      <alignment horizontal="center" vertical="center"/>
    </xf>
    <xf numFmtId="0" fontId="5" fillId="4" borderId="3" xfId="50" applyFont="1" applyFill="1" applyBorder="1" applyAlignment="1">
      <alignment horizontal="left"/>
    </xf>
    <xf numFmtId="0" fontId="5" fillId="4" borderId="3" xfId="56" applyFont="1" applyFill="1" applyBorder="1" applyAlignment="1">
      <alignment horizontal="left" vertical="center" wrapText="1"/>
    </xf>
    <xf numFmtId="0" fontId="5" fillId="0" borderId="7" xfId="50" applyFont="1" applyBorder="1"/>
    <xf numFmtId="0" fontId="5" fillId="0" borderId="8" xfId="50" applyFont="1" applyBorder="1"/>
    <xf numFmtId="0" fontId="5" fillId="0" borderId="12" xfId="50" applyFont="1" applyBorder="1"/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993300"/>
      <color rgb="00C0C0C0"/>
      <color rgb="00A6A6A6"/>
      <color rgb="00FFFFFF"/>
      <color rgb="00F2F2F2"/>
      <color rgb="00FF0000"/>
      <color rgb="00FFFF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BRF%2060%20New%20BRF%20Quarterly-%2001102013%20(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60- ECO ACTIVIT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157"/>
  <sheetViews>
    <sheetView showGridLines="0" tabSelected="1" zoomScaleSheetLayoutView="60" workbookViewId="0">
      <selection activeCell="C10" sqref="C10"/>
    </sheetView>
  </sheetViews>
  <sheetFormatPr defaultColWidth="0" defaultRowHeight="12.95" customHeight="1" zeroHeight="1"/>
  <cols>
    <col min="1" max="1" width="3.57272727272727" style="2" customWidth="1"/>
    <col min="2" max="2" width="13.7090909090909" style="2"/>
    <col min="3" max="3" width="47.1363636363636" style="1" customWidth="1"/>
    <col min="4" max="4" width="8.13636363636364" style="2" customWidth="1"/>
    <col min="5" max="5" width="8.42727272727273" style="2" customWidth="1"/>
    <col min="6" max="6" width="7.70909090909091" style="2" customWidth="1"/>
    <col min="7" max="7" width="8.28181818181818" style="2" customWidth="1"/>
    <col min="8" max="8" width="8" style="2" customWidth="1"/>
    <col min="9" max="9" width="8.28181818181818" style="2" customWidth="1"/>
    <col min="10" max="10" width="5.13636363636364" style="2" customWidth="1"/>
    <col min="11" max="16384" width="0" style="2" hidden="1"/>
  </cols>
  <sheetData>
    <row r="1" customHeight="1"/>
    <row r="2" ht="24" customHeight="1" spans="2:9">
      <c r="B2" s="3" t="s">
        <v>0</v>
      </c>
      <c r="C2" s="4"/>
      <c r="D2" s="4"/>
      <c r="E2" s="4"/>
      <c r="F2" s="4"/>
      <c r="G2" s="4"/>
      <c r="H2" s="4"/>
      <c r="I2" s="53"/>
    </row>
    <row r="3" customHeight="1" spans="2:9">
      <c r="B3" s="5" t="s">
        <v>1</v>
      </c>
      <c r="C3" s="6" t="s">
        <v>2</v>
      </c>
      <c r="D3" s="7"/>
      <c r="E3" s="8"/>
      <c r="F3" s="8"/>
      <c r="G3" s="8"/>
      <c r="H3" s="8"/>
      <c r="I3" s="54"/>
    </row>
    <row r="4" customHeight="1" spans="2:9">
      <c r="B4" s="9" t="s">
        <v>3</v>
      </c>
      <c r="C4" s="6" t="s">
        <v>4</v>
      </c>
      <c r="D4" s="10"/>
      <c r="E4" s="11"/>
      <c r="F4" s="11"/>
      <c r="G4" s="11"/>
      <c r="H4" s="11"/>
      <c r="I4" s="55"/>
    </row>
    <row r="5" customHeight="1" spans="2:9">
      <c r="B5" s="12" t="s">
        <v>5</v>
      </c>
      <c r="C5" s="6"/>
      <c r="D5" s="13"/>
      <c r="E5" s="14"/>
      <c r="F5" s="14"/>
      <c r="G5" s="14"/>
      <c r="H5" s="14"/>
      <c r="I5" s="56"/>
    </row>
    <row r="6" customHeight="1" spans="2:9">
      <c r="B6" s="15"/>
      <c r="C6" s="16"/>
      <c r="D6" s="17"/>
      <c r="E6" s="17"/>
      <c r="F6" s="17"/>
      <c r="G6" s="17"/>
      <c r="H6" s="17"/>
      <c r="I6" s="57"/>
    </row>
    <row r="7" customHeight="1" spans="2:9">
      <c r="B7" s="18"/>
      <c r="C7" s="19"/>
      <c r="D7" s="20" t="s">
        <v>6</v>
      </c>
      <c r="E7" s="20"/>
      <c r="F7" s="20" t="s">
        <v>7</v>
      </c>
      <c r="G7" s="20"/>
      <c r="H7" s="20" t="s">
        <v>8</v>
      </c>
      <c r="I7" s="20"/>
    </row>
    <row r="8" s="1" customFormat="1" ht="24.6" customHeight="1" spans="2:9">
      <c r="B8" s="21" t="s">
        <v>9</v>
      </c>
      <c r="C8" s="22"/>
      <c r="D8" s="23" t="s">
        <v>10</v>
      </c>
      <c r="E8" s="24" t="s">
        <v>11</v>
      </c>
      <c r="F8" s="23" t="s">
        <v>10</v>
      </c>
      <c r="G8" s="24" t="s">
        <v>11</v>
      </c>
      <c r="H8" s="23" t="s">
        <v>10</v>
      </c>
      <c r="I8" s="24" t="s">
        <v>11</v>
      </c>
    </row>
    <row r="9" customHeight="1" spans="2:9">
      <c r="B9" s="18">
        <v>1</v>
      </c>
      <c r="C9" s="25" t="s">
        <v>12</v>
      </c>
      <c r="D9" s="26">
        <f>SUM(D10:D13)</f>
        <v>0</v>
      </c>
      <c r="E9" s="26">
        <f>SUM(E10:E13)</f>
        <v>0</v>
      </c>
      <c r="F9" s="26">
        <f>SUM(F10:F13)</f>
        <v>0</v>
      </c>
      <c r="G9" s="26">
        <f>SUM(G10:G13)</f>
        <v>0</v>
      </c>
      <c r="H9" s="26">
        <f>D9+F9</f>
        <v>0</v>
      </c>
      <c r="I9" s="26">
        <f t="shared" ref="H9:I28" si="0">E9+G9</f>
        <v>0</v>
      </c>
    </row>
    <row r="10" customHeight="1" spans="2:9">
      <c r="B10" s="27">
        <v>1.1</v>
      </c>
      <c r="C10" s="28" t="s">
        <v>13</v>
      </c>
      <c r="D10" s="29">
        <v>0</v>
      </c>
      <c r="E10" s="29">
        <v>0</v>
      </c>
      <c r="F10" s="29">
        <v>0</v>
      </c>
      <c r="G10" s="29">
        <v>0</v>
      </c>
      <c r="H10" s="26">
        <f t="shared" si="0"/>
        <v>0</v>
      </c>
      <c r="I10" s="26">
        <f t="shared" si="0"/>
        <v>0</v>
      </c>
    </row>
    <row r="11" customHeight="1" spans="2:9">
      <c r="B11" s="30">
        <v>1.2</v>
      </c>
      <c r="C11" s="31" t="s">
        <v>14</v>
      </c>
      <c r="D11" s="29">
        <v>0</v>
      </c>
      <c r="E11" s="29">
        <v>0</v>
      </c>
      <c r="F11" s="29">
        <v>0</v>
      </c>
      <c r="G11" s="29">
        <v>0</v>
      </c>
      <c r="H11" s="26">
        <f t="shared" si="0"/>
        <v>0</v>
      </c>
      <c r="I11" s="26">
        <f t="shared" si="0"/>
        <v>0</v>
      </c>
    </row>
    <row r="12" customHeight="1" spans="2:9">
      <c r="B12" s="30">
        <v>1.3</v>
      </c>
      <c r="C12" s="31" t="s">
        <v>15</v>
      </c>
      <c r="D12" s="29">
        <v>0</v>
      </c>
      <c r="E12" s="29">
        <v>0</v>
      </c>
      <c r="F12" s="29">
        <v>0</v>
      </c>
      <c r="G12" s="29">
        <v>0</v>
      </c>
      <c r="H12" s="26">
        <f t="shared" si="0"/>
        <v>0</v>
      </c>
      <c r="I12" s="26">
        <f t="shared" si="0"/>
        <v>0</v>
      </c>
    </row>
    <row r="13" customHeight="1" spans="2:9">
      <c r="B13" s="30">
        <v>1.4</v>
      </c>
      <c r="C13" s="31" t="s">
        <v>16</v>
      </c>
      <c r="D13" s="29">
        <v>0</v>
      </c>
      <c r="E13" s="29">
        <v>0</v>
      </c>
      <c r="F13" s="29">
        <v>0</v>
      </c>
      <c r="G13" s="29">
        <v>0</v>
      </c>
      <c r="H13" s="26">
        <f>D13+F13</f>
        <v>0</v>
      </c>
      <c r="I13" s="26">
        <f>E13+G13</f>
        <v>0</v>
      </c>
    </row>
    <row r="14" customHeight="1" spans="2:9">
      <c r="B14" s="18">
        <v>2</v>
      </c>
      <c r="C14" s="32" t="s">
        <v>17</v>
      </c>
      <c r="D14" s="26">
        <f>SUM(D15:D17)</f>
        <v>0</v>
      </c>
      <c r="E14" s="26">
        <f>SUM(E15:E17)</f>
        <v>0</v>
      </c>
      <c r="F14" s="26">
        <f>SUM(F15:F17)</f>
        <v>0</v>
      </c>
      <c r="G14" s="26">
        <f>SUM(G15:G17)</f>
        <v>0</v>
      </c>
      <c r="H14" s="26">
        <f>D14+F14</f>
        <v>0</v>
      </c>
      <c r="I14" s="26">
        <f t="shared" si="0"/>
        <v>0</v>
      </c>
    </row>
    <row r="15" customHeight="1" spans="2:9">
      <c r="B15" s="30">
        <v>2.1</v>
      </c>
      <c r="C15" s="31" t="s">
        <v>18</v>
      </c>
      <c r="D15" s="29">
        <v>0</v>
      </c>
      <c r="E15" s="29">
        <v>0</v>
      </c>
      <c r="F15" s="29">
        <v>0</v>
      </c>
      <c r="G15" s="29">
        <v>0</v>
      </c>
      <c r="H15" s="26">
        <f t="shared" si="0"/>
        <v>0</v>
      </c>
      <c r="I15" s="26">
        <f t="shared" si="0"/>
        <v>0</v>
      </c>
    </row>
    <row r="16" customHeight="1" spans="2:9">
      <c r="B16" s="30">
        <v>2.2</v>
      </c>
      <c r="C16" s="31" t="s">
        <v>19</v>
      </c>
      <c r="D16" s="29">
        <v>0</v>
      </c>
      <c r="E16" s="29">
        <v>0</v>
      </c>
      <c r="F16" s="29">
        <v>0</v>
      </c>
      <c r="G16" s="29">
        <v>0</v>
      </c>
      <c r="H16" s="26">
        <f>D16+F16</f>
        <v>0</v>
      </c>
      <c r="I16" s="26">
        <f>E16+G16</f>
        <v>0</v>
      </c>
    </row>
    <row r="17" customHeight="1" spans="2:9">
      <c r="B17" s="30">
        <v>2.3</v>
      </c>
      <c r="C17" s="31" t="s">
        <v>20</v>
      </c>
      <c r="D17" s="29">
        <v>0</v>
      </c>
      <c r="E17" s="29">
        <v>0</v>
      </c>
      <c r="F17" s="29">
        <v>0</v>
      </c>
      <c r="G17" s="29">
        <v>0</v>
      </c>
      <c r="H17" s="33">
        <f t="shared" si="0"/>
        <v>0</v>
      </c>
      <c r="I17" s="33">
        <f t="shared" si="0"/>
        <v>0</v>
      </c>
    </row>
    <row r="18" customHeight="1" spans="2:9">
      <c r="B18" s="18">
        <v>3</v>
      </c>
      <c r="C18" s="32" t="s">
        <v>21</v>
      </c>
      <c r="D18" s="33">
        <f>SUM(D19:D56)-D27-D34-D38-D52</f>
        <v>0</v>
      </c>
      <c r="E18" s="33">
        <f>SUM(E19:E56)-E27-E34-E38-E52</f>
        <v>0</v>
      </c>
      <c r="F18" s="33">
        <f>SUM(F19:F56)-F27-F34-F38-F52</f>
        <v>0</v>
      </c>
      <c r="G18" s="33">
        <f>SUM(G19:G56)-G27-G34-G38-G52</f>
        <v>0</v>
      </c>
      <c r="H18" s="33">
        <f t="shared" si="0"/>
        <v>0</v>
      </c>
      <c r="I18" s="33">
        <f t="shared" si="0"/>
        <v>0</v>
      </c>
    </row>
    <row r="19" customHeight="1" spans="2:9">
      <c r="B19" s="34">
        <v>3.1</v>
      </c>
      <c r="C19" s="35" t="s">
        <v>22</v>
      </c>
      <c r="D19" s="29">
        <v>0</v>
      </c>
      <c r="E19" s="29">
        <v>0</v>
      </c>
      <c r="F19" s="29">
        <v>0</v>
      </c>
      <c r="G19" s="29">
        <v>0</v>
      </c>
      <c r="H19" s="33">
        <f t="shared" si="0"/>
        <v>0</v>
      </c>
      <c r="I19" s="33">
        <f t="shared" si="0"/>
        <v>0</v>
      </c>
    </row>
    <row r="20" customHeight="1" spans="2:9">
      <c r="B20" s="30">
        <v>3.2</v>
      </c>
      <c r="C20" s="35" t="s">
        <v>23</v>
      </c>
      <c r="D20" s="29">
        <v>0</v>
      </c>
      <c r="E20" s="29">
        <v>0</v>
      </c>
      <c r="F20" s="29">
        <v>0</v>
      </c>
      <c r="G20" s="29">
        <v>0</v>
      </c>
      <c r="H20" s="33">
        <f t="shared" si="0"/>
        <v>0</v>
      </c>
      <c r="I20" s="33">
        <f t="shared" si="0"/>
        <v>0</v>
      </c>
    </row>
    <row r="21" customHeight="1" spans="2:9">
      <c r="B21" s="30">
        <v>3.3</v>
      </c>
      <c r="C21" s="35" t="s">
        <v>24</v>
      </c>
      <c r="D21" s="29">
        <v>0</v>
      </c>
      <c r="E21" s="29">
        <v>0</v>
      </c>
      <c r="F21" s="29">
        <v>0</v>
      </c>
      <c r="G21" s="29">
        <v>0</v>
      </c>
      <c r="H21" s="33">
        <f t="shared" si="0"/>
        <v>0</v>
      </c>
      <c r="I21" s="33">
        <f t="shared" si="0"/>
        <v>0</v>
      </c>
    </row>
    <row r="22" customHeight="1" spans="2:9">
      <c r="B22" s="30">
        <v>3.4</v>
      </c>
      <c r="C22" s="35" t="s">
        <v>25</v>
      </c>
      <c r="D22" s="29">
        <v>0</v>
      </c>
      <c r="E22" s="29">
        <v>0</v>
      </c>
      <c r="F22" s="29">
        <v>0</v>
      </c>
      <c r="G22" s="29">
        <v>0</v>
      </c>
      <c r="H22" s="33"/>
      <c r="I22" s="33"/>
    </row>
    <row r="23" customHeight="1" spans="2:9">
      <c r="B23" s="30">
        <v>3.5</v>
      </c>
      <c r="C23" s="35" t="s">
        <v>26</v>
      </c>
      <c r="D23" s="29">
        <v>0</v>
      </c>
      <c r="E23" s="29">
        <v>0</v>
      </c>
      <c r="F23" s="29">
        <v>0</v>
      </c>
      <c r="G23" s="29">
        <v>0</v>
      </c>
      <c r="H23" s="33">
        <f t="shared" si="0"/>
        <v>0</v>
      </c>
      <c r="I23" s="33">
        <f t="shared" si="0"/>
        <v>0</v>
      </c>
    </row>
    <row r="24" customHeight="1" spans="2:9">
      <c r="B24" s="30">
        <v>3.6</v>
      </c>
      <c r="C24" s="36" t="s">
        <v>27</v>
      </c>
      <c r="D24" s="29">
        <v>0</v>
      </c>
      <c r="E24" s="29">
        <v>0</v>
      </c>
      <c r="F24" s="29">
        <v>0</v>
      </c>
      <c r="G24" s="29">
        <v>0</v>
      </c>
      <c r="H24" s="33"/>
      <c r="I24" s="33"/>
    </row>
    <row r="25" customHeight="1" spans="2:9">
      <c r="B25" s="30">
        <v>3.7</v>
      </c>
      <c r="C25" s="35" t="s">
        <v>28</v>
      </c>
      <c r="D25" s="29">
        <v>0</v>
      </c>
      <c r="E25" s="29">
        <v>0</v>
      </c>
      <c r="F25" s="29">
        <v>0</v>
      </c>
      <c r="G25" s="29">
        <v>0</v>
      </c>
      <c r="H25" s="33">
        <f t="shared" si="0"/>
        <v>0</v>
      </c>
      <c r="I25" s="33">
        <f t="shared" si="0"/>
        <v>0</v>
      </c>
    </row>
    <row r="26" customHeight="1" spans="2:9">
      <c r="B26" s="30">
        <v>3.8</v>
      </c>
      <c r="C26" s="35" t="s">
        <v>29</v>
      </c>
      <c r="D26" s="29">
        <v>0</v>
      </c>
      <c r="E26" s="29">
        <v>0</v>
      </c>
      <c r="F26" s="29">
        <v>0</v>
      </c>
      <c r="G26" s="29">
        <v>0</v>
      </c>
      <c r="H26" s="33"/>
      <c r="I26" s="33"/>
    </row>
    <row r="27" customHeight="1" spans="2:9">
      <c r="B27" s="37">
        <v>3.9</v>
      </c>
      <c r="C27" s="32" t="s">
        <v>30</v>
      </c>
      <c r="D27" s="38">
        <f>SUM(D28:D33)</f>
        <v>0</v>
      </c>
      <c r="E27" s="38">
        <f>SUM(E28:E33)</f>
        <v>0</v>
      </c>
      <c r="F27" s="38">
        <f>SUM(F28:F33)</f>
        <v>0</v>
      </c>
      <c r="G27" s="38">
        <f>SUM(G28:G33)</f>
        <v>0</v>
      </c>
      <c r="H27" s="33">
        <f t="shared" si="0"/>
        <v>0</v>
      </c>
      <c r="I27" s="33">
        <f t="shared" si="0"/>
        <v>0</v>
      </c>
    </row>
    <row r="28" customHeight="1" spans="2:9">
      <c r="B28" s="39" t="s">
        <v>31</v>
      </c>
      <c r="C28" s="28" t="s">
        <v>32</v>
      </c>
      <c r="D28" s="29">
        <v>0</v>
      </c>
      <c r="E28" s="29">
        <v>0</v>
      </c>
      <c r="F28" s="29">
        <v>0</v>
      </c>
      <c r="G28" s="29">
        <v>0</v>
      </c>
      <c r="H28" s="33">
        <f t="shared" si="0"/>
        <v>0</v>
      </c>
      <c r="I28" s="33">
        <f t="shared" si="0"/>
        <v>0</v>
      </c>
    </row>
    <row r="29" customHeight="1" spans="2:9">
      <c r="B29" s="39" t="s">
        <v>33</v>
      </c>
      <c r="C29" s="28" t="s">
        <v>34</v>
      </c>
      <c r="D29" s="29">
        <v>0</v>
      </c>
      <c r="E29" s="29">
        <v>0</v>
      </c>
      <c r="F29" s="29">
        <v>0</v>
      </c>
      <c r="G29" s="29">
        <v>0</v>
      </c>
      <c r="H29" s="33">
        <f t="shared" ref="H29:H40" si="1">D29+F29</f>
        <v>0</v>
      </c>
      <c r="I29" s="33">
        <f t="shared" ref="I29:I40" si="2">E29+G29</f>
        <v>0</v>
      </c>
    </row>
    <row r="30" customHeight="1" spans="2:9">
      <c r="B30" s="39" t="s">
        <v>35</v>
      </c>
      <c r="C30" s="28" t="s">
        <v>36</v>
      </c>
      <c r="D30" s="29">
        <v>0</v>
      </c>
      <c r="E30" s="29">
        <v>0</v>
      </c>
      <c r="F30" s="29">
        <v>0</v>
      </c>
      <c r="G30" s="29">
        <v>0</v>
      </c>
      <c r="H30" s="33">
        <f t="shared" si="1"/>
        <v>0</v>
      </c>
      <c r="I30" s="33">
        <f t="shared" si="2"/>
        <v>0</v>
      </c>
    </row>
    <row r="31" customHeight="1" spans="2:9">
      <c r="B31" s="39" t="s">
        <v>37</v>
      </c>
      <c r="C31" s="28" t="s">
        <v>38</v>
      </c>
      <c r="D31" s="29">
        <v>0</v>
      </c>
      <c r="E31" s="29">
        <v>0</v>
      </c>
      <c r="F31" s="29">
        <v>0</v>
      </c>
      <c r="G31" s="29">
        <v>0</v>
      </c>
      <c r="H31" s="33">
        <f t="shared" si="1"/>
        <v>0</v>
      </c>
      <c r="I31" s="33">
        <f t="shared" si="2"/>
        <v>0</v>
      </c>
    </row>
    <row r="32" customHeight="1" spans="2:9">
      <c r="B32" s="39" t="s">
        <v>39</v>
      </c>
      <c r="C32" s="28" t="s">
        <v>40</v>
      </c>
      <c r="D32" s="29">
        <v>0</v>
      </c>
      <c r="E32" s="29">
        <v>0</v>
      </c>
      <c r="F32" s="29">
        <v>0</v>
      </c>
      <c r="G32" s="29">
        <v>0</v>
      </c>
      <c r="H32" s="33">
        <f t="shared" si="1"/>
        <v>0</v>
      </c>
      <c r="I32" s="33">
        <f t="shared" si="2"/>
        <v>0</v>
      </c>
    </row>
    <row r="33" customHeight="1" spans="2:9">
      <c r="B33" s="39" t="s">
        <v>41</v>
      </c>
      <c r="C33" s="28" t="s">
        <v>42</v>
      </c>
      <c r="D33" s="29">
        <v>0</v>
      </c>
      <c r="E33" s="29">
        <v>0</v>
      </c>
      <c r="F33" s="29">
        <v>0</v>
      </c>
      <c r="G33" s="29">
        <v>0</v>
      </c>
      <c r="H33" s="33">
        <f t="shared" si="1"/>
        <v>0</v>
      </c>
      <c r="I33" s="33">
        <f t="shared" si="2"/>
        <v>0</v>
      </c>
    </row>
    <row r="34" customHeight="1" spans="2:9">
      <c r="B34" s="40">
        <v>3.1</v>
      </c>
      <c r="C34" s="32" t="s">
        <v>43</v>
      </c>
      <c r="D34" s="38">
        <f>SUM(D35:D37)</f>
        <v>0</v>
      </c>
      <c r="E34" s="38">
        <f>SUM(E35:E37)</f>
        <v>0</v>
      </c>
      <c r="F34" s="38">
        <f>SUM(F35:F37)</f>
        <v>0</v>
      </c>
      <c r="G34" s="38">
        <f>SUM(G35:G37)</f>
        <v>0</v>
      </c>
      <c r="H34" s="33">
        <f t="shared" si="1"/>
        <v>0</v>
      </c>
      <c r="I34" s="33">
        <f t="shared" si="2"/>
        <v>0</v>
      </c>
    </row>
    <row r="35" customHeight="1" spans="2:9">
      <c r="B35" s="39" t="s">
        <v>44</v>
      </c>
      <c r="C35" s="28" t="s">
        <v>45</v>
      </c>
      <c r="D35" s="29">
        <v>0</v>
      </c>
      <c r="E35" s="29">
        <v>0</v>
      </c>
      <c r="F35" s="29">
        <v>0</v>
      </c>
      <c r="G35" s="29">
        <v>0</v>
      </c>
      <c r="H35" s="33">
        <f t="shared" si="1"/>
        <v>0</v>
      </c>
      <c r="I35" s="33">
        <f t="shared" si="2"/>
        <v>0</v>
      </c>
    </row>
    <row r="36" customHeight="1" spans="2:9">
      <c r="B36" s="39" t="s">
        <v>46</v>
      </c>
      <c r="C36" s="28" t="s">
        <v>47</v>
      </c>
      <c r="D36" s="29">
        <v>0</v>
      </c>
      <c r="E36" s="29">
        <v>0</v>
      </c>
      <c r="F36" s="29">
        <v>0</v>
      </c>
      <c r="G36" s="29">
        <v>0</v>
      </c>
      <c r="H36" s="33">
        <f t="shared" si="1"/>
        <v>0</v>
      </c>
      <c r="I36" s="33">
        <f t="shared" si="2"/>
        <v>0</v>
      </c>
    </row>
    <row r="37" customHeight="1" spans="2:9">
      <c r="B37" s="39" t="s">
        <v>48</v>
      </c>
      <c r="C37" s="28" t="s">
        <v>49</v>
      </c>
      <c r="D37" s="29">
        <v>0</v>
      </c>
      <c r="E37" s="29">
        <v>0</v>
      </c>
      <c r="F37" s="29">
        <v>0</v>
      </c>
      <c r="G37" s="29">
        <v>0</v>
      </c>
      <c r="H37" s="33">
        <f t="shared" si="1"/>
        <v>0</v>
      </c>
      <c r="I37" s="33">
        <f t="shared" si="2"/>
        <v>0</v>
      </c>
    </row>
    <row r="38" customHeight="1" spans="2:9">
      <c r="B38" s="41">
        <v>3.11</v>
      </c>
      <c r="C38" s="32" t="s">
        <v>50</v>
      </c>
      <c r="D38" s="38">
        <f>SUM(D39:D41)</f>
        <v>0</v>
      </c>
      <c r="E38" s="38">
        <f>SUM(E39:E41)</f>
        <v>0</v>
      </c>
      <c r="F38" s="38">
        <f>SUM(F39:F41)</f>
        <v>0</v>
      </c>
      <c r="G38" s="38">
        <f>SUM(G39:G41)</f>
        <v>0</v>
      </c>
      <c r="H38" s="33">
        <f t="shared" si="1"/>
        <v>0</v>
      </c>
      <c r="I38" s="33">
        <f t="shared" si="2"/>
        <v>0</v>
      </c>
    </row>
    <row r="39" customHeight="1" spans="2:9">
      <c r="B39" s="39" t="s">
        <v>51</v>
      </c>
      <c r="C39" s="28" t="s">
        <v>52</v>
      </c>
      <c r="D39" s="29">
        <v>0</v>
      </c>
      <c r="E39" s="29">
        <v>0</v>
      </c>
      <c r="F39" s="29">
        <v>0</v>
      </c>
      <c r="G39" s="29">
        <v>0</v>
      </c>
      <c r="H39" s="33">
        <f t="shared" si="1"/>
        <v>0</v>
      </c>
      <c r="I39" s="33">
        <f t="shared" si="2"/>
        <v>0</v>
      </c>
    </row>
    <row r="40" customHeight="1" spans="2:9">
      <c r="B40" s="39" t="s">
        <v>53</v>
      </c>
      <c r="C40" s="28" t="s">
        <v>54</v>
      </c>
      <c r="D40" s="29">
        <v>0</v>
      </c>
      <c r="E40" s="29">
        <v>0</v>
      </c>
      <c r="F40" s="29">
        <v>0</v>
      </c>
      <c r="G40" s="29">
        <v>0</v>
      </c>
      <c r="H40" s="33">
        <f t="shared" si="1"/>
        <v>0</v>
      </c>
      <c r="I40" s="33">
        <f t="shared" si="2"/>
        <v>0</v>
      </c>
    </row>
    <row r="41" customHeight="1" spans="2:9">
      <c r="B41" s="39" t="s">
        <v>55</v>
      </c>
      <c r="C41" s="31" t="s">
        <v>56</v>
      </c>
      <c r="D41" s="29">
        <v>0</v>
      </c>
      <c r="E41" s="29">
        <v>0</v>
      </c>
      <c r="F41" s="29">
        <v>0</v>
      </c>
      <c r="G41" s="29">
        <v>0</v>
      </c>
      <c r="H41" s="33">
        <f t="shared" ref="H41:H51" si="3">D41+F41</f>
        <v>0</v>
      </c>
      <c r="I41" s="33">
        <f t="shared" ref="I41:I51" si="4">E41+G41</f>
        <v>0</v>
      </c>
    </row>
    <row r="42" ht="22.5" customHeight="1" spans="2:9">
      <c r="B42" s="42">
        <v>3.12</v>
      </c>
      <c r="C42" s="36" t="s">
        <v>57</v>
      </c>
      <c r="D42" s="29">
        <v>0</v>
      </c>
      <c r="E42" s="29">
        <v>0</v>
      </c>
      <c r="F42" s="29">
        <v>0</v>
      </c>
      <c r="G42" s="29">
        <v>0</v>
      </c>
      <c r="H42" s="33">
        <f t="shared" si="3"/>
        <v>0</v>
      </c>
      <c r="I42" s="33">
        <f t="shared" si="4"/>
        <v>0</v>
      </c>
    </row>
    <row r="43" ht="22.5" customHeight="1" spans="2:9">
      <c r="B43" s="42">
        <v>3.13</v>
      </c>
      <c r="C43" s="36" t="s">
        <v>58</v>
      </c>
      <c r="D43" s="29">
        <v>0</v>
      </c>
      <c r="E43" s="29">
        <v>0</v>
      </c>
      <c r="F43" s="29">
        <v>0</v>
      </c>
      <c r="G43" s="29">
        <v>0</v>
      </c>
      <c r="H43" s="33">
        <f t="shared" si="3"/>
        <v>0</v>
      </c>
      <c r="I43" s="33">
        <f t="shared" si="4"/>
        <v>0</v>
      </c>
    </row>
    <row r="44" ht="22.5" customHeight="1" spans="2:9">
      <c r="B44" s="42">
        <v>3.14</v>
      </c>
      <c r="C44" s="36" t="s">
        <v>59</v>
      </c>
      <c r="D44" s="29">
        <v>0</v>
      </c>
      <c r="E44" s="29">
        <v>0</v>
      </c>
      <c r="F44" s="29">
        <v>0</v>
      </c>
      <c r="G44" s="29">
        <v>0</v>
      </c>
      <c r="H44" s="33">
        <f t="shared" si="3"/>
        <v>0</v>
      </c>
      <c r="I44" s="33">
        <f t="shared" si="4"/>
        <v>0</v>
      </c>
    </row>
    <row r="45" ht="22.5" customHeight="1" spans="2:9">
      <c r="B45" s="42">
        <v>3.15</v>
      </c>
      <c r="C45" s="43" t="s">
        <v>60</v>
      </c>
      <c r="D45" s="29">
        <v>0</v>
      </c>
      <c r="E45" s="29">
        <v>0</v>
      </c>
      <c r="F45" s="29">
        <v>0</v>
      </c>
      <c r="G45" s="29">
        <v>0</v>
      </c>
      <c r="H45" s="33">
        <f t="shared" si="3"/>
        <v>0</v>
      </c>
      <c r="I45" s="33">
        <f t="shared" si="4"/>
        <v>0</v>
      </c>
    </row>
    <row r="46" ht="22.5" customHeight="1" spans="2:9">
      <c r="B46" s="42">
        <v>3.16</v>
      </c>
      <c r="C46" s="43" t="s">
        <v>61</v>
      </c>
      <c r="D46" s="29">
        <v>0</v>
      </c>
      <c r="E46" s="29">
        <v>0</v>
      </c>
      <c r="F46" s="29">
        <v>0</v>
      </c>
      <c r="G46" s="29">
        <v>0</v>
      </c>
      <c r="H46" s="33">
        <f t="shared" si="3"/>
        <v>0</v>
      </c>
      <c r="I46" s="33">
        <f t="shared" si="4"/>
        <v>0</v>
      </c>
    </row>
    <row r="47" ht="22.5" customHeight="1" spans="2:9">
      <c r="B47" s="42">
        <v>3.17</v>
      </c>
      <c r="C47" s="43" t="s">
        <v>62</v>
      </c>
      <c r="D47" s="29">
        <v>0</v>
      </c>
      <c r="E47" s="29">
        <v>0</v>
      </c>
      <c r="F47" s="29">
        <v>0</v>
      </c>
      <c r="G47" s="29">
        <v>0</v>
      </c>
      <c r="H47" s="33">
        <f t="shared" si="3"/>
        <v>0</v>
      </c>
      <c r="I47" s="33">
        <f t="shared" si="4"/>
        <v>0</v>
      </c>
    </row>
    <row r="48" ht="22.5" customHeight="1" spans="2:9">
      <c r="B48" s="42">
        <v>3.18</v>
      </c>
      <c r="C48" s="43" t="s">
        <v>63</v>
      </c>
      <c r="D48" s="29">
        <v>0</v>
      </c>
      <c r="E48" s="29">
        <v>0</v>
      </c>
      <c r="F48" s="29">
        <v>0</v>
      </c>
      <c r="G48" s="29">
        <v>0</v>
      </c>
      <c r="H48" s="33">
        <f t="shared" si="3"/>
        <v>0</v>
      </c>
      <c r="I48" s="33">
        <f t="shared" si="4"/>
        <v>0</v>
      </c>
    </row>
    <row r="49" ht="22.5" customHeight="1" spans="2:9">
      <c r="B49" s="42">
        <v>3.19</v>
      </c>
      <c r="C49" s="43" t="s">
        <v>64</v>
      </c>
      <c r="D49" s="29">
        <v>0</v>
      </c>
      <c r="E49" s="29">
        <v>0</v>
      </c>
      <c r="F49" s="29">
        <v>0</v>
      </c>
      <c r="G49" s="29">
        <v>0</v>
      </c>
      <c r="H49" s="33">
        <f t="shared" si="3"/>
        <v>0</v>
      </c>
      <c r="I49" s="33">
        <f t="shared" si="4"/>
        <v>0</v>
      </c>
    </row>
    <row r="50" ht="22.5" customHeight="1" spans="2:9">
      <c r="B50" s="42">
        <v>3.2</v>
      </c>
      <c r="C50" s="43" t="s">
        <v>65</v>
      </c>
      <c r="D50" s="29">
        <v>0</v>
      </c>
      <c r="E50" s="29">
        <v>0</v>
      </c>
      <c r="F50" s="29">
        <v>0</v>
      </c>
      <c r="G50" s="29">
        <v>0</v>
      </c>
      <c r="H50" s="33">
        <f t="shared" si="3"/>
        <v>0</v>
      </c>
      <c r="I50" s="33">
        <f t="shared" si="4"/>
        <v>0</v>
      </c>
    </row>
    <row r="51" ht="22.5" customHeight="1" spans="2:9">
      <c r="B51" s="42">
        <v>3.21</v>
      </c>
      <c r="C51" s="43" t="s">
        <v>66</v>
      </c>
      <c r="D51" s="29">
        <v>0</v>
      </c>
      <c r="E51" s="29">
        <v>0</v>
      </c>
      <c r="F51" s="29">
        <v>0</v>
      </c>
      <c r="G51" s="29">
        <v>0</v>
      </c>
      <c r="H51" s="33">
        <f t="shared" si="3"/>
        <v>0</v>
      </c>
      <c r="I51" s="33">
        <f t="shared" si="4"/>
        <v>0</v>
      </c>
    </row>
    <row r="52" ht="22.5" customHeight="1" spans="2:9">
      <c r="B52" s="44">
        <v>3.22</v>
      </c>
      <c r="C52" s="45" t="s">
        <v>67</v>
      </c>
      <c r="D52" s="38">
        <f>SUM(D53:D56)</f>
        <v>0</v>
      </c>
      <c r="E52" s="38">
        <f>SUM(E53:E56)</f>
        <v>0</v>
      </c>
      <c r="F52" s="38">
        <f>SUM(F53:F56)</f>
        <v>0</v>
      </c>
      <c r="G52" s="38">
        <f>SUM(G53:G56)</f>
        <v>0</v>
      </c>
      <c r="H52" s="33">
        <f t="shared" ref="H52:H60" si="5">D52+F52</f>
        <v>0</v>
      </c>
      <c r="I52" s="33">
        <f t="shared" ref="I52:I60" si="6">E52+G52</f>
        <v>0</v>
      </c>
    </row>
    <row r="53" customHeight="1" spans="2:9">
      <c r="B53" s="44" t="s">
        <v>68</v>
      </c>
      <c r="C53" s="46" t="s">
        <v>69</v>
      </c>
      <c r="D53" s="29">
        <v>0</v>
      </c>
      <c r="E53" s="29">
        <v>0</v>
      </c>
      <c r="F53" s="29">
        <v>0</v>
      </c>
      <c r="G53" s="29">
        <v>0</v>
      </c>
      <c r="H53" s="33">
        <f t="shared" si="5"/>
        <v>0</v>
      </c>
      <c r="I53" s="33">
        <f t="shared" si="6"/>
        <v>0</v>
      </c>
    </row>
    <row r="54" customHeight="1" spans="2:9">
      <c r="B54" s="44" t="s">
        <v>70</v>
      </c>
      <c r="C54" s="46" t="s">
        <v>71</v>
      </c>
      <c r="D54" s="29">
        <v>0</v>
      </c>
      <c r="E54" s="29">
        <v>0</v>
      </c>
      <c r="F54" s="29">
        <v>0</v>
      </c>
      <c r="G54" s="29">
        <v>0</v>
      </c>
      <c r="H54" s="33">
        <f t="shared" si="5"/>
        <v>0</v>
      </c>
      <c r="I54" s="33">
        <f t="shared" si="6"/>
        <v>0</v>
      </c>
    </row>
    <row r="55" customHeight="1" spans="2:9">
      <c r="B55" s="44" t="s">
        <v>72</v>
      </c>
      <c r="C55" s="46" t="s">
        <v>73</v>
      </c>
      <c r="D55" s="29">
        <v>0</v>
      </c>
      <c r="E55" s="29">
        <v>0</v>
      </c>
      <c r="F55" s="29">
        <v>0</v>
      </c>
      <c r="G55" s="29">
        <v>0</v>
      </c>
      <c r="H55" s="33">
        <f t="shared" si="5"/>
        <v>0</v>
      </c>
      <c r="I55" s="33">
        <f t="shared" si="6"/>
        <v>0</v>
      </c>
    </row>
    <row r="56" spans="2:9">
      <c r="B56" s="44" t="s">
        <v>74</v>
      </c>
      <c r="C56" s="47" t="s">
        <v>75</v>
      </c>
      <c r="D56" s="29">
        <v>0</v>
      </c>
      <c r="E56" s="29">
        <v>0</v>
      </c>
      <c r="F56" s="29">
        <v>0</v>
      </c>
      <c r="G56" s="29">
        <v>0</v>
      </c>
      <c r="H56" s="33">
        <f t="shared" si="5"/>
        <v>0</v>
      </c>
      <c r="I56" s="33">
        <f t="shared" si="6"/>
        <v>0</v>
      </c>
    </row>
    <row r="57" customHeight="1" spans="2:9">
      <c r="B57" s="18">
        <v>4</v>
      </c>
      <c r="C57" s="48" t="s">
        <v>76</v>
      </c>
      <c r="D57" s="49">
        <f>SUM(D58:D60)</f>
        <v>0</v>
      </c>
      <c r="E57" s="49">
        <f>SUM(E58:E60)</f>
        <v>0</v>
      </c>
      <c r="F57" s="49">
        <f>SUM(F58:F60)</f>
        <v>0</v>
      </c>
      <c r="G57" s="49">
        <f>SUM(G58:G60)</f>
        <v>0</v>
      </c>
      <c r="H57" s="33">
        <f t="shared" si="5"/>
        <v>0</v>
      </c>
      <c r="I57" s="33">
        <f t="shared" si="6"/>
        <v>0</v>
      </c>
    </row>
    <row r="58" customHeight="1" spans="2:9">
      <c r="B58" s="34">
        <v>4.1</v>
      </c>
      <c r="C58" s="47" t="s">
        <v>77</v>
      </c>
      <c r="D58" s="29">
        <v>0</v>
      </c>
      <c r="E58" s="29">
        <v>0</v>
      </c>
      <c r="F58" s="29">
        <v>0</v>
      </c>
      <c r="G58" s="29">
        <v>0</v>
      </c>
      <c r="H58" s="33">
        <f t="shared" si="5"/>
        <v>0</v>
      </c>
      <c r="I58" s="33">
        <f t="shared" si="6"/>
        <v>0</v>
      </c>
    </row>
    <row r="59" customHeight="1" spans="2:9">
      <c r="B59" s="34">
        <v>4.2</v>
      </c>
      <c r="C59" s="47" t="s">
        <v>78</v>
      </c>
      <c r="D59" s="29">
        <v>0</v>
      </c>
      <c r="E59" s="29">
        <v>0</v>
      </c>
      <c r="F59" s="29">
        <v>0</v>
      </c>
      <c r="G59" s="29">
        <v>0</v>
      </c>
      <c r="H59" s="33">
        <f t="shared" si="5"/>
        <v>0</v>
      </c>
      <c r="I59" s="33">
        <f t="shared" si="6"/>
        <v>0</v>
      </c>
    </row>
    <row r="60" customHeight="1" spans="2:9">
      <c r="B60" s="34">
        <v>4.3</v>
      </c>
      <c r="C60" s="47" t="s">
        <v>79</v>
      </c>
      <c r="D60" s="29">
        <v>0</v>
      </c>
      <c r="E60" s="29">
        <v>0</v>
      </c>
      <c r="F60" s="29">
        <v>0</v>
      </c>
      <c r="G60" s="29">
        <v>0</v>
      </c>
      <c r="H60" s="33">
        <f t="shared" si="5"/>
        <v>0</v>
      </c>
      <c r="I60" s="33">
        <f t="shared" si="6"/>
        <v>0</v>
      </c>
    </row>
    <row r="61" ht="22.5" customHeight="1" spans="2:9">
      <c r="B61" s="18">
        <v>5</v>
      </c>
      <c r="C61" s="48" t="s">
        <v>80</v>
      </c>
      <c r="D61" s="33">
        <f>SUM(D62:D65)</f>
        <v>0</v>
      </c>
      <c r="E61" s="33">
        <f>SUM(E62:E65)</f>
        <v>0</v>
      </c>
      <c r="F61" s="33">
        <f>SUM(F62:F65)</f>
        <v>0</v>
      </c>
      <c r="G61" s="33">
        <f>SUM(G62:G65)</f>
        <v>0</v>
      </c>
      <c r="H61" s="33">
        <f t="shared" ref="H61:H124" si="7">D61+F61</f>
        <v>0</v>
      </c>
      <c r="I61" s="33">
        <f t="shared" ref="I61:I124" si="8">E61+G61</f>
        <v>0</v>
      </c>
    </row>
    <row r="62" customHeight="1" spans="2:9">
      <c r="B62" s="50">
        <v>5.1</v>
      </c>
      <c r="C62" s="47" t="s">
        <v>81</v>
      </c>
      <c r="D62" s="29">
        <v>0</v>
      </c>
      <c r="E62" s="29">
        <v>0</v>
      </c>
      <c r="F62" s="29">
        <v>0</v>
      </c>
      <c r="G62" s="29">
        <v>0</v>
      </c>
      <c r="H62" s="33">
        <f t="shared" si="7"/>
        <v>0</v>
      </c>
      <c r="I62" s="33">
        <f t="shared" si="8"/>
        <v>0</v>
      </c>
    </row>
    <row r="63" customHeight="1" spans="2:9">
      <c r="B63" s="50">
        <v>5.2</v>
      </c>
      <c r="C63" s="51" t="s">
        <v>82</v>
      </c>
      <c r="D63" s="29">
        <v>0</v>
      </c>
      <c r="E63" s="29">
        <v>0</v>
      </c>
      <c r="F63" s="29">
        <v>0</v>
      </c>
      <c r="G63" s="29">
        <v>0</v>
      </c>
      <c r="H63" s="33">
        <f t="shared" si="7"/>
        <v>0</v>
      </c>
      <c r="I63" s="33">
        <f t="shared" si="8"/>
        <v>0</v>
      </c>
    </row>
    <row r="64" customHeight="1" spans="2:10">
      <c r="B64" s="52">
        <v>5.3</v>
      </c>
      <c r="C64" s="51" t="s">
        <v>83</v>
      </c>
      <c r="D64" s="29">
        <v>0</v>
      </c>
      <c r="E64" s="29">
        <v>0</v>
      </c>
      <c r="F64" s="29">
        <v>0</v>
      </c>
      <c r="G64" s="29">
        <v>0</v>
      </c>
      <c r="H64" s="33">
        <f t="shared" si="7"/>
        <v>0</v>
      </c>
      <c r="I64" s="33">
        <f t="shared" si="8"/>
        <v>0</v>
      </c>
      <c r="J64" s="58"/>
    </row>
    <row r="65" customHeight="1" spans="2:10">
      <c r="B65" s="52">
        <v>5.4</v>
      </c>
      <c r="C65" s="51" t="s">
        <v>84</v>
      </c>
      <c r="D65" s="29">
        <v>0</v>
      </c>
      <c r="E65" s="29">
        <v>0</v>
      </c>
      <c r="F65" s="29">
        <v>0</v>
      </c>
      <c r="G65" s="29">
        <v>0</v>
      </c>
      <c r="H65" s="33">
        <f t="shared" si="7"/>
        <v>0</v>
      </c>
      <c r="I65" s="33">
        <f t="shared" si="8"/>
        <v>0</v>
      </c>
      <c r="J65" s="58"/>
    </row>
    <row r="66" customHeight="1" spans="2:9">
      <c r="B66" s="18">
        <v>6</v>
      </c>
      <c r="C66" s="48" t="s">
        <v>85</v>
      </c>
      <c r="D66" s="33">
        <f>D67+D71</f>
        <v>0</v>
      </c>
      <c r="E66" s="33">
        <f>E67+E71</f>
        <v>0</v>
      </c>
      <c r="F66" s="33">
        <f>F67+F71</f>
        <v>0</v>
      </c>
      <c r="G66" s="33">
        <f>G67+G71</f>
        <v>0</v>
      </c>
      <c r="H66" s="33">
        <f t="shared" ref="H66:H74" si="9">D66+F66</f>
        <v>0</v>
      </c>
      <c r="I66" s="33">
        <f t="shared" ref="I66:I74" si="10">E66+G66</f>
        <v>0</v>
      </c>
    </row>
    <row r="67" customHeight="1" spans="2:9">
      <c r="B67" s="59">
        <v>6.1</v>
      </c>
      <c r="C67" s="60" t="s">
        <v>86</v>
      </c>
      <c r="D67" s="38">
        <f>SUM(D68:D70)</f>
        <v>0</v>
      </c>
      <c r="E67" s="38">
        <f>SUM(E68:E70)</f>
        <v>0</v>
      </c>
      <c r="F67" s="38">
        <f>SUM(F68:F70)</f>
        <v>0</v>
      </c>
      <c r="G67" s="38">
        <f>SUM(G68:G70)</f>
        <v>0</v>
      </c>
      <c r="H67" s="33">
        <f t="shared" si="9"/>
        <v>0</v>
      </c>
      <c r="I67" s="33">
        <f t="shared" si="10"/>
        <v>0</v>
      </c>
    </row>
    <row r="68" customHeight="1" spans="2:9">
      <c r="B68" s="34" t="s">
        <v>87</v>
      </c>
      <c r="C68" s="47" t="s">
        <v>88</v>
      </c>
      <c r="D68" s="29">
        <v>0</v>
      </c>
      <c r="E68" s="29">
        <v>0</v>
      </c>
      <c r="F68" s="29">
        <v>0</v>
      </c>
      <c r="G68" s="29">
        <v>0</v>
      </c>
      <c r="H68" s="33">
        <f t="shared" si="9"/>
        <v>0</v>
      </c>
      <c r="I68" s="33">
        <f t="shared" si="10"/>
        <v>0</v>
      </c>
    </row>
    <row r="69" customHeight="1" spans="2:9">
      <c r="B69" s="34" t="s">
        <v>89</v>
      </c>
      <c r="C69" s="47" t="s">
        <v>90</v>
      </c>
      <c r="D69" s="29">
        <v>0</v>
      </c>
      <c r="E69" s="29">
        <v>0</v>
      </c>
      <c r="F69" s="29">
        <v>0</v>
      </c>
      <c r="G69" s="29">
        <v>0</v>
      </c>
      <c r="H69" s="33">
        <f t="shared" si="9"/>
        <v>0</v>
      </c>
      <c r="I69" s="33">
        <f t="shared" si="10"/>
        <v>0</v>
      </c>
    </row>
    <row r="70" ht="23.25" customHeight="1" spans="2:9">
      <c r="B70" s="34" t="s">
        <v>91</v>
      </c>
      <c r="C70" s="47" t="s">
        <v>92</v>
      </c>
      <c r="D70" s="29">
        <v>0</v>
      </c>
      <c r="E70" s="29">
        <v>0</v>
      </c>
      <c r="F70" s="29">
        <v>0</v>
      </c>
      <c r="G70" s="29">
        <v>0</v>
      </c>
      <c r="H70" s="33">
        <f t="shared" si="9"/>
        <v>0</v>
      </c>
      <c r="I70" s="33">
        <f t="shared" si="10"/>
        <v>0</v>
      </c>
    </row>
    <row r="71" customHeight="1" spans="2:9">
      <c r="B71" s="59">
        <v>6.2</v>
      </c>
      <c r="C71" s="45" t="s">
        <v>93</v>
      </c>
      <c r="D71" s="49">
        <f>SUM(D72:D73)</f>
        <v>0</v>
      </c>
      <c r="E71" s="49">
        <f>SUM(E72:E73)</f>
        <v>0</v>
      </c>
      <c r="F71" s="49">
        <f>SUM(F72:F73)</f>
        <v>0</v>
      </c>
      <c r="G71" s="49">
        <f>SUM(G72:G73)</f>
        <v>0</v>
      </c>
      <c r="H71" s="33">
        <f t="shared" si="9"/>
        <v>0</v>
      </c>
      <c r="I71" s="33">
        <f t="shared" si="10"/>
        <v>0</v>
      </c>
    </row>
    <row r="72" customHeight="1" spans="2:9">
      <c r="B72" s="34" t="s">
        <v>94</v>
      </c>
      <c r="C72" s="47" t="s">
        <v>95</v>
      </c>
      <c r="D72" s="29">
        <v>0</v>
      </c>
      <c r="E72" s="29">
        <v>0</v>
      </c>
      <c r="F72" s="29">
        <v>0</v>
      </c>
      <c r="G72" s="29">
        <v>0</v>
      </c>
      <c r="H72" s="33">
        <f t="shared" si="9"/>
        <v>0</v>
      </c>
      <c r="I72" s="33">
        <f t="shared" si="10"/>
        <v>0</v>
      </c>
    </row>
    <row r="73" customHeight="1" spans="2:10">
      <c r="B73" s="34" t="s">
        <v>96</v>
      </c>
      <c r="C73" s="47" t="s">
        <v>97</v>
      </c>
      <c r="D73" s="29">
        <v>0</v>
      </c>
      <c r="E73" s="29">
        <v>0</v>
      </c>
      <c r="F73" s="29">
        <v>0</v>
      </c>
      <c r="G73" s="29">
        <v>0</v>
      </c>
      <c r="H73" s="33">
        <f t="shared" si="9"/>
        <v>0</v>
      </c>
      <c r="I73" s="33">
        <f t="shared" si="10"/>
        <v>0</v>
      </c>
      <c r="J73" s="78"/>
    </row>
    <row r="74" ht="22.9" customHeight="1" spans="2:9">
      <c r="B74" s="18">
        <v>7</v>
      </c>
      <c r="C74" s="61" t="s">
        <v>98</v>
      </c>
      <c r="D74" s="62">
        <f>+D75+D78+D88</f>
        <v>0</v>
      </c>
      <c r="E74" s="62">
        <f>+E75+E78+E88</f>
        <v>0</v>
      </c>
      <c r="F74" s="62">
        <f>+F75+F78+F88</f>
        <v>0</v>
      </c>
      <c r="G74" s="62">
        <f>+G75+G78+G88</f>
        <v>0</v>
      </c>
      <c r="H74" s="33">
        <f t="shared" si="9"/>
        <v>0</v>
      </c>
      <c r="I74" s="33">
        <f t="shared" si="10"/>
        <v>0</v>
      </c>
    </row>
    <row r="75" ht="21" spans="2:9">
      <c r="B75" s="63">
        <v>7.1</v>
      </c>
      <c r="C75" s="64" t="s">
        <v>99</v>
      </c>
      <c r="D75" s="65">
        <f>SUM(D76:D77)</f>
        <v>0</v>
      </c>
      <c r="E75" s="65">
        <f>SUM(E76:E77)</f>
        <v>0</v>
      </c>
      <c r="F75" s="65">
        <f>SUM(F76:F77)</f>
        <v>0</v>
      </c>
      <c r="G75" s="65">
        <f>SUM(G76:G77)</f>
        <v>0</v>
      </c>
      <c r="H75" s="33">
        <f t="shared" si="7"/>
        <v>0</v>
      </c>
      <c r="I75" s="33">
        <f t="shared" si="8"/>
        <v>0</v>
      </c>
    </row>
    <row r="76" customHeight="1" spans="2:9">
      <c r="B76" s="66" t="s">
        <v>100</v>
      </c>
      <c r="C76" s="67" t="s">
        <v>101</v>
      </c>
      <c r="D76" s="68">
        <v>0</v>
      </c>
      <c r="E76" s="68">
        <v>0</v>
      </c>
      <c r="F76" s="68">
        <v>0</v>
      </c>
      <c r="G76" s="68">
        <v>0</v>
      </c>
      <c r="H76" s="33">
        <f t="shared" si="7"/>
        <v>0</v>
      </c>
      <c r="I76" s="33">
        <f t="shared" si="8"/>
        <v>0</v>
      </c>
    </row>
    <row r="77" customHeight="1" spans="2:9">
      <c r="B77" s="66" t="s">
        <v>102</v>
      </c>
      <c r="C77" s="67" t="s">
        <v>103</v>
      </c>
      <c r="D77" s="68">
        <v>0</v>
      </c>
      <c r="E77" s="68">
        <v>0</v>
      </c>
      <c r="F77" s="68">
        <v>0</v>
      </c>
      <c r="G77" s="68">
        <v>0</v>
      </c>
      <c r="H77" s="33">
        <f t="shared" si="7"/>
        <v>0</v>
      </c>
      <c r="I77" s="33">
        <f t="shared" si="8"/>
        <v>0</v>
      </c>
    </row>
    <row r="78" spans="2:9">
      <c r="B78" s="18">
        <v>7.2</v>
      </c>
      <c r="C78" s="64" t="s">
        <v>104</v>
      </c>
      <c r="D78" s="33">
        <f>SUM(D79:D87)</f>
        <v>0</v>
      </c>
      <c r="E78" s="33">
        <f>SUM(E79:E87)</f>
        <v>0</v>
      </c>
      <c r="F78" s="33">
        <f>SUM(F79:F87)</f>
        <v>0</v>
      </c>
      <c r="G78" s="33">
        <f>SUM(G79:G87)</f>
        <v>0</v>
      </c>
      <c r="H78" s="33">
        <f t="shared" si="7"/>
        <v>0</v>
      </c>
      <c r="I78" s="33">
        <f t="shared" si="8"/>
        <v>0</v>
      </c>
    </row>
    <row r="79" ht="21.75" customHeight="1" spans="2:9">
      <c r="B79" s="34" t="s">
        <v>105</v>
      </c>
      <c r="C79" s="47" t="s">
        <v>106</v>
      </c>
      <c r="D79" s="29">
        <v>0</v>
      </c>
      <c r="E79" s="29">
        <v>0</v>
      </c>
      <c r="F79" s="29">
        <v>0</v>
      </c>
      <c r="G79" s="29">
        <v>0</v>
      </c>
      <c r="H79" s="33">
        <f t="shared" si="7"/>
        <v>0</v>
      </c>
      <c r="I79" s="33">
        <f t="shared" si="8"/>
        <v>0</v>
      </c>
    </row>
    <row r="80" customHeight="1" spans="2:9">
      <c r="B80" s="34" t="s">
        <v>107</v>
      </c>
      <c r="C80" s="69" t="s">
        <v>108</v>
      </c>
      <c r="D80" s="29">
        <v>0</v>
      </c>
      <c r="E80" s="29">
        <v>0</v>
      </c>
      <c r="F80" s="29">
        <v>0</v>
      </c>
      <c r="G80" s="29">
        <v>0</v>
      </c>
      <c r="H80" s="33">
        <f t="shared" si="7"/>
        <v>0</v>
      </c>
      <c r="I80" s="33">
        <f t="shared" si="8"/>
        <v>0</v>
      </c>
    </row>
    <row r="81" customHeight="1" spans="2:9">
      <c r="B81" s="34" t="s">
        <v>109</v>
      </c>
      <c r="C81" s="69" t="s">
        <v>110</v>
      </c>
      <c r="D81" s="29">
        <v>0</v>
      </c>
      <c r="E81" s="29">
        <v>0</v>
      </c>
      <c r="F81" s="29">
        <v>0</v>
      </c>
      <c r="G81" s="29">
        <v>0</v>
      </c>
      <c r="H81" s="33">
        <f t="shared" si="7"/>
        <v>0</v>
      </c>
      <c r="I81" s="33">
        <f t="shared" si="8"/>
        <v>0</v>
      </c>
    </row>
    <row r="82" customHeight="1" spans="2:9">
      <c r="B82" s="34" t="s">
        <v>111</v>
      </c>
      <c r="C82" s="47" t="s">
        <v>112</v>
      </c>
      <c r="D82" s="29">
        <v>0</v>
      </c>
      <c r="E82" s="29">
        <v>0</v>
      </c>
      <c r="F82" s="29">
        <v>0</v>
      </c>
      <c r="G82" s="29">
        <v>0</v>
      </c>
      <c r="H82" s="33">
        <f t="shared" si="7"/>
        <v>0</v>
      </c>
      <c r="I82" s="33">
        <f t="shared" si="8"/>
        <v>0</v>
      </c>
    </row>
    <row r="83" customHeight="1" spans="2:9">
      <c r="B83" s="34" t="s">
        <v>113</v>
      </c>
      <c r="C83" s="47" t="s">
        <v>114</v>
      </c>
      <c r="D83" s="29">
        <v>0</v>
      </c>
      <c r="E83" s="29">
        <v>0</v>
      </c>
      <c r="F83" s="29">
        <v>0</v>
      </c>
      <c r="G83" s="29">
        <v>0</v>
      </c>
      <c r="H83" s="33">
        <f t="shared" si="7"/>
        <v>0</v>
      </c>
      <c r="I83" s="33">
        <f t="shared" si="8"/>
        <v>0</v>
      </c>
    </row>
    <row r="84" customHeight="1" spans="2:9">
      <c r="B84" s="34" t="s">
        <v>115</v>
      </c>
      <c r="C84" s="47" t="s">
        <v>116</v>
      </c>
      <c r="D84" s="29">
        <v>0</v>
      </c>
      <c r="E84" s="29">
        <v>0</v>
      </c>
      <c r="F84" s="29">
        <v>0</v>
      </c>
      <c r="G84" s="29">
        <v>0</v>
      </c>
      <c r="H84" s="33">
        <f t="shared" si="7"/>
        <v>0</v>
      </c>
      <c r="I84" s="33">
        <f t="shared" si="8"/>
        <v>0</v>
      </c>
    </row>
    <row r="85" customHeight="1" spans="2:9">
      <c r="B85" s="34" t="s">
        <v>117</v>
      </c>
      <c r="C85" s="47" t="s">
        <v>118</v>
      </c>
      <c r="D85" s="29">
        <v>0</v>
      </c>
      <c r="E85" s="29">
        <v>0</v>
      </c>
      <c r="F85" s="29">
        <v>0</v>
      </c>
      <c r="G85" s="29">
        <v>0</v>
      </c>
      <c r="H85" s="33">
        <f t="shared" si="7"/>
        <v>0</v>
      </c>
      <c r="I85" s="33">
        <f t="shared" si="8"/>
        <v>0</v>
      </c>
    </row>
    <row r="86" customHeight="1" spans="2:9">
      <c r="B86" s="34" t="s">
        <v>119</v>
      </c>
      <c r="C86" s="69" t="s">
        <v>120</v>
      </c>
      <c r="D86" s="29">
        <v>0</v>
      </c>
      <c r="E86" s="29">
        <v>0</v>
      </c>
      <c r="F86" s="29">
        <v>0</v>
      </c>
      <c r="G86" s="29">
        <v>0</v>
      </c>
      <c r="H86" s="33">
        <f t="shared" si="7"/>
        <v>0</v>
      </c>
      <c r="I86" s="33">
        <f t="shared" si="8"/>
        <v>0</v>
      </c>
    </row>
    <row r="87" customHeight="1" spans="2:9">
      <c r="B87" s="34" t="s">
        <v>121</v>
      </c>
      <c r="C87" s="69" t="s">
        <v>122</v>
      </c>
      <c r="D87" s="29">
        <v>0</v>
      </c>
      <c r="E87" s="29">
        <v>0</v>
      </c>
      <c r="F87" s="29">
        <v>0</v>
      </c>
      <c r="G87" s="29">
        <v>0</v>
      </c>
      <c r="H87" s="33">
        <f t="shared" si="7"/>
        <v>0</v>
      </c>
      <c r="I87" s="33">
        <f t="shared" si="8"/>
        <v>0</v>
      </c>
    </row>
    <row r="88" spans="2:9">
      <c r="B88" s="18">
        <v>7.3</v>
      </c>
      <c r="C88" s="64" t="s">
        <v>123</v>
      </c>
      <c r="D88" s="33">
        <f>SUM(D89:D95)</f>
        <v>0</v>
      </c>
      <c r="E88" s="33">
        <f>SUM(E89:E95)</f>
        <v>0</v>
      </c>
      <c r="F88" s="33">
        <f>SUM(F89:F95)</f>
        <v>0</v>
      </c>
      <c r="G88" s="33">
        <f>SUM(G89:G95)</f>
        <v>0</v>
      </c>
      <c r="H88" s="33">
        <f t="shared" si="7"/>
        <v>0</v>
      </c>
      <c r="I88" s="33">
        <f t="shared" si="8"/>
        <v>0</v>
      </c>
    </row>
    <row r="89" customHeight="1" spans="2:9">
      <c r="B89" s="70" t="s">
        <v>124</v>
      </c>
      <c r="C89" s="67" t="s">
        <v>125</v>
      </c>
      <c r="D89" s="29">
        <v>0</v>
      </c>
      <c r="E89" s="29">
        <v>0</v>
      </c>
      <c r="F89" s="29">
        <v>0</v>
      </c>
      <c r="G89" s="29">
        <v>0</v>
      </c>
      <c r="H89" s="33">
        <f t="shared" si="7"/>
        <v>0</v>
      </c>
      <c r="I89" s="33">
        <f t="shared" si="8"/>
        <v>0</v>
      </c>
    </row>
    <row r="90" customHeight="1" spans="2:9">
      <c r="B90" s="70" t="s">
        <v>126</v>
      </c>
      <c r="C90" s="67" t="s">
        <v>127</v>
      </c>
      <c r="D90" s="29">
        <v>0</v>
      </c>
      <c r="E90" s="29">
        <v>0</v>
      </c>
      <c r="F90" s="29">
        <v>0</v>
      </c>
      <c r="G90" s="29">
        <v>0</v>
      </c>
      <c r="H90" s="33">
        <f t="shared" si="7"/>
        <v>0</v>
      </c>
      <c r="I90" s="33">
        <f t="shared" si="8"/>
        <v>0</v>
      </c>
    </row>
    <row r="91" ht="21" customHeight="1" spans="2:9">
      <c r="B91" s="70" t="s">
        <v>128</v>
      </c>
      <c r="C91" s="67" t="s">
        <v>129</v>
      </c>
      <c r="D91" s="29">
        <v>0</v>
      </c>
      <c r="E91" s="29">
        <v>0</v>
      </c>
      <c r="F91" s="29">
        <v>0</v>
      </c>
      <c r="G91" s="29">
        <v>0</v>
      </c>
      <c r="H91" s="33">
        <f t="shared" si="7"/>
        <v>0</v>
      </c>
      <c r="I91" s="33">
        <f t="shared" si="8"/>
        <v>0</v>
      </c>
    </row>
    <row r="92" customHeight="1" spans="2:9">
      <c r="B92" s="70" t="s">
        <v>130</v>
      </c>
      <c r="C92" s="67" t="s">
        <v>131</v>
      </c>
      <c r="D92" s="29">
        <v>0</v>
      </c>
      <c r="E92" s="29">
        <v>0</v>
      </c>
      <c r="F92" s="29">
        <v>0</v>
      </c>
      <c r="G92" s="29">
        <v>0</v>
      </c>
      <c r="H92" s="33">
        <f t="shared" si="7"/>
        <v>0</v>
      </c>
      <c r="I92" s="33">
        <f t="shared" si="8"/>
        <v>0</v>
      </c>
    </row>
    <row r="93" customHeight="1" spans="2:9">
      <c r="B93" s="70" t="s">
        <v>132</v>
      </c>
      <c r="C93" s="67" t="s">
        <v>133</v>
      </c>
      <c r="D93" s="29">
        <v>0</v>
      </c>
      <c r="E93" s="29">
        <v>0</v>
      </c>
      <c r="F93" s="29">
        <v>0</v>
      </c>
      <c r="G93" s="29">
        <v>0</v>
      </c>
      <c r="H93" s="33">
        <f t="shared" si="7"/>
        <v>0</v>
      </c>
      <c r="I93" s="33">
        <f t="shared" si="8"/>
        <v>0</v>
      </c>
    </row>
    <row r="94" customHeight="1" spans="2:9">
      <c r="B94" s="70" t="s">
        <v>134</v>
      </c>
      <c r="C94" s="67" t="s">
        <v>135</v>
      </c>
      <c r="D94" s="29">
        <v>0</v>
      </c>
      <c r="E94" s="29">
        <v>0</v>
      </c>
      <c r="F94" s="29">
        <v>0</v>
      </c>
      <c r="G94" s="29">
        <v>0</v>
      </c>
      <c r="H94" s="33">
        <f t="shared" si="7"/>
        <v>0</v>
      </c>
      <c r="I94" s="33">
        <f t="shared" si="8"/>
        <v>0</v>
      </c>
    </row>
    <row r="95" ht="14.45" customHeight="1" spans="2:9">
      <c r="B95" s="70" t="s">
        <v>136</v>
      </c>
      <c r="C95" s="67" t="s">
        <v>137</v>
      </c>
      <c r="D95" s="29">
        <v>0</v>
      </c>
      <c r="E95" s="29">
        <v>0</v>
      </c>
      <c r="F95" s="29">
        <v>0</v>
      </c>
      <c r="G95" s="29">
        <v>0</v>
      </c>
      <c r="H95" s="33">
        <f t="shared" si="7"/>
        <v>0</v>
      </c>
      <c r="I95" s="33">
        <f t="shared" si="8"/>
        <v>0</v>
      </c>
    </row>
    <row r="96" spans="2:9">
      <c r="B96" s="18">
        <v>8</v>
      </c>
      <c r="C96" s="71" t="s">
        <v>138</v>
      </c>
      <c r="D96" s="18">
        <f>+D97+D100+D101+D102+D104</f>
        <v>0</v>
      </c>
      <c r="E96" s="18">
        <f>+E97+E100+E101+E102+E104</f>
        <v>0</v>
      </c>
      <c r="F96" s="18">
        <f>+F97+F100+F101+F102+F104</f>
        <v>0</v>
      </c>
      <c r="G96" s="18">
        <f>+G97+G100+G101+G102+G104</f>
        <v>0</v>
      </c>
      <c r="H96" s="33">
        <f t="shared" si="7"/>
        <v>0</v>
      </c>
      <c r="I96" s="33">
        <f t="shared" si="8"/>
        <v>0</v>
      </c>
    </row>
    <row r="97" spans="2:9">
      <c r="B97" s="18">
        <v>8.1</v>
      </c>
      <c r="C97" s="45" t="s">
        <v>139</v>
      </c>
      <c r="D97" s="33">
        <f>SUM(D98:D99)</f>
        <v>0</v>
      </c>
      <c r="E97" s="33">
        <f>SUM(E98:E99)</f>
        <v>0</v>
      </c>
      <c r="F97" s="33">
        <f>SUM(F98:F99)</f>
        <v>0</v>
      </c>
      <c r="G97" s="33">
        <f>SUM(G98:G99)</f>
        <v>0</v>
      </c>
      <c r="H97" s="33">
        <f t="shared" si="7"/>
        <v>0</v>
      </c>
      <c r="I97" s="33">
        <f t="shared" si="8"/>
        <v>0</v>
      </c>
    </row>
    <row r="98" customHeight="1" spans="2:9">
      <c r="B98" s="72" t="s">
        <v>140</v>
      </c>
      <c r="C98" s="47" t="s">
        <v>141</v>
      </c>
      <c r="D98" s="29">
        <v>0</v>
      </c>
      <c r="E98" s="29">
        <v>0</v>
      </c>
      <c r="F98" s="29">
        <v>0</v>
      </c>
      <c r="G98" s="29">
        <v>0</v>
      </c>
      <c r="H98" s="33">
        <f t="shared" si="7"/>
        <v>0</v>
      </c>
      <c r="I98" s="33">
        <f t="shared" si="8"/>
        <v>0</v>
      </c>
    </row>
    <row r="99" customHeight="1" spans="2:9">
      <c r="B99" s="70" t="s">
        <v>142</v>
      </c>
      <c r="C99" s="51" t="s">
        <v>143</v>
      </c>
      <c r="D99" s="29">
        <v>0</v>
      </c>
      <c r="E99" s="29">
        <v>0</v>
      </c>
      <c r="F99" s="29">
        <v>0</v>
      </c>
      <c r="G99" s="29">
        <v>0</v>
      </c>
      <c r="H99" s="33">
        <f t="shared" si="7"/>
        <v>0</v>
      </c>
      <c r="I99" s="33">
        <f t="shared" si="8"/>
        <v>0</v>
      </c>
    </row>
    <row r="100" customHeight="1" spans="2:10">
      <c r="B100" s="70">
        <v>8.2</v>
      </c>
      <c r="C100" s="73" t="s">
        <v>144</v>
      </c>
      <c r="D100" s="29">
        <v>0</v>
      </c>
      <c r="E100" s="29">
        <v>0</v>
      </c>
      <c r="F100" s="29">
        <v>0</v>
      </c>
      <c r="G100" s="29">
        <v>0</v>
      </c>
      <c r="H100" s="33">
        <f t="shared" si="7"/>
        <v>0</v>
      </c>
      <c r="I100" s="33">
        <f t="shared" si="8"/>
        <v>0</v>
      </c>
      <c r="J100" s="78"/>
    </row>
    <row r="101" customHeight="1" spans="2:10">
      <c r="B101" s="70">
        <v>8.3</v>
      </c>
      <c r="C101" s="73" t="s">
        <v>145</v>
      </c>
      <c r="D101" s="29">
        <v>0</v>
      </c>
      <c r="E101" s="29">
        <v>0</v>
      </c>
      <c r="F101" s="29">
        <v>0</v>
      </c>
      <c r="G101" s="29">
        <v>0</v>
      </c>
      <c r="H101" s="33">
        <f t="shared" si="7"/>
        <v>0</v>
      </c>
      <c r="I101" s="33">
        <f t="shared" si="8"/>
        <v>0</v>
      </c>
      <c r="J101" s="78"/>
    </row>
    <row r="102" customHeight="1" spans="2:9">
      <c r="B102" s="18">
        <v>8.4</v>
      </c>
      <c r="C102" s="45" t="s">
        <v>146</v>
      </c>
      <c r="D102" s="33">
        <f>D103</f>
        <v>0</v>
      </c>
      <c r="E102" s="33">
        <f>E103</f>
        <v>0</v>
      </c>
      <c r="F102" s="33">
        <f>F103</f>
        <v>0</v>
      </c>
      <c r="G102" s="33">
        <f>G103</f>
        <v>0</v>
      </c>
      <c r="H102" s="33">
        <f t="shared" si="7"/>
        <v>0</v>
      </c>
      <c r="I102" s="33">
        <f t="shared" si="8"/>
        <v>0</v>
      </c>
    </row>
    <row r="103" customHeight="1" spans="2:9">
      <c r="B103" s="34" t="s">
        <v>147</v>
      </c>
      <c r="C103" s="47" t="s">
        <v>148</v>
      </c>
      <c r="D103" s="29">
        <v>0</v>
      </c>
      <c r="E103" s="29">
        <v>0</v>
      </c>
      <c r="F103" s="29">
        <v>0</v>
      </c>
      <c r="G103" s="29">
        <v>0</v>
      </c>
      <c r="H103" s="33">
        <f t="shared" si="7"/>
        <v>0</v>
      </c>
      <c r="I103" s="33">
        <f t="shared" si="8"/>
        <v>0</v>
      </c>
    </row>
    <row r="104" customHeight="1" spans="2:9">
      <c r="B104" s="18">
        <v>8.5</v>
      </c>
      <c r="C104" s="45" t="s">
        <v>149</v>
      </c>
      <c r="D104" s="49">
        <f>+D105</f>
        <v>0</v>
      </c>
      <c r="E104" s="49">
        <f>+E105</f>
        <v>0</v>
      </c>
      <c r="F104" s="49">
        <f>+F105</f>
        <v>0</v>
      </c>
      <c r="G104" s="49">
        <f>+G105</f>
        <v>0</v>
      </c>
      <c r="H104" s="33">
        <f t="shared" si="7"/>
        <v>0</v>
      </c>
      <c r="I104" s="33">
        <f t="shared" si="8"/>
        <v>0</v>
      </c>
    </row>
    <row r="105" customHeight="1" spans="2:9">
      <c r="B105" s="34" t="s">
        <v>150</v>
      </c>
      <c r="C105" s="47" t="s">
        <v>149</v>
      </c>
      <c r="D105" s="29">
        <v>0</v>
      </c>
      <c r="E105" s="29">
        <v>0</v>
      </c>
      <c r="F105" s="29">
        <v>0</v>
      </c>
      <c r="G105" s="29">
        <v>0</v>
      </c>
      <c r="H105" s="33">
        <f t="shared" si="7"/>
        <v>0</v>
      </c>
      <c r="I105" s="33">
        <f t="shared" si="8"/>
        <v>0</v>
      </c>
    </row>
    <row r="106" customHeight="1" spans="2:10">
      <c r="B106" s="32">
        <v>9</v>
      </c>
      <c r="C106" s="48" t="s">
        <v>151</v>
      </c>
      <c r="D106" s="49">
        <f>SUM(D107:D108)</f>
        <v>0</v>
      </c>
      <c r="E106" s="49">
        <f>SUM(E107:E108)</f>
        <v>0</v>
      </c>
      <c r="F106" s="49">
        <f>SUM(F107:F108)</f>
        <v>0</v>
      </c>
      <c r="G106" s="49">
        <f>SUM(G107:G108)</f>
        <v>0</v>
      </c>
      <c r="H106" s="33">
        <f t="shared" si="7"/>
        <v>0</v>
      </c>
      <c r="I106" s="33">
        <f t="shared" si="8"/>
        <v>0</v>
      </c>
      <c r="J106" s="78"/>
    </row>
    <row r="107" customHeight="1" spans="2:10">
      <c r="B107" s="70">
        <v>9.1</v>
      </c>
      <c r="C107" s="74" t="s">
        <v>152</v>
      </c>
      <c r="D107" s="29">
        <v>0</v>
      </c>
      <c r="E107" s="29">
        <v>0</v>
      </c>
      <c r="F107" s="29">
        <v>0</v>
      </c>
      <c r="G107" s="29">
        <v>0</v>
      </c>
      <c r="H107" s="33">
        <f t="shared" si="7"/>
        <v>0</v>
      </c>
      <c r="I107" s="33">
        <f t="shared" si="8"/>
        <v>0</v>
      </c>
      <c r="J107" s="79"/>
    </row>
    <row r="108" customHeight="1" spans="2:9">
      <c r="B108" s="70">
        <v>9.2</v>
      </c>
      <c r="C108" s="69" t="s">
        <v>153</v>
      </c>
      <c r="D108" s="29">
        <v>0</v>
      </c>
      <c r="E108" s="29">
        <v>0</v>
      </c>
      <c r="F108" s="29">
        <v>0</v>
      </c>
      <c r="G108" s="29">
        <v>0</v>
      </c>
      <c r="H108" s="33">
        <f t="shared" si="7"/>
        <v>0</v>
      </c>
      <c r="I108" s="33">
        <f t="shared" si="8"/>
        <v>0</v>
      </c>
    </row>
    <row r="109" customHeight="1" spans="2:9">
      <c r="B109" s="59">
        <v>10</v>
      </c>
      <c r="C109" s="48" t="s">
        <v>154</v>
      </c>
      <c r="D109" s="33">
        <f>SUM(D110:D115)</f>
        <v>0</v>
      </c>
      <c r="E109" s="33">
        <f>SUM(E110:E115)</f>
        <v>0</v>
      </c>
      <c r="F109" s="33">
        <f>SUM(F110:F115)</f>
        <v>0</v>
      </c>
      <c r="G109" s="33">
        <f>SUM(G110:G115)</f>
        <v>0</v>
      </c>
      <c r="H109" s="33">
        <f t="shared" si="7"/>
        <v>0</v>
      </c>
      <c r="I109" s="33">
        <f t="shared" si="8"/>
        <v>0</v>
      </c>
    </row>
    <row r="110" customHeight="1" spans="2:9">
      <c r="B110" s="50">
        <v>10.1</v>
      </c>
      <c r="C110" s="51" t="s">
        <v>155</v>
      </c>
      <c r="D110" s="29">
        <v>0</v>
      </c>
      <c r="E110" s="29">
        <v>0</v>
      </c>
      <c r="F110" s="29">
        <v>0</v>
      </c>
      <c r="G110" s="29">
        <v>0</v>
      </c>
      <c r="H110" s="33">
        <f t="shared" si="7"/>
        <v>0</v>
      </c>
      <c r="I110" s="33">
        <f t="shared" si="8"/>
        <v>0</v>
      </c>
    </row>
    <row r="111" ht="24.6" customHeight="1" spans="2:9">
      <c r="B111" s="34">
        <v>10.2</v>
      </c>
      <c r="C111" s="69" t="s">
        <v>156</v>
      </c>
      <c r="D111" s="29">
        <v>0</v>
      </c>
      <c r="E111" s="29">
        <v>0</v>
      </c>
      <c r="F111" s="29">
        <v>0</v>
      </c>
      <c r="G111" s="29">
        <v>0</v>
      </c>
      <c r="H111" s="33">
        <f t="shared" si="7"/>
        <v>0</v>
      </c>
      <c r="I111" s="33">
        <f t="shared" si="8"/>
        <v>0</v>
      </c>
    </row>
    <row r="112" ht="17.45" customHeight="1" spans="2:9">
      <c r="B112" s="50">
        <v>10.3</v>
      </c>
      <c r="C112" s="69" t="s">
        <v>157</v>
      </c>
      <c r="D112" s="29">
        <v>0</v>
      </c>
      <c r="E112" s="29">
        <v>0</v>
      </c>
      <c r="F112" s="29">
        <v>0</v>
      </c>
      <c r="G112" s="29">
        <v>0</v>
      </c>
      <c r="H112" s="33">
        <f t="shared" si="7"/>
        <v>0</v>
      </c>
      <c r="I112" s="33">
        <f t="shared" si="8"/>
        <v>0</v>
      </c>
    </row>
    <row r="113" ht="15" customHeight="1" spans="2:9">
      <c r="B113" s="34">
        <v>10.4</v>
      </c>
      <c r="C113" s="69" t="s">
        <v>158</v>
      </c>
      <c r="D113" s="29">
        <v>0</v>
      </c>
      <c r="E113" s="29">
        <v>0</v>
      </c>
      <c r="F113" s="29">
        <v>0</v>
      </c>
      <c r="G113" s="29">
        <v>0</v>
      </c>
      <c r="H113" s="33">
        <f t="shared" si="7"/>
        <v>0</v>
      </c>
      <c r="I113" s="33">
        <f t="shared" si="8"/>
        <v>0</v>
      </c>
    </row>
    <row r="114" ht="15.6" customHeight="1" spans="2:9">
      <c r="B114" s="50">
        <v>10.5</v>
      </c>
      <c r="C114" s="69" t="s">
        <v>159</v>
      </c>
      <c r="D114" s="29">
        <v>0</v>
      </c>
      <c r="E114" s="29">
        <v>0</v>
      </c>
      <c r="F114" s="29">
        <v>0</v>
      </c>
      <c r="G114" s="29">
        <v>0</v>
      </c>
      <c r="H114" s="33">
        <f t="shared" si="7"/>
        <v>0</v>
      </c>
      <c r="I114" s="33">
        <f t="shared" si="8"/>
        <v>0</v>
      </c>
    </row>
    <row r="115" customHeight="1" spans="2:9">
      <c r="B115" s="34">
        <v>10.6</v>
      </c>
      <c r="C115" s="51" t="s">
        <v>160</v>
      </c>
      <c r="D115" s="29">
        <v>0</v>
      </c>
      <c r="E115" s="29">
        <v>0</v>
      </c>
      <c r="F115" s="29">
        <v>0</v>
      </c>
      <c r="G115" s="29">
        <v>0</v>
      </c>
      <c r="H115" s="33">
        <f t="shared" si="7"/>
        <v>0</v>
      </c>
      <c r="I115" s="33">
        <f t="shared" si="8"/>
        <v>0</v>
      </c>
    </row>
    <row r="116" customHeight="1" spans="2:9">
      <c r="B116" s="18">
        <v>11</v>
      </c>
      <c r="C116" s="48" t="s">
        <v>161</v>
      </c>
      <c r="D116" s="33">
        <f>+D117+D128</f>
        <v>0</v>
      </c>
      <c r="E116" s="33">
        <f>+E117+E128</f>
        <v>0</v>
      </c>
      <c r="F116" s="33">
        <f>+F117+F128</f>
        <v>0</v>
      </c>
      <c r="G116" s="33">
        <f>+G117+G128</f>
        <v>0</v>
      </c>
      <c r="H116" s="33">
        <f t="shared" si="7"/>
        <v>0</v>
      </c>
      <c r="I116" s="33">
        <f t="shared" si="8"/>
        <v>0</v>
      </c>
    </row>
    <row r="117" spans="2:10">
      <c r="B117" s="59">
        <v>11.1</v>
      </c>
      <c r="C117" s="45" t="s">
        <v>162</v>
      </c>
      <c r="D117" s="75">
        <f>+D118+D119+D120+D123+D124+D125+D126+D127</f>
        <v>0</v>
      </c>
      <c r="E117" s="75">
        <f>+E118+E119+E120+E123+E124+E125+E126+E127</f>
        <v>0</v>
      </c>
      <c r="F117" s="75">
        <f>+F118+F119+F120+F123+F124+F125+F126+F127</f>
        <v>0</v>
      </c>
      <c r="G117" s="75">
        <f>+G118+G119+G120+G123+G124+G125+G126+G127</f>
        <v>0</v>
      </c>
      <c r="H117" s="33">
        <f t="shared" si="7"/>
        <v>0</v>
      </c>
      <c r="I117" s="33">
        <f t="shared" si="8"/>
        <v>0</v>
      </c>
      <c r="J117" s="79"/>
    </row>
    <row r="118" customHeight="1" spans="2:10">
      <c r="B118" s="30" t="s">
        <v>163</v>
      </c>
      <c r="C118" s="69" t="s">
        <v>164</v>
      </c>
      <c r="D118" s="29">
        <v>0</v>
      </c>
      <c r="E118" s="29">
        <v>0</v>
      </c>
      <c r="F118" s="29">
        <v>0</v>
      </c>
      <c r="G118" s="29">
        <v>0</v>
      </c>
      <c r="H118" s="33">
        <f t="shared" si="7"/>
        <v>0</v>
      </c>
      <c r="I118" s="33">
        <f t="shared" si="8"/>
        <v>0</v>
      </c>
      <c r="J118" s="79"/>
    </row>
    <row r="119" spans="2:10">
      <c r="B119" s="30" t="s">
        <v>165</v>
      </c>
      <c r="C119" s="69" t="s">
        <v>166</v>
      </c>
      <c r="D119" s="29">
        <v>0</v>
      </c>
      <c r="E119" s="29">
        <v>0</v>
      </c>
      <c r="F119" s="29">
        <v>0</v>
      </c>
      <c r="G119" s="29">
        <v>0</v>
      </c>
      <c r="H119" s="33">
        <f t="shared" si="7"/>
        <v>0</v>
      </c>
      <c r="I119" s="33">
        <f t="shared" si="8"/>
        <v>0</v>
      </c>
      <c r="J119" s="79"/>
    </row>
    <row r="120" customHeight="1" spans="2:10">
      <c r="B120" s="59" t="s">
        <v>167</v>
      </c>
      <c r="C120" s="76" t="s">
        <v>168</v>
      </c>
      <c r="D120" s="75">
        <f>+D121+D122</f>
        <v>0</v>
      </c>
      <c r="E120" s="75">
        <f>+E121+E122</f>
        <v>0</v>
      </c>
      <c r="F120" s="75">
        <f>+F121+F122</f>
        <v>0</v>
      </c>
      <c r="G120" s="75">
        <f>+G121+G122</f>
        <v>0</v>
      </c>
      <c r="H120" s="33">
        <f t="shared" si="7"/>
        <v>0</v>
      </c>
      <c r="I120" s="33">
        <f t="shared" si="8"/>
        <v>0</v>
      </c>
      <c r="J120" s="79"/>
    </row>
    <row r="121" customHeight="1" spans="2:10">
      <c r="B121" s="77" t="s">
        <v>169</v>
      </c>
      <c r="C121" s="69" t="s">
        <v>170</v>
      </c>
      <c r="D121" s="29">
        <v>0</v>
      </c>
      <c r="E121" s="29">
        <v>0</v>
      </c>
      <c r="F121" s="29">
        <v>0</v>
      </c>
      <c r="G121" s="29">
        <v>0</v>
      </c>
      <c r="H121" s="33">
        <f t="shared" si="7"/>
        <v>0</v>
      </c>
      <c r="I121" s="33">
        <f t="shared" si="8"/>
        <v>0</v>
      </c>
      <c r="J121" s="79"/>
    </row>
    <row r="122" customHeight="1" spans="2:10">
      <c r="B122" s="77" t="s">
        <v>171</v>
      </c>
      <c r="C122" s="69" t="s">
        <v>172</v>
      </c>
      <c r="D122" s="29">
        <v>0</v>
      </c>
      <c r="E122" s="29">
        <v>0</v>
      </c>
      <c r="F122" s="29">
        <v>0</v>
      </c>
      <c r="G122" s="29">
        <v>0</v>
      </c>
      <c r="H122" s="33">
        <f t="shared" si="7"/>
        <v>0</v>
      </c>
      <c r="I122" s="33">
        <f t="shared" si="8"/>
        <v>0</v>
      </c>
      <c r="J122" s="79"/>
    </row>
    <row r="123" customHeight="1" spans="2:10">
      <c r="B123" s="77" t="s">
        <v>173</v>
      </c>
      <c r="C123" s="69" t="s">
        <v>174</v>
      </c>
      <c r="D123" s="29">
        <v>0</v>
      </c>
      <c r="E123" s="29">
        <v>0</v>
      </c>
      <c r="F123" s="29">
        <v>0</v>
      </c>
      <c r="G123" s="29">
        <v>0</v>
      </c>
      <c r="H123" s="33">
        <f t="shared" si="7"/>
        <v>0</v>
      </c>
      <c r="I123" s="33">
        <f t="shared" si="8"/>
        <v>0</v>
      </c>
      <c r="J123" s="79"/>
    </row>
    <row r="124" customHeight="1" spans="2:10">
      <c r="B124" s="77" t="s">
        <v>175</v>
      </c>
      <c r="C124" s="69" t="s">
        <v>176</v>
      </c>
      <c r="D124" s="29">
        <v>0</v>
      </c>
      <c r="E124" s="29">
        <v>0</v>
      </c>
      <c r="F124" s="29">
        <v>0</v>
      </c>
      <c r="G124" s="29">
        <v>0</v>
      </c>
      <c r="H124" s="33">
        <f t="shared" si="7"/>
        <v>0</v>
      </c>
      <c r="I124" s="33">
        <f t="shared" si="8"/>
        <v>0</v>
      </c>
      <c r="J124" s="79"/>
    </row>
    <row r="125" customHeight="1" spans="2:10">
      <c r="B125" s="30" t="s">
        <v>177</v>
      </c>
      <c r="C125" s="69" t="s">
        <v>178</v>
      </c>
      <c r="D125" s="29">
        <v>0</v>
      </c>
      <c r="E125" s="29">
        <v>0</v>
      </c>
      <c r="F125" s="29">
        <v>0</v>
      </c>
      <c r="G125" s="29">
        <v>0</v>
      </c>
      <c r="H125" s="33">
        <f t="shared" ref="H125:H151" si="11">D125+F125</f>
        <v>0</v>
      </c>
      <c r="I125" s="33">
        <f t="shared" ref="I125:I151" si="12">E125+G125</f>
        <v>0</v>
      </c>
      <c r="J125" s="79"/>
    </row>
    <row r="126" customHeight="1" spans="2:9">
      <c r="B126" s="30" t="s">
        <v>179</v>
      </c>
      <c r="C126" s="69" t="s">
        <v>180</v>
      </c>
      <c r="D126" s="29">
        <v>0</v>
      </c>
      <c r="E126" s="29">
        <v>0</v>
      </c>
      <c r="F126" s="29">
        <v>0</v>
      </c>
      <c r="G126" s="29">
        <v>0</v>
      </c>
      <c r="H126" s="33">
        <f t="shared" si="11"/>
        <v>0</v>
      </c>
      <c r="I126" s="33">
        <f t="shared" si="12"/>
        <v>0</v>
      </c>
    </row>
    <row r="127" customHeight="1" spans="2:9">
      <c r="B127" s="30" t="s">
        <v>181</v>
      </c>
      <c r="C127" s="51" t="s">
        <v>182</v>
      </c>
      <c r="D127" s="29">
        <v>0</v>
      </c>
      <c r="E127" s="29">
        <v>0</v>
      </c>
      <c r="F127" s="29">
        <v>0</v>
      </c>
      <c r="G127" s="29">
        <v>0</v>
      </c>
      <c r="H127" s="33">
        <f t="shared" si="11"/>
        <v>0</v>
      </c>
      <c r="I127" s="33">
        <f t="shared" si="12"/>
        <v>0</v>
      </c>
    </row>
    <row r="128" spans="2:9">
      <c r="B128" s="59">
        <v>11.2</v>
      </c>
      <c r="C128" s="45" t="s">
        <v>183</v>
      </c>
      <c r="D128" s="49">
        <f>SUM(D129:D130)</f>
        <v>0</v>
      </c>
      <c r="E128" s="49">
        <f>SUM(E129:E130)</f>
        <v>0</v>
      </c>
      <c r="F128" s="49">
        <f>SUM(F129:F130)</f>
        <v>0</v>
      </c>
      <c r="G128" s="49">
        <f>SUM(G129:G130)</f>
        <v>0</v>
      </c>
      <c r="H128" s="33">
        <f t="shared" si="11"/>
        <v>0</v>
      </c>
      <c r="I128" s="33">
        <f t="shared" si="12"/>
        <v>0</v>
      </c>
    </row>
    <row r="129" customHeight="1" spans="2:9">
      <c r="B129" s="34" t="s">
        <v>184</v>
      </c>
      <c r="C129" s="47" t="s">
        <v>185</v>
      </c>
      <c r="D129" s="29">
        <v>0</v>
      </c>
      <c r="E129" s="29">
        <v>0</v>
      </c>
      <c r="F129" s="29">
        <v>0</v>
      </c>
      <c r="G129" s="29">
        <v>0</v>
      </c>
      <c r="H129" s="33">
        <f t="shared" si="11"/>
        <v>0</v>
      </c>
      <c r="I129" s="33">
        <f t="shared" si="12"/>
        <v>0</v>
      </c>
    </row>
    <row r="130" customHeight="1" spans="2:9">
      <c r="B130" s="34" t="s">
        <v>186</v>
      </c>
      <c r="C130" s="51" t="s">
        <v>187</v>
      </c>
      <c r="D130" s="29">
        <v>0</v>
      </c>
      <c r="E130" s="29">
        <v>0</v>
      </c>
      <c r="F130" s="29">
        <v>0</v>
      </c>
      <c r="G130" s="29">
        <v>0</v>
      </c>
      <c r="H130" s="33">
        <f t="shared" si="11"/>
        <v>0</v>
      </c>
      <c r="I130" s="33">
        <f t="shared" si="12"/>
        <v>0</v>
      </c>
    </row>
    <row r="131" ht="16.5" customHeight="1" spans="2:10">
      <c r="B131" s="50">
        <v>12</v>
      </c>
      <c r="C131" s="80" t="s">
        <v>188</v>
      </c>
      <c r="D131" s="29">
        <v>0</v>
      </c>
      <c r="E131" s="29">
        <v>0</v>
      </c>
      <c r="F131" s="29">
        <v>0</v>
      </c>
      <c r="G131" s="29">
        <v>0</v>
      </c>
      <c r="H131" s="33">
        <f t="shared" si="11"/>
        <v>0</v>
      </c>
      <c r="I131" s="33">
        <f t="shared" si="12"/>
        <v>0</v>
      </c>
      <c r="J131" s="79"/>
    </row>
    <row r="132" ht="15" customHeight="1" spans="2:9">
      <c r="B132" s="50">
        <v>13</v>
      </c>
      <c r="C132" s="80" t="s">
        <v>189</v>
      </c>
      <c r="D132" s="29">
        <v>0</v>
      </c>
      <c r="E132" s="29">
        <v>0</v>
      </c>
      <c r="F132" s="29">
        <v>0</v>
      </c>
      <c r="G132" s="29">
        <v>0</v>
      </c>
      <c r="H132" s="33">
        <f t="shared" si="11"/>
        <v>0</v>
      </c>
      <c r="I132" s="33">
        <f t="shared" si="12"/>
        <v>0</v>
      </c>
    </row>
    <row r="133" ht="12.75" customHeight="1" spans="2:9">
      <c r="B133" s="50">
        <v>14</v>
      </c>
      <c r="C133" s="80" t="s">
        <v>190</v>
      </c>
      <c r="D133" s="29">
        <v>0</v>
      </c>
      <c r="E133" s="29">
        <v>0</v>
      </c>
      <c r="F133" s="29">
        <v>0</v>
      </c>
      <c r="G133" s="29">
        <v>0</v>
      </c>
      <c r="H133" s="33">
        <f t="shared" si="11"/>
        <v>0</v>
      </c>
      <c r="I133" s="33">
        <f t="shared" si="12"/>
        <v>0</v>
      </c>
    </row>
    <row r="134" customHeight="1" spans="2:9">
      <c r="B134" s="50">
        <v>15</v>
      </c>
      <c r="C134" s="80" t="s">
        <v>191</v>
      </c>
      <c r="D134" s="29">
        <v>0</v>
      </c>
      <c r="E134" s="29">
        <v>0</v>
      </c>
      <c r="F134" s="29">
        <v>0</v>
      </c>
      <c r="G134" s="29">
        <v>0</v>
      </c>
      <c r="H134" s="33">
        <f t="shared" si="11"/>
        <v>0</v>
      </c>
      <c r="I134" s="33">
        <f t="shared" si="12"/>
        <v>0</v>
      </c>
    </row>
    <row r="135" customHeight="1" spans="2:9">
      <c r="B135" s="50">
        <v>16</v>
      </c>
      <c r="C135" s="80" t="s">
        <v>192</v>
      </c>
      <c r="D135" s="29">
        <v>0</v>
      </c>
      <c r="E135" s="29">
        <v>0</v>
      </c>
      <c r="F135" s="29">
        <v>0</v>
      </c>
      <c r="G135" s="29">
        <v>0</v>
      </c>
      <c r="H135" s="33">
        <f t="shared" si="11"/>
        <v>0</v>
      </c>
      <c r="I135" s="33">
        <f t="shared" si="12"/>
        <v>0</v>
      </c>
    </row>
    <row r="136" customHeight="1" spans="2:9">
      <c r="B136" s="50">
        <v>17</v>
      </c>
      <c r="C136" s="80" t="s">
        <v>193</v>
      </c>
      <c r="D136" s="29">
        <v>0</v>
      </c>
      <c r="E136" s="29">
        <v>0</v>
      </c>
      <c r="F136" s="29">
        <v>0</v>
      </c>
      <c r="G136" s="29">
        <v>0</v>
      </c>
      <c r="H136" s="33">
        <f t="shared" si="11"/>
        <v>0</v>
      </c>
      <c r="I136" s="33">
        <f t="shared" si="12"/>
        <v>0</v>
      </c>
    </row>
    <row r="137" customHeight="1" spans="2:9">
      <c r="B137" s="50">
        <v>18</v>
      </c>
      <c r="C137" s="80" t="s">
        <v>194</v>
      </c>
      <c r="D137" s="29">
        <v>0</v>
      </c>
      <c r="E137" s="29">
        <v>0</v>
      </c>
      <c r="F137" s="29">
        <v>0</v>
      </c>
      <c r="G137" s="29">
        <v>0</v>
      </c>
      <c r="H137" s="33">
        <f t="shared" si="11"/>
        <v>0</v>
      </c>
      <c r="I137" s="33">
        <f t="shared" si="12"/>
        <v>0</v>
      </c>
    </row>
    <row r="138" ht="24" customHeight="1" spans="2:9">
      <c r="B138" s="50">
        <v>19</v>
      </c>
      <c r="C138" s="80" t="s">
        <v>195</v>
      </c>
      <c r="D138" s="29">
        <v>0</v>
      </c>
      <c r="E138" s="29">
        <v>0</v>
      </c>
      <c r="F138" s="29">
        <v>0</v>
      </c>
      <c r="G138" s="29">
        <v>0</v>
      </c>
      <c r="H138" s="33">
        <f t="shared" si="11"/>
        <v>0</v>
      </c>
      <c r="I138" s="33">
        <f t="shared" si="12"/>
        <v>0</v>
      </c>
    </row>
    <row r="139" customHeight="1" spans="2:9">
      <c r="B139" s="18">
        <v>20</v>
      </c>
      <c r="C139" s="32" t="s">
        <v>196</v>
      </c>
      <c r="D139" s="33">
        <f>SUM(D140:D142)</f>
        <v>0</v>
      </c>
      <c r="E139" s="33">
        <f>SUM(E140:E142)</f>
        <v>0</v>
      </c>
      <c r="F139" s="33">
        <f>SUM(F140:F142)</f>
        <v>0</v>
      </c>
      <c r="G139" s="33">
        <f>SUM(G140:G142)</f>
        <v>0</v>
      </c>
      <c r="H139" s="33">
        <f t="shared" si="11"/>
        <v>0</v>
      </c>
      <c r="I139" s="33">
        <f t="shared" si="12"/>
        <v>0</v>
      </c>
    </row>
    <row r="140" spans="2:9">
      <c r="B140" s="81">
        <v>20.1</v>
      </c>
      <c r="C140" s="31" t="s">
        <v>197</v>
      </c>
      <c r="D140" s="29">
        <v>0</v>
      </c>
      <c r="E140" s="29">
        <v>0</v>
      </c>
      <c r="F140" s="29">
        <v>0</v>
      </c>
      <c r="G140" s="29">
        <v>0</v>
      </c>
      <c r="H140" s="33">
        <f t="shared" si="11"/>
        <v>0</v>
      </c>
      <c r="I140" s="33">
        <f t="shared" si="12"/>
        <v>0</v>
      </c>
    </row>
    <row r="141" spans="2:9">
      <c r="B141" s="81">
        <v>20.2</v>
      </c>
      <c r="C141" s="31" t="s">
        <v>198</v>
      </c>
      <c r="D141" s="29">
        <v>0</v>
      </c>
      <c r="E141" s="29">
        <v>0</v>
      </c>
      <c r="F141" s="29">
        <v>0</v>
      </c>
      <c r="G141" s="29">
        <v>0</v>
      </c>
      <c r="H141" s="33">
        <f t="shared" si="11"/>
        <v>0</v>
      </c>
      <c r="I141" s="33">
        <f t="shared" si="12"/>
        <v>0</v>
      </c>
    </row>
    <row r="142" spans="2:9">
      <c r="B142" s="81">
        <v>20.3</v>
      </c>
      <c r="C142" s="31" t="s">
        <v>199</v>
      </c>
      <c r="D142" s="29">
        <v>0</v>
      </c>
      <c r="E142" s="29">
        <v>0</v>
      </c>
      <c r="F142" s="29">
        <v>0</v>
      </c>
      <c r="G142" s="29">
        <v>0</v>
      </c>
      <c r="H142" s="33">
        <f t="shared" si="11"/>
        <v>0</v>
      </c>
      <c r="I142" s="33">
        <f t="shared" si="12"/>
        <v>0</v>
      </c>
    </row>
    <row r="143" spans="2:9">
      <c r="B143" s="18">
        <v>21</v>
      </c>
      <c r="C143" s="32" t="s">
        <v>200</v>
      </c>
      <c r="D143" s="49">
        <f>SUM(D144:D146)</f>
        <v>0</v>
      </c>
      <c r="E143" s="49">
        <f>SUM(E144:E146)</f>
        <v>0</v>
      </c>
      <c r="F143" s="49">
        <f>SUM(F144:F146)</f>
        <v>0</v>
      </c>
      <c r="G143" s="49">
        <f>SUM(G144:G146)</f>
        <v>0</v>
      </c>
      <c r="H143" s="33">
        <f t="shared" si="11"/>
        <v>0</v>
      </c>
      <c r="I143" s="33">
        <f t="shared" si="12"/>
        <v>0</v>
      </c>
    </row>
    <row r="144" spans="2:9">
      <c r="B144" s="81">
        <v>21.1</v>
      </c>
      <c r="C144" s="31" t="s">
        <v>201</v>
      </c>
      <c r="D144" s="29">
        <v>0</v>
      </c>
      <c r="E144" s="29">
        <v>0</v>
      </c>
      <c r="F144" s="29">
        <v>0</v>
      </c>
      <c r="G144" s="29">
        <v>0</v>
      </c>
      <c r="H144" s="33">
        <f t="shared" si="11"/>
        <v>0</v>
      </c>
      <c r="I144" s="33">
        <f t="shared" si="12"/>
        <v>0</v>
      </c>
    </row>
    <row r="145" spans="2:10">
      <c r="B145" s="81">
        <v>21.2</v>
      </c>
      <c r="C145" s="31" t="s">
        <v>202</v>
      </c>
      <c r="D145" s="29">
        <v>0</v>
      </c>
      <c r="E145" s="29">
        <v>0</v>
      </c>
      <c r="F145" s="29">
        <v>0</v>
      </c>
      <c r="G145" s="29">
        <v>0</v>
      </c>
      <c r="H145" s="33">
        <f t="shared" si="11"/>
        <v>0</v>
      </c>
      <c r="I145" s="33">
        <f t="shared" si="12"/>
        <v>0</v>
      </c>
      <c r="J145" s="58"/>
    </row>
    <row r="146" spans="2:10">
      <c r="B146" s="81">
        <v>21.3</v>
      </c>
      <c r="C146" s="31" t="s">
        <v>203</v>
      </c>
      <c r="D146" s="29">
        <v>0</v>
      </c>
      <c r="E146" s="29">
        <v>0</v>
      </c>
      <c r="F146" s="29">
        <v>0</v>
      </c>
      <c r="G146" s="29">
        <v>0</v>
      </c>
      <c r="H146" s="33">
        <f t="shared" si="11"/>
        <v>0</v>
      </c>
      <c r="I146" s="33">
        <f t="shared" si="12"/>
        <v>0</v>
      </c>
      <c r="J146" s="58"/>
    </row>
    <row r="147" ht="13.5" customHeight="1" spans="2:9">
      <c r="B147" s="82">
        <v>22</v>
      </c>
      <c r="C147" s="32" t="s">
        <v>204</v>
      </c>
      <c r="D147" s="49">
        <f>SUM(D148:D149)</f>
        <v>0</v>
      </c>
      <c r="E147" s="49">
        <f>SUM(E148:E149)</f>
        <v>0</v>
      </c>
      <c r="F147" s="49">
        <f>SUM(F148:F149)</f>
        <v>0</v>
      </c>
      <c r="G147" s="49">
        <f>SUM(G148:G149)</f>
        <v>0</v>
      </c>
      <c r="H147" s="33">
        <f t="shared" si="11"/>
        <v>0</v>
      </c>
      <c r="I147" s="33">
        <f t="shared" si="12"/>
        <v>0</v>
      </c>
    </row>
    <row r="148" customHeight="1" spans="2:9">
      <c r="B148" s="70">
        <v>22.1</v>
      </c>
      <c r="C148" s="83" t="s">
        <v>205</v>
      </c>
      <c r="D148" s="29">
        <v>0</v>
      </c>
      <c r="E148" s="29">
        <v>0</v>
      </c>
      <c r="F148" s="29">
        <v>0</v>
      </c>
      <c r="G148" s="29">
        <v>0</v>
      </c>
      <c r="H148" s="33">
        <f t="shared" si="11"/>
        <v>0</v>
      </c>
      <c r="I148" s="33">
        <f t="shared" si="12"/>
        <v>0</v>
      </c>
    </row>
    <row r="149" customHeight="1" spans="2:10">
      <c r="B149" s="70">
        <v>22.2</v>
      </c>
      <c r="C149" s="83" t="s">
        <v>206</v>
      </c>
      <c r="D149" s="29">
        <v>0</v>
      </c>
      <c r="E149" s="29">
        <v>0</v>
      </c>
      <c r="F149" s="29">
        <v>0</v>
      </c>
      <c r="G149" s="29">
        <v>0</v>
      </c>
      <c r="H149" s="33">
        <f t="shared" si="11"/>
        <v>0</v>
      </c>
      <c r="I149" s="33">
        <f t="shared" si="12"/>
        <v>0</v>
      </c>
      <c r="J149" s="58"/>
    </row>
    <row r="150" ht="25.9" customHeight="1" spans="2:16">
      <c r="B150" s="70">
        <v>23</v>
      </c>
      <c r="C150" s="35" t="s">
        <v>207</v>
      </c>
      <c r="D150" s="29">
        <v>0</v>
      </c>
      <c r="E150" s="29">
        <v>0</v>
      </c>
      <c r="F150" s="29">
        <v>0</v>
      </c>
      <c r="G150" s="29">
        <v>0</v>
      </c>
      <c r="H150" s="33">
        <f t="shared" si="11"/>
        <v>0</v>
      </c>
      <c r="I150" s="33">
        <f t="shared" si="12"/>
        <v>0</v>
      </c>
      <c r="J150"/>
      <c r="K150"/>
      <c r="L150"/>
      <c r="M150"/>
      <c r="N150"/>
      <c r="O150"/>
      <c r="P150"/>
    </row>
    <row r="151" ht="22.5" customHeight="1" spans="2:9">
      <c r="B151" s="18">
        <v>24</v>
      </c>
      <c r="C151" s="32" t="s">
        <v>208</v>
      </c>
      <c r="D151" s="33">
        <f>+D150+D147+D143+D139+D138+D137+D136+D135+D134+D133+D132+D131+D116+D109+D106+D96+D74+D66+D61+D57+D18+D14+D9</f>
        <v>0</v>
      </c>
      <c r="E151" s="33">
        <f>+E150+E147+E143+E139+E138+E137+E136+E135+E134+E133+E132+E131+E116+E109+E106+E96+E74+E66+E61+E57+E18+E14+E9</f>
        <v>0</v>
      </c>
      <c r="F151" s="33">
        <f>+F150+F147+F143+F139+F138+F137+F136+F135+F134+F133+F132+F131+F116+F109+F106+F96+F74+F66+F61+F57+F18+F14+F9</f>
        <v>0</v>
      </c>
      <c r="G151" s="33">
        <f>+G150+G147+G143+G139+G138+G137+G136+G135+G134+G133+G132+G131+G116+G109+G106+G96+G74+G66+G61+G57+G18+G14+G9</f>
        <v>0</v>
      </c>
      <c r="H151" s="33">
        <f t="shared" si="11"/>
        <v>0</v>
      </c>
      <c r="I151" s="33">
        <f t="shared" si="12"/>
        <v>0</v>
      </c>
    </row>
    <row r="152" ht="22.5" customHeight="1" spans="2:9">
      <c r="B152" s="84" t="s">
        <v>209</v>
      </c>
      <c r="C152" s="85" t="s">
        <v>210</v>
      </c>
      <c r="D152" s="85"/>
      <c r="E152" s="85"/>
      <c r="F152" s="85"/>
      <c r="G152" s="85"/>
      <c r="H152" s="85"/>
      <c r="I152" s="85"/>
    </row>
    <row r="153" ht="22.5" customHeight="1" spans="2:9">
      <c r="B153" s="84"/>
      <c r="C153" s="85" t="s">
        <v>211</v>
      </c>
      <c r="D153" s="85"/>
      <c r="E153" s="85"/>
      <c r="F153" s="85"/>
      <c r="G153" s="85"/>
      <c r="H153" s="85"/>
      <c r="I153" s="85"/>
    </row>
    <row r="154" ht="22.5" customHeight="1" spans="2:9">
      <c r="B154" s="84"/>
      <c r="C154" s="86" t="s">
        <v>212</v>
      </c>
      <c r="D154" s="86"/>
      <c r="E154" s="86"/>
      <c r="F154" s="86"/>
      <c r="G154" s="86"/>
      <c r="H154" s="86"/>
      <c r="I154" s="86"/>
    </row>
    <row r="155" ht="22.5" customHeight="1" spans="2:9">
      <c r="B155" s="84"/>
      <c r="C155" s="85" t="s">
        <v>213</v>
      </c>
      <c r="D155" s="85"/>
      <c r="E155" s="85"/>
      <c r="F155" s="85"/>
      <c r="G155" s="85"/>
      <c r="H155" s="85"/>
      <c r="I155" s="85"/>
    </row>
    <row r="156" customHeight="1" spans="2:9">
      <c r="B156" s="50"/>
      <c r="C156" s="87" t="s">
        <v>214</v>
      </c>
      <c r="D156" s="88"/>
      <c r="E156" s="88"/>
      <c r="F156" s="88"/>
      <c r="G156" s="88"/>
      <c r="H156" s="88"/>
      <c r="I156" s="89"/>
    </row>
    <row r="157" customHeight="1"/>
  </sheetData>
  <sheetProtection password="DE1B" sheet="1"/>
  <mergeCells count="11">
    <mergeCell ref="B2:I2"/>
    <mergeCell ref="D7:E7"/>
    <mergeCell ref="F7:G7"/>
    <mergeCell ref="H7:I7"/>
    <mergeCell ref="B8:C8"/>
    <mergeCell ref="C152:I152"/>
    <mergeCell ref="C153:I153"/>
    <mergeCell ref="C154:I154"/>
    <mergeCell ref="C155:I155"/>
    <mergeCell ref="B152:B155"/>
    <mergeCell ref="D3:I5"/>
  </mergeCells>
  <dataValidations count="1">
    <dataValidation type="whole" operator="greaterThanOrEqual" allowBlank="1" showInputMessage="1" showErrorMessage="1" error="Please insert a valid data!" sqref="D15:G17 D10:G13 D62:G65 D98:G101 D28:G33 D140:G150 D89:G95 D103:G108 D19:G26 D35:G37 D39:G51 D68:G73 D110:G115 D53:G60 D79:G87 D117:G138">
      <formula1>0</formula1>
    </dataValidation>
  </dataValidations>
  <printOptions gridLines="1"/>
  <pageMargins left="0.2" right="0" top="0.25" bottom="0" header="0" footer="0.05"/>
  <pageSetup paperSize="9" scale="92" fitToHeight="0" orientation="portrait" horizontalDpi="600" vertic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2013-10-22T06:52:24Z</dcterms:created>
  <cp:lastPrinted>2017-07-04T07:34:51Z</cp:lastPrinted>
  <dcterms:modified xsi:type="dcterms:W3CDTF">2024-02-22T06:21:15Z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2022-09-12T12:18:57Z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257efa86-6512-4bf4-a99a-82e4330960da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7B48A0E966E94A71A24D0C3A6B617C77_13</vt:lpwstr>
  </property>
  <property fmtid="{D5CDD505-2E9C-101B-9397-08002B2CF9AE}" pid="10" name="KSOProductBuildVer">
    <vt:lpwstr>1033-12.2.0.13431</vt:lpwstr>
  </property>
</Properties>
</file>