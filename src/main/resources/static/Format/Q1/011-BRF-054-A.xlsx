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54-Global ASRR" sheetId="1" r:id="rId1"/>
  </sheets>
  <externalReferences>
    <externalReference r:id="rId2"/>
  </externalReferences>
  <definedNames>
    <definedName name="_8.1.1">#REF!</definedName>
  </definedNames>
  <calcPr calcId="144525"/>
</workbook>
</file>

<file path=xl/sharedStrings.xml><?xml version="1.0" encoding="utf-8"?>
<sst xmlns="http://schemas.openxmlformats.org/spreadsheetml/2006/main" count="51" uniqueCount="51">
  <si>
    <r>
      <t xml:space="preserve"> BANKING AND MONETARY STATISTICS-  GLOBAL </t>
    </r>
    <r>
      <rPr>
        <b/>
        <sz val="8"/>
        <color indexed="10"/>
        <rFont val="Arial"/>
        <family val="2"/>
        <charset val="0"/>
      </rPr>
      <t>LENDING</t>
    </r>
    <r>
      <rPr>
        <b/>
        <sz val="8"/>
        <rFont val="Arial"/>
        <family val="2"/>
        <charset val="0"/>
      </rPr>
      <t xml:space="preserve"> TO STABLE RESOURCES RATIO (GLOBAL </t>
    </r>
    <r>
      <rPr>
        <b/>
        <sz val="8"/>
        <color indexed="10"/>
        <rFont val="Arial"/>
        <family val="2"/>
        <charset val="0"/>
      </rPr>
      <t>L</t>
    </r>
    <r>
      <rPr>
        <b/>
        <sz val="8"/>
        <rFont val="Arial"/>
        <family val="2"/>
        <charset val="0"/>
      </rPr>
      <t>SRR)- BRF 54  (AED IN 000)</t>
    </r>
  </si>
  <si>
    <t>Template ID:</t>
  </si>
  <si>
    <t>4-54-1-0</t>
  </si>
  <si>
    <t xml:space="preserve">Name of Bank : </t>
  </si>
  <si>
    <t>Bank of Baroda</t>
  </si>
  <si>
    <t>Month End:</t>
  </si>
  <si>
    <t>Items</t>
  </si>
  <si>
    <t>Amount</t>
  </si>
  <si>
    <t>Computation of Advances</t>
  </si>
  <si>
    <r>
      <t xml:space="preserve">Net Lending (BRF 51 Item 7+8 minus </t>
    </r>
    <r>
      <rPr>
        <sz val="8"/>
        <color indexed="10"/>
        <rFont val="Arial"/>
        <family val="2"/>
        <charset val="0"/>
      </rPr>
      <t>(BRF 52 item 25.1 + BRF 52 item 25.2.1 + BRF 52 Item 25.2.2 + BRF 52 Item 25.3))</t>
    </r>
  </si>
  <si>
    <t>Lending to NBFI (BRF 51 item 4)</t>
  </si>
  <si>
    <t xml:space="preserve">Financial guarantees and stand-by LCs Issued </t>
  </si>
  <si>
    <t xml:space="preserve">Financial guarantees and stand-by LCs received </t>
  </si>
  <si>
    <t xml:space="preserve">Interbank placements with a remaining life of more than 3 months </t>
  </si>
  <si>
    <t>Total Advances</t>
  </si>
  <si>
    <t>Calculation of Net Stable Resources</t>
  </si>
  <si>
    <r>
      <t xml:space="preserve">Total own funds (BRF 51 Liab: Item 28 + Item 26.7 6+ </t>
    </r>
    <r>
      <rPr>
        <sz val="8"/>
        <color indexed="10"/>
        <rFont val="Arial"/>
        <family val="2"/>
        <charset val="0"/>
      </rPr>
      <t>Item 25.2.3</t>
    </r>
    <r>
      <rPr>
        <sz val="8"/>
        <color indexed="8"/>
        <rFont val="Arial"/>
        <family val="2"/>
        <charset val="0"/>
      </rPr>
      <t>)</t>
    </r>
  </si>
  <si>
    <t xml:space="preserve">Deduct: </t>
  </si>
  <si>
    <t>2.1.1</t>
  </si>
  <si>
    <t>Goodwill and other intangible assets (BRF 51 Assets: 11.3 and 11.4)</t>
  </si>
  <si>
    <t>2.1.2</t>
  </si>
  <si>
    <t>Fixed assets (BRF 51 Assets: 9.1 + 9.2 + 9.3 + 9.5)</t>
  </si>
  <si>
    <t>2.1.3</t>
  </si>
  <si>
    <t>Treasury shares held (no input required)</t>
  </si>
  <si>
    <t>2.1.4</t>
  </si>
  <si>
    <t xml:space="preserve">Total unquoted investments  </t>
  </si>
  <si>
    <t>2.1.5</t>
  </si>
  <si>
    <t xml:space="preserve">Total Investment in unconsolidated subsidiaries, associates and affiliates </t>
  </si>
  <si>
    <t>2.1.6</t>
  </si>
  <si>
    <t>Total deduction</t>
  </si>
  <si>
    <t>Net free capital funds</t>
  </si>
  <si>
    <t>Other stable resources:</t>
  </si>
  <si>
    <t>2.3.1</t>
  </si>
  <si>
    <t>Total Interbank deposits with remaining life of more than 6 months</t>
  </si>
  <si>
    <t>2.3.2</t>
  </si>
  <si>
    <t>Refinancing of Housing Loans</t>
  </si>
  <si>
    <t>2.3.3 (a)</t>
  </si>
  <si>
    <t>Deposits from non-banking financial istitutions remaining life of more than 6 months (BRF 9)</t>
  </si>
  <si>
    <t>2.3.3 (b)</t>
  </si>
  <si>
    <t>85% of the rest of NBFI Deposits</t>
  </si>
  <si>
    <t>2.3.4 (a)</t>
  </si>
  <si>
    <t>Total customer deposits with remaining life of more than 6 months</t>
  </si>
  <si>
    <t>2.3.4 (b)</t>
  </si>
  <si>
    <t>85% of the rest of customer deposits</t>
  </si>
  <si>
    <t>2.3.5</t>
  </si>
  <si>
    <t xml:space="preserve">Capital market funding/ term borrowings maturing after 6 months from reporting date </t>
  </si>
  <si>
    <t>2.3.6</t>
  </si>
  <si>
    <t>Total other stable resources</t>
  </si>
  <si>
    <t>Total Stable Resources (2.2+2.3.6)</t>
  </si>
  <si>
    <r>
      <t xml:space="preserve">GLOBAL </t>
    </r>
    <r>
      <rPr>
        <b/>
        <sz val="8"/>
        <color indexed="10"/>
        <rFont val="Arial"/>
        <family val="2"/>
        <charset val="0"/>
      </rPr>
      <t>LENDING</t>
    </r>
    <r>
      <rPr>
        <b/>
        <sz val="8"/>
        <color indexed="8"/>
        <rFont val="Arial"/>
        <family val="2"/>
        <charset val="0"/>
      </rPr>
      <t xml:space="preserve"> TO STABLE RESOURCES RATIO  (1.6/ 2.4*100)</t>
    </r>
  </si>
  <si>
    <r>
      <t xml:space="preserve">FORM NO:BSD/ BRF 54- GLOBAL </t>
    </r>
    <r>
      <rPr>
        <b/>
        <sz val="8"/>
        <color indexed="10"/>
        <rFont val="Arial"/>
        <family val="2"/>
        <charset val="0"/>
      </rPr>
      <t>L</t>
    </r>
    <r>
      <rPr>
        <b/>
        <sz val="8"/>
        <rFont val="Arial"/>
        <family val="2"/>
        <charset val="0"/>
      </rPr>
      <t>SRR/DEC14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</si>
</sst>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"/>
  </numFmts>
  <fonts count="31">
    <font>
      <sz val="11"/>
      <color theme="1"/>
      <name val="Calibri"/>
      <family val="2"/>
      <charset val="0"/>
      <scheme val="minor"/>
    </font>
    <font>
      <sz val="12"/>
      <name val="Calibri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theme="1"/>
      <name val="Arial"/>
      <family val="2"/>
      <charset val="0"/>
    </font>
    <font>
      <sz val="12"/>
      <color rgb="FFFF0000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sz val="8"/>
      <color indexed="10"/>
      <name val="Arial"/>
      <family val="2"/>
      <charset val="0"/>
    </font>
    <font>
      <sz val="8"/>
      <color indexed="10"/>
      <name val="Arial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13" applyNumberFormat="0" applyAlignment="0" applyProtection="0"/>
    <xf numFmtId="0" fontId="17" fillId="7" borderId="14" applyNumberFormat="0" applyAlignment="0" applyProtection="0"/>
    <xf numFmtId="0" fontId="18" fillId="7" borderId="13" applyNumberFormat="0" applyAlignment="0" applyProtection="0"/>
    <xf numFmtId="0" fontId="19" fillId="8" borderId="15" applyNumberFormat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5" fillId="35" borderId="0" applyNumberFormat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6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56" applyFont="1" applyFill="1" applyBorder="1">
      <alignment vertical="center"/>
    </xf>
    <xf numFmtId="0" fontId="1" fillId="0" borderId="0" xfId="56" applyFont="1" applyFill="1" applyBorder="1" applyAlignment="1">
      <alignment vertical="center"/>
    </xf>
    <xf numFmtId="0" fontId="1" fillId="0" borderId="0" xfId="56" applyFont="1" applyFill="1" applyBorder="1" applyAlignment="1">
      <alignment horizontal="right" vertical="center"/>
    </xf>
    <xf numFmtId="0" fontId="2" fillId="2" borderId="1" xfId="54" applyFont="1" applyFill="1" applyBorder="1" applyAlignment="1" applyProtection="1">
      <alignment horizontal="center"/>
    </xf>
    <xf numFmtId="0" fontId="2" fillId="2" borderId="2" xfId="54" applyFont="1" applyFill="1" applyBorder="1" applyAlignment="1" applyProtection="1">
      <alignment horizontal="center"/>
    </xf>
    <xf numFmtId="0" fontId="2" fillId="2" borderId="3" xfId="54" applyFont="1" applyFill="1" applyBorder="1" applyAlignment="1" applyProtection="1">
      <alignment horizontal="center"/>
    </xf>
    <xf numFmtId="0" fontId="3" fillId="2" borderId="4" xfId="50" applyFont="1" applyFill="1" applyBorder="1" applyAlignment="1" applyProtection="1"/>
    <xf numFmtId="0" fontId="0" fillId="0" borderId="4" xfId="0" applyBorder="1" applyAlignment="1" applyProtection="1">
      <alignment horizontal="left"/>
    </xf>
    <xf numFmtId="15" fontId="2" fillId="0" borderId="5" xfId="51" applyNumberFormat="1" applyFont="1" applyFill="1" applyBorder="1" applyAlignment="1" applyProtection="1">
      <alignment horizontal="center"/>
    </xf>
    <xf numFmtId="15" fontId="2" fillId="0" borderId="6" xfId="51" applyNumberFormat="1" applyFont="1" applyFill="1" applyBorder="1" applyAlignment="1" applyProtection="1">
      <alignment horizontal="center"/>
    </xf>
    <xf numFmtId="15" fontId="2" fillId="2" borderId="4" xfId="51" applyNumberFormat="1" applyFont="1" applyFill="1" applyBorder="1" applyAlignment="1" applyProtection="1">
      <alignment horizontal="left"/>
    </xf>
    <xf numFmtId="15" fontId="2" fillId="0" borderId="0" xfId="51" applyNumberFormat="1" applyFont="1" applyFill="1" applyBorder="1" applyAlignment="1" applyProtection="1">
      <alignment horizontal="center"/>
    </xf>
    <xf numFmtId="15" fontId="2" fillId="0" borderId="7" xfId="51" applyNumberFormat="1" applyFont="1" applyFill="1" applyBorder="1" applyAlignment="1" applyProtection="1">
      <alignment horizontal="center"/>
    </xf>
    <xf numFmtId="0" fontId="2" fillId="2" borderId="8" xfId="51" applyFont="1" applyFill="1" applyBorder="1" applyProtecti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4" xfId="50" applyNumberFormat="1" applyFont="1" applyFill="1" applyBorder="1" applyProtection="1"/>
    <xf numFmtId="0" fontId="2" fillId="2" borderId="4" xfId="51" applyFont="1" applyFill="1" applyBorder="1" applyAlignment="1" applyProtection="1">
      <alignment horizontal="left" wrapText="1"/>
    </xf>
    <xf numFmtId="0" fontId="2" fillId="2" borderId="4" xfId="51" applyFont="1" applyFill="1" applyBorder="1" applyAlignment="1" applyProtection="1">
      <alignment wrapText="1"/>
    </xf>
    <xf numFmtId="0" fontId="4" fillId="2" borderId="4" xfId="56" applyFont="1" applyFill="1" applyBorder="1" applyProtection="1">
      <alignment vertical="center"/>
    </xf>
    <xf numFmtId="0" fontId="3" fillId="0" borderId="4" xfId="50" applyNumberFormat="1" applyFont="1" applyFill="1" applyBorder="1" applyProtection="1"/>
    <xf numFmtId="0" fontId="4" fillId="0" borderId="4" xfId="56" applyFont="1" applyFill="1" applyBorder="1" applyAlignment="1" applyProtection="1">
      <alignment horizontal="right" vertical="center" wrapText="1"/>
    </xf>
    <xf numFmtId="0" fontId="4" fillId="3" borderId="4" xfId="56" applyFont="1" applyFill="1" applyBorder="1" applyAlignment="1" applyProtection="1">
      <alignment vertical="center" wrapText="1"/>
    </xf>
    <xf numFmtId="1" fontId="4" fillId="0" borderId="4" xfId="56" applyNumberFormat="1" applyFont="1" applyFill="1" applyBorder="1" applyAlignment="1" applyProtection="1">
      <alignment wrapText="1"/>
      <protection locked="0"/>
    </xf>
    <xf numFmtId="0" fontId="4" fillId="0" borderId="4" xfId="56" applyFont="1" applyFill="1" applyBorder="1" applyAlignment="1" applyProtection="1">
      <alignment vertical="center" wrapText="1"/>
    </xf>
    <xf numFmtId="176" fontId="3" fillId="3" borderId="4" xfId="60" applyNumberFormat="1" applyFont="1" applyFill="1" applyBorder="1" applyProtection="1"/>
    <xf numFmtId="0" fontId="3" fillId="2" borderId="4" xfId="50" applyFont="1" applyFill="1" applyBorder="1" applyProtection="1"/>
    <xf numFmtId="3" fontId="3" fillId="2" borderId="4" xfId="60" applyNumberFormat="1" applyFont="1" applyFill="1" applyBorder="1" applyProtection="1"/>
    <xf numFmtId="0" fontId="5" fillId="0" borderId="4" xfId="56" applyFont="1" applyFill="1" applyBorder="1" applyAlignment="1" applyProtection="1">
      <alignment horizontal="right" vertical="center" wrapText="1"/>
    </xf>
    <xf numFmtId="0" fontId="5" fillId="3" borderId="4" xfId="56" applyFont="1" applyFill="1" applyBorder="1" applyAlignment="1" applyProtection="1">
      <alignment vertical="center" wrapText="1"/>
    </xf>
    <xf numFmtId="1" fontId="5" fillId="0" borderId="4" xfId="56" applyNumberFormat="1" applyFont="1" applyFill="1" applyBorder="1" applyAlignment="1" applyProtection="1">
      <alignment wrapText="1"/>
      <protection locked="0"/>
    </xf>
    <xf numFmtId="0" fontId="4" fillId="0" borderId="4" xfId="56" applyFont="1" applyFill="1" applyBorder="1" applyAlignment="1" applyProtection="1">
      <alignment horizontal="right" vertical="center"/>
    </xf>
    <xf numFmtId="0" fontId="5" fillId="3" borderId="4" xfId="56" applyFont="1" applyFill="1" applyBorder="1" applyAlignment="1" applyProtection="1">
      <alignment horizontal="left" vertical="center" wrapText="1"/>
    </xf>
    <xf numFmtId="1" fontId="6" fillId="2" borderId="4" xfId="56" applyNumberFormat="1" applyFont="1" applyFill="1" applyBorder="1" applyAlignment="1" applyProtection="1">
      <alignment wrapText="1"/>
    </xf>
    <xf numFmtId="3" fontId="3" fillId="2" borderId="4" xfId="60" applyNumberFormat="1" applyFont="1" applyFill="1" applyBorder="1" applyAlignment="1" applyProtection="1">
      <alignment horizontal="right"/>
    </xf>
    <xf numFmtId="0" fontId="5" fillId="0" borderId="4" xfId="56" applyFont="1" applyFill="1" applyBorder="1" applyAlignment="1" applyProtection="1">
      <alignment vertical="center" wrapText="1"/>
    </xf>
    <xf numFmtId="0" fontId="2" fillId="2" borderId="4" xfId="51" applyFont="1" applyFill="1" applyBorder="1" applyAlignment="1" applyProtection="1">
      <alignment horizontal="right" wrapText="1"/>
    </xf>
    <xf numFmtId="1" fontId="5" fillId="2" borderId="4" xfId="56" applyNumberFormat="1" applyFont="1" applyFill="1" applyBorder="1" applyAlignment="1" applyProtection="1">
      <alignment wrapText="1"/>
    </xf>
    <xf numFmtId="0" fontId="3" fillId="3" borderId="4" xfId="50" applyFont="1" applyFill="1" applyBorder="1" applyProtection="1"/>
    <xf numFmtId="0" fontId="2" fillId="3" borderId="4" xfId="56" applyFont="1" applyFill="1" applyBorder="1" applyAlignment="1" applyProtection="1">
      <alignment vertical="center"/>
    </xf>
    <xf numFmtId="0" fontId="7" fillId="4" borderId="0" xfId="56" applyFont="1" applyFill="1" applyBorder="1" applyAlignment="1">
      <alignment vertical="center"/>
    </xf>
    <xf numFmtId="0" fontId="7" fillId="4" borderId="0" xfId="56" applyFont="1" applyFill="1" applyBorder="1" applyAlignment="1">
      <alignment horizontal="right" vertical="center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Sheet1" xfId="60"/>
    <cellStyle name="Percent 2" xfId="61"/>
    <cellStyle name="Percent 3" xfId="62"/>
  </cellStyles>
  <tableStyles count="0" defaultTableStyle="TableStyleMedium9" defaultPivotStyle="PivotStyleLight16"/>
  <colors>
    <mruColors>
      <color rgb="00FFFFFF"/>
      <color rgb="00FF0000"/>
      <color rgb="00FFFF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Quarterly-%2008092013%20Formula%20Batch%20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54 - Top 50 PDs"/>
      <sheetName val="BRF 55-CAR"/>
      <sheetName val="BRF 56A GLOBAL ASSETS"/>
      <sheetName val="BRF 56B-GLOBAL LIAB"/>
      <sheetName val="BRF 56C-Global ASRR"/>
      <sheetName val="BRF 57 GLOBAL INC ST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1"/>
  <sheetViews>
    <sheetView showGridLines="0" tabSelected="1" zoomScaleSheetLayoutView="60" workbookViewId="0">
      <selection activeCell="C9" sqref="C9"/>
    </sheetView>
  </sheetViews>
  <sheetFormatPr defaultColWidth="0" defaultRowHeight="15.75" customHeight="1" zeroHeight="1" outlineLevelCol="4"/>
  <cols>
    <col min="1" max="1" width="9.13636363636364" style="1" customWidth="1"/>
    <col min="2" max="2" width="13.1363636363636" style="2" customWidth="1"/>
    <col min="3" max="3" width="23.1363636363636" style="3" customWidth="1"/>
    <col min="4" max="4" width="75" style="2"/>
    <col min="5" max="5" width="30.2818181818182" style="1" customWidth="1"/>
    <col min="6" max="6" width="9.13636363636364" style="1" customWidth="1"/>
    <col min="7" max="16384" width="0" style="1" hidden="1"/>
  </cols>
  <sheetData>
    <row r="1" ht="18" customHeight="1"/>
    <row r="2" ht="20.1" customHeight="1" spans="2:5">
      <c r="B2" s="4" t="s">
        <v>0</v>
      </c>
      <c r="C2" s="5"/>
      <c r="D2" s="5"/>
      <c r="E2" s="6"/>
    </row>
    <row r="3" ht="18" customHeight="1" spans="2:5">
      <c r="B3" s="7" t="s">
        <v>1</v>
      </c>
      <c r="C3" s="8" t="s">
        <v>2</v>
      </c>
      <c r="D3" s="9"/>
      <c r="E3" s="10"/>
    </row>
    <row r="4" ht="18" customHeight="1" spans="2:5">
      <c r="B4" s="11" t="s">
        <v>3</v>
      </c>
      <c r="C4" s="8" t="s">
        <v>4</v>
      </c>
      <c r="D4" s="12"/>
      <c r="E4" s="13"/>
    </row>
    <row r="5" ht="18" customHeight="1" spans="2:5">
      <c r="B5" s="14" t="s">
        <v>5</v>
      </c>
      <c r="C5" s="8"/>
      <c r="D5" s="12"/>
      <c r="E5" s="13"/>
    </row>
    <row r="6" customFormat="1" ht="18" customHeight="1" spans="2:5">
      <c r="B6" s="15"/>
      <c r="C6" s="16"/>
      <c r="D6" s="16"/>
      <c r="E6" s="17"/>
    </row>
    <row r="7" ht="18" customHeight="1" spans="2:5">
      <c r="B7" s="18"/>
      <c r="C7" s="19"/>
      <c r="D7" s="19" t="s">
        <v>6</v>
      </c>
      <c r="E7" s="19" t="s">
        <v>7</v>
      </c>
    </row>
    <row r="8" ht="18" customHeight="1" spans="2:5">
      <c r="B8" s="18">
        <v>1</v>
      </c>
      <c r="C8" s="20"/>
      <c r="D8" s="20" t="s">
        <v>8</v>
      </c>
      <c r="E8" s="21"/>
    </row>
    <row r="9" ht="20" spans="2:5">
      <c r="B9" s="22"/>
      <c r="C9" s="23">
        <v>1.1</v>
      </c>
      <c r="D9" s="24" t="s">
        <v>9</v>
      </c>
      <c r="E9" s="25">
        <v>0</v>
      </c>
    </row>
    <row r="10" ht="18" customHeight="1" spans="2:5">
      <c r="B10" s="22"/>
      <c r="C10" s="23">
        <v>1.2</v>
      </c>
      <c r="D10" s="24" t="s">
        <v>10</v>
      </c>
      <c r="E10" s="25">
        <v>0</v>
      </c>
    </row>
    <row r="11" ht="18" customHeight="1" spans="2:5">
      <c r="B11" s="22"/>
      <c r="C11" s="23">
        <v>1.3</v>
      </c>
      <c r="D11" s="24" t="s">
        <v>11</v>
      </c>
      <c r="E11" s="25">
        <v>0</v>
      </c>
    </row>
    <row r="12" ht="18" customHeight="1" spans="2:5">
      <c r="B12" s="22"/>
      <c r="C12" s="23">
        <v>1.4</v>
      </c>
      <c r="D12" s="24" t="s">
        <v>12</v>
      </c>
      <c r="E12" s="25">
        <v>0</v>
      </c>
    </row>
    <row r="13" ht="18" customHeight="1" spans="2:5">
      <c r="B13" s="22"/>
      <c r="C13" s="23">
        <v>1.5</v>
      </c>
      <c r="D13" s="26" t="s">
        <v>13</v>
      </c>
      <c r="E13" s="25">
        <v>0</v>
      </c>
    </row>
    <row r="14" ht="18" customHeight="1" spans="2:5">
      <c r="B14" s="18"/>
      <c r="C14" s="27">
        <v>1.6</v>
      </c>
      <c r="D14" s="28" t="s">
        <v>14</v>
      </c>
      <c r="E14" s="28">
        <f>E9+E10+E11-E12+E13</f>
        <v>0</v>
      </c>
    </row>
    <row r="15" ht="18" customHeight="1" spans="2:5">
      <c r="B15" s="18">
        <v>2</v>
      </c>
      <c r="C15" s="29"/>
      <c r="D15" s="28" t="s">
        <v>15</v>
      </c>
      <c r="E15" s="28"/>
    </row>
    <row r="16" ht="18" customHeight="1" spans="2:5">
      <c r="B16" s="22"/>
      <c r="C16" s="30">
        <v>2.1</v>
      </c>
      <c r="D16" s="31" t="s">
        <v>16</v>
      </c>
      <c r="E16" s="32">
        <v>0</v>
      </c>
    </row>
    <row r="17" ht="18" customHeight="1" spans="2:5">
      <c r="B17" s="18"/>
      <c r="C17" s="29"/>
      <c r="D17" s="28" t="s">
        <v>17</v>
      </c>
      <c r="E17" s="28"/>
    </row>
    <row r="18" ht="18" customHeight="1" spans="2:5">
      <c r="B18" s="22"/>
      <c r="C18" s="33" t="s">
        <v>18</v>
      </c>
      <c r="D18" s="31" t="s">
        <v>19</v>
      </c>
      <c r="E18" s="32">
        <v>0</v>
      </c>
    </row>
    <row r="19" ht="18" customHeight="1" spans="2:5">
      <c r="B19" s="22"/>
      <c r="C19" s="33" t="s">
        <v>20</v>
      </c>
      <c r="D19" s="31" t="s">
        <v>21</v>
      </c>
      <c r="E19" s="32">
        <v>0</v>
      </c>
    </row>
    <row r="20" ht="18" customHeight="1" spans="2:5">
      <c r="B20" s="22"/>
      <c r="C20" s="33" t="s">
        <v>22</v>
      </c>
      <c r="D20" s="34" t="s">
        <v>23</v>
      </c>
      <c r="E20" s="35">
        <f>0</f>
        <v>0</v>
      </c>
    </row>
    <row r="21" ht="18" customHeight="1" spans="2:5">
      <c r="B21" s="22"/>
      <c r="C21" s="33" t="s">
        <v>24</v>
      </c>
      <c r="D21" s="26" t="s">
        <v>25</v>
      </c>
      <c r="E21" s="32">
        <v>0</v>
      </c>
    </row>
    <row r="22" ht="18" customHeight="1" spans="2:5">
      <c r="B22" s="22"/>
      <c r="C22" s="33" t="s">
        <v>26</v>
      </c>
      <c r="D22" s="26" t="s">
        <v>27</v>
      </c>
      <c r="E22" s="32">
        <v>0</v>
      </c>
    </row>
    <row r="23" ht="18" customHeight="1" spans="2:5">
      <c r="B23" s="18"/>
      <c r="C23" s="36" t="s">
        <v>28</v>
      </c>
      <c r="D23" s="28" t="s">
        <v>29</v>
      </c>
      <c r="E23" s="28">
        <f>SUM(E18:E22)</f>
        <v>0</v>
      </c>
    </row>
    <row r="24" ht="18" customHeight="1" spans="2:5">
      <c r="B24" s="18"/>
      <c r="C24" s="27">
        <v>2.2</v>
      </c>
      <c r="D24" s="28" t="s">
        <v>30</v>
      </c>
      <c r="E24" s="28">
        <f>+E16-E23</f>
        <v>0</v>
      </c>
    </row>
    <row r="25" ht="18" customHeight="1" spans="2:5">
      <c r="B25" s="18"/>
      <c r="C25" s="27">
        <v>2.3</v>
      </c>
      <c r="D25" s="28" t="s">
        <v>31</v>
      </c>
      <c r="E25" s="28"/>
    </row>
    <row r="26" ht="18" customHeight="1" spans="2:5">
      <c r="B26" s="22"/>
      <c r="C26" s="30" t="s">
        <v>32</v>
      </c>
      <c r="D26" s="26" t="s">
        <v>33</v>
      </c>
      <c r="E26" s="32">
        <v>0</v>
      </c>
    </row>
    <row r="27" ht="18" customHeight="1" spans="2:5">
      <c r="B27" s="22"/>
      <c r="C27" s="30" t="s">
        <v>34</v>
      </c>
      <c r="D27" s="37" t="s">
        <v>35</v>
      </c>
      <c r="E27" s="32">
        <v>0</v>
      </c>
    </row>
    <row r="28" ht="18" customHeight="1" spans="2:5">
      <c r="B28" s="22"/>
      <c r="C28" s="30" t="s">
        <v>36</v>
      </c>
      <c r="D28" s="37" t="s">
        <v>37</v>
      </c>
      <c r="E28" s="32">
        <v>0</v>
      </c>
    </row>
    <row r="29" ht="18" customHeight="1" spans="2:5">
      <c r="B29" s="22"/>
      <c r="C29" s="30" t="s">
        <v>38</v>
      </c>
      <c r="D29" s="37" t="s">
        <v>39</v>
      </c>
      <c r="E29" s="32">
        <v>0</v>
      </c>
    </row>
    <row r="30" ht="18" customHeight="1" spans="2:5">
      <c r="B30" s="22"/>
      <c r="C30" s="30" t="s">
        <v>40</v>
      </c>
      <c r="D30" s="26" t="s">
        <v>41</v>
      </c>
      <c r="E30" s="32">
        <v>0</v>
      </c>
    </row>
    <row r="31" ht="18" customHeight="1" spans="2:5">
      <c r="B31" s="22"/>
      <c r="C31" s="30" t="s">
        <v>42</v>
      </c>
      <c r="D31" s="37" t="s">
        <v>43</v>
      </c>
      <c r="E31" s="32">
        <v>0</v>
      </c>
    </row>
    <row r="32" ht="18" customHeight="1" spans="2:5">
      <c r="B32" s="22"/>
      <c r="C32" s="30" t="s">
        <v>44</v>
      </c>
      <c r="D32" s="37" t="s">
        <v>45</v>
      </c>
      <c r="E32" s="32">
        <v>0</v>
      </c>
    </row>
    <row r="33" ht="18" customHeight="1" spans="2:5">
      <c r="B33" s="18"/>
      <c r="C33" s="38" t="s">
        <v>46</v>
      </c>
      <c r="D33" s="20" t="s">
        <v>47</v>
      </c>
      <c r="E33" s="39">
        <f>SUM(E26:E32)</f>
        <v>0</v>
      </c>
    </row>
    <row r="34" ht="18" customHeight="1" spans="2:5">
      <c r="B34" s="18"/>
      <c r="C34" s="27">
        <v>2.4</v>
      </c>
      <c r="D34" s="40" t="s">
        <v>48</v>
      </c>
      <c r="E34" s="28">
        <f>+E24+E33</f>
        <v>0</v>
      </c>
    </row>
    <row r="35" ht="18" customHeight="1" spans="2:5">
      <c r="B35" s="18">
        <v>3</v>
      </c>
      <c r="C35" s="29"/>
      <c r="D35" s="40" t="s">
        <v>49</v>
      </c>
      <c r="E35" s="28">
        <f>IF(E34=0,0,(+E14/E34)*100)</f>
        <v>0</v>
      </c>
    </row>
    <row r="36" ht="18" customHeight="1" spans="2:5">
      <c r="B36" s="22"/>
      <c r="C36" s="22"/>
      <c r="D36" s="41" t="s">
        <v>50</v>
      </c>
      <c r="E36" s="22"/>
    </row>
    <row r="37" ht="18" customHeight="1" spans="2:4">
      <c r="B37" s="42"/>
      <c r="C37" s="43"/>
      <c r="D37" s="42"/>
    </row>
    <row r="38" ht="18" hidden="1" customHeight="1" spans="4:4">
      <c r="D38" s="1"/>
    </row>
    <row r="39" ht="18" hidden="1" customHeight="1"/>
    <row r="40" ht="18" hidden="1" customHeight="1"/>
    <row r="41" ht="18" hidden="1" customHeight="1"/>
  </sheetData>
  <sheetProtection password="DE1B" sheet="1"/>
  <mergeCells count="2">
    <mergeCell ref="B2:E2"/>
    <mergeCell ref="D3:E5"/>
  </mergeCells>
  <dataValidations count="2">
    <dataValidation type="whole" operator="greaterThanOrEqual" allowBlank="1" showInputMessage="1" showErrorMessage="1" error="Please input a valid data!" sqref="E8 E14 E15 E17 E20 E23 E24 E25 E33 E34 E35">
      <formula1>0</formula1>
    </dataValidation>
    <dataValidation type="whole" operator="between" allowBlank="1" showInputMessage="1" showErrorMessage="1" error="Please input a valid data!" sqref="E16 E9:E13 E18:E19 E21:E22 E26:E32">
      <formula1>-1000000000000</formula1>
      <formula2>1000000000000</formula2>
    </dataValidation>
  </dataValidation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54-Global ASRR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2013-09-10T06:53:06Z</dcterms:created>
  <dcterms:modified xsi:type="dcterms:W3CDTF">2024-02-22T06:19:52Z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A9944CCEA72347828F5A6DDB82386E47_13</vt:lpwstr>
  </property>
  <property fmtid="{D5CDD505-2E9C-101B-9397-08002B2CF9AE}" pid="3" name="KSOProductBuildVer">
    <vt:lpwstr>1033-12.2.0.13431</vt:lpwstr>
  </property>
</Properties>
</file>