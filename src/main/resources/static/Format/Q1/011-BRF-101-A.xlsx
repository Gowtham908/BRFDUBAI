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 91 BOP V2" sheetId="2" r:id="rId1"/>
  </sheets>
  <definedNames>
    <definedName name="_xlnm.Print_Area" localSheetId="0">'BRF 91 BOP V2'!$B$2:$J$123</definedName>
    <definedName name="_xlnm.Print_Titles" localSheetId="0">'BRF 91 BOP V2'!$1:$8</definedName>
  </definedNames>
  <calcPr calcId="144525" fullCalcOnLoad="1"/>
</workbook>
</file>

<file path=xl/sharedStrings.xml><?xml version="1.0" encoding="utf-8"?>
<sst xmlns="http://schemas.openxmlformats.org/spreadsheetml/2006/main" count="195" uniqueCount="192">
  <si>
    <t xml:space="preserve"> BANKING AND MONETARY STATISTICS- BALANCE OF PAYMENTS- BRF 91 (AED 000)</t>
  </si>
  <si>
    <t>ID</t>
  </si>
  <si>
    <t>4-101-1-0</t>
  </si>
  <si>
    <t>Bank</t>
  </si>
  <si>
    <t>Bank of Baroda</t>
  </si>
  <si>
    <t>As On</t>
  </si>
  <si>
    <t>S No</t>
  </si>
  <si>
    <t>Swift Payment Purpose Code</t>
  </si>
  <si>
    <t>Description (excluding interbank) - Classification</t>
  </si>
  <si>
    <t>Inflows</t>
  </si>
  <si>
    <t>Outflows</t>
  </si>
  <si>
    <t>All Transactions excluding Financial Free Zone</t>
  </si>
  <si>
    <t>Financial Free Zone</t>
  </si>
  <si>
    <t>Total</t>
  </si>
  <si>
    <t>I. Goods-Services-Income-Transfers Receipts &amp; Payments</t>
  </si>
  <si>
    <t>Import-Export</t>
  </si>
  <si>
    <t>GDE</t>
  </si>
  <si>
    <t>Goods sold (Exports in fob value)</t>
  </si>
  <si>
    <t>GDI</t>
  </si>
  <si>
    <t>Goods bought (Imports in cif value)</t>
  </si>
  <si>
    <t>Transport &amp; Travel</t>
  </si>
  <si>
    <t>STS</t>
  </si>
  <si>
    <t>Sea transport</t>
  </si>
  <si>
    <t>ATS</t>
  </si>
  <si>
    <t>Air transport</t>
  </si>
  <si>
    <t>OTS</t>
  </si>
  <si>
    <t>Other modes of transport (including Postal and courier services)</t>
  </si>
  <si>
    <t>STR</t>
  </si>
  <si>
    <t xml:space="preserve">Travel </t>
  </si>
  <si>
    <t>Services with abroad</t>
  </si>
  <si>
    <t>GMS</t>
  </si>
  <si>
    <t>Manufacturing services for goods for processing in the UAE and abroad and maintenance and repair services of goods</t>
  </si>
  <si>
    <t>SCO</t>
  </si>
  <si>
    <t xml:space="preserve">Construction </t>
  </si>
  <si>
    <t>INS</t>
  </si>
  <si>
    <t>Insurance services</t>
  </si>
  <si>
    <t>FIS</t>
  </si>
  <si>
    <t>Financial services</t>
  </si>
  <si>
    <t>IPC</t>
  </si>
  <si>
    <t>Charges for the use of intellectual property</t>
  </si>
  <si>
    <t>TCS</t>
  </si>
  <si>
    <t>Telecommunication services</t>
  </si>
  <si>
    <t>ITS</t>
  </si>
  <si>
    <t>Computer services</t>
  </si>
  <si>
    <t>IFS</t>
  </si>
  <si>
    <t>Information services</t>
  </si>
  <si>
    <t>RDS</t>
  </si>
  <si>
    <t>Research and development services</t>
  </si>
  <si>
    <t>3.10</t>
  </si>
  <si>
    <t>PMS</t>
  </si>
  <si>
    <t>Professional and management consulting services</t>
  </si>
  <si>
    <t>TTS</t>
  </si>
  <si>
    <t>Technical, trade-related and other business services</t>
  </si>
  <si>
    <t>PRS</t>
  </si>
  <si>
    <t>Personal, cultural, audio-visual and recreational services</t>
  </si>
  <si>
    <t>Interest &amp; Profits with abroad</t>
  </si>
  <si>
    <t>IGD</t>
  </si>
  <si>
    <t>Dividends intragroup</t>
  </si>
  <si>
    <t>IID</t>
  </si>
  <si>
    <t>Interest on debt intragroup</t>
  </si>
  <si>
    <t>PRR</t>
  </si>
  <si>
    <t>Rents on real estate</t>
  </si>
  <si>
    <t>DOE</t>
  </si>
  <si>
    <t>Dividends on equity not intragroup</t>
  </si>
  <si>
    <t>ISH</t>
  </si>
  <si>
    <t>Income on investment funds shares</t>
  </si>
  <si>
    <t>ISL</t>
  </si>
  <si>
    <t>Interest on securities more than a year</t>
  </si>
  <si>
    <t>ISS</t>
  </si>
  <si>
    <t>Interest on securities less than a year</t>
  </si>
  <si>
    <t>PIP</t>
  </si>
  <si>
    <t>Profits on Islamic products</t>
  </si>
  <si>
    <t>IOL</t>
  </si>
  <si>
    <t>Income on loans</t>
  </si>
  <si>
    <t>4.10</t>
  </si>
  <si>
    <t>IOD</t>
  </si>
  <si>
    <t>Income on deposits</t>
  </si>
  <si>
    <t>Government</t>
  </si>
  <si>
    <t>GOS</t>
  </si>
  <si>
    <t>Government goods and services</t>
  </si>
  <si>
    <t>GRI</t>
  </si>
  <si>
    <t>Government related income ex. taxes, tariffs, transfers, etc.</t>
  </si>
  <si>
    <t>Personal</t>
  </si>
  <si>
    <t>CHC</t>
  </si>
  <si>
    <t>Charitable contributions (Charity and aid)</t>
  </si>
  <si>
    <t>FAM</t>
  </si>
  <si>
    <t>Workers' remittances and family support</t>
  </si>
  <si>
    <t>SAL</t>
  </si>
  <si>
    <t>Compensation of employees (salary)</t>
  </si>
  <si>
    <t>PPA</t>
  </si>
  <si>
    <t>Purchase of real estate abroad from residents</t>
  </si>
  <si>
    <t>PPL</t>
  </si>
  <si>
    <t>Purchase of real estate in the UAE from non-residents</t>
  </si>
  <si>
    <t>II. Assets</t>
  </si>
  <si>
    <t>FDI flows - Acquisition and liquidation by residents of equity &amp; securities abroad (above 10% share)</t>
  </si>
  <si>
    <t>CEA</t>
  </si>
  <si>
    <t>Equity and investment fund shares other than reinvestment of earnings for the establishment of new company, merger or acquisition of companies and participation to capital increase from residents abroad</t>
  </si>
  <si>
    <t>DSF</t>
  </si>
  <si>
    <t>Debt instruments intragroup (securities foreign)</t>
  </si>
  <si>
    <t>REL</t>
  </si>
  <si>
    <t>Reverse equity share in the UAE</t>
  </si>
  <si>
    <t>RDL</t>
  </si>
  <si>
    <t>Reverse debt instruments in the UAE</t>
  </si>
  <si>
    <t>Portfolio investment flows - Acquisition and liquidation by residents of equity &amp; securities abroad (below 10% share)</t>
  </si>
  <si>
    <t>FSA</t>
  </si>
  <si>
    <t>Equity other than investment fund shares in not related companies abroad</t>
  </si>
  <si>
    <t>FIA</t>
  </si>
  <si>
    <t>Investment fund shares foreign</t>
  </si>
  <si>
    <t>DSA</t>
  </si>
  <si>
    <t>Debt securities - Purchases and sales of foreign debt securities in not related companies - Less than a year</t>
  </si>
  <si>
    <t>DLA</t>
  </si>
  <si>
    <t>Debt securities - Purchases and sales of foreign debt securities in not related companies - More than a year</t>
  </si>
  <si>
    <t>FDA</t>
  </si>
  <si>
    <t>Financial derivatives other than reserves foreign</t>
  </si>
  <si>
    <t>Lending-repayments and transfers by residents of loans &amp; deposits abroad</t>
  </si>
  <si>
    <t>DLF</t>
  </si>
  <si>
    <t>Debt instruments intragroup (loans, deposits foreign) above 10% share</t>
  </si>
  <si>
    <t>AFA</t>
  </si>
  <si>
    <t>Receipts/payments from personal residents bank account or deposits abroad</t>
  </si>
  <si>
    <t>SLA</t>
  </si>
  <si>
    <t>Loans - Drawings/Repayments on loans extended to non-residents - Short-term</t>
  </si>
  <si>
    <t>LLA</t>
  </si>
  <si>
    <t>Loans - Drawings/Repayments on loans extended to non-residents - Long-term</t>
  </si>
  <si>
    <t>LEA</t>
  </si>
  <si>
    <t>Leasing abroad</t>
  </si>
  <si>
    <t>RFS</t>
  </si>
  <si>
    <t>Repos on foreign securities</t>
  </si>
  <si>
    <t>TCR</t>
  </si>
  <si>
    <t>Trade credits and advances receivable</t>
  </si>
  <si>
    <t>III. Liabilities</t>
  </si>
  <si>
    <t>FDI flows - Acquisition and liquidation by non-residents of equity &amp; securities in the UAE (above 10% share)</t>
  </si>
  <si>
    <t>CEL</t>
  </si>
  <si>
    <t>Equity and investment fund shares other than reinvestment of earnings for the establishment of new company, merger or acquisition of companies and participation to capital increase from non-residents in the UAE</t>
  </si>
  <si>
    <t>LDS</t>
  </si>
  <si>
    <t>Debt instruments intragroup (securities in the UAE)</t>
  </si>
  <si>
    <t>REA</t>
  </si>
  <si>
    <t>Reverse equity share abroad</t>
  </si>
  <si>
    <t>RDA</t>
  </si>
  <si>
    <t>Reverse debt instruments abroad</t>
  </si>
  <si>
    <t>Portfolio investment flows - Acquisition and liquidation by non-residents of equity &amp; securities in the UAE (below 10% share)</t>
  </si>
  <si>
    <t>FSL</t>
  </si>
  <si>
    <t>Equity other than investment fund shares in not related companies in the UAE</t>
  </si>
  <si>
    <t>FIL</t>
  </si>
  <si>
    <t>Investment fund shares in the UAE</t>
  </si>
  <si>
    <t>DSL</t>
  </si>
  <si>
    <t>Debt securities - Purchases and sales of securities issued by residents in not related companies - Less than a year</t>
  </si>
  <si>
    <t>DLL</t>
  </si>
  <si>
    <t>Debt securities - Purchases and sales of securities issued by residents in not related companies - More than a year</t>
  </si>
  <si>
    <t>FDL</t>
  </si>
  <si>
    <t>Financial derivatives other than reserves in the UAE</t>
  </si>
  <si>
    <t>Lending-repayments and transfers by non-residents of loans &amp; deposits in the UAE</t>
  </si>
  <si>
    <t>LDL</t>
  </si>
  <si>
    <t>Debt instruments intragroup (loans, deposits in the UAE) above 10% share</t>
  </si>
  <si>
    <t>AFL</t>
  </si>
  <si>
    <t>Receipts/payments from non-resident bank account in the UAE</t>
  </si>
  <si>
    <t>SLL</t>
  </si>
  <si>
    <t>Loans -  Drawings/Repayments on foreign loans extended to residents - Short-term</t>
  </si>
  <si>
    <t>LLL</t>
  </si>
  <si>
    <t>Loans -  Drawings/Repayments on foreign loans extended to residents - Long-term</t>
  </si>
  <si>
    <t>LEL</t>
  </si>
  <si>
    <t>Leasing in the UAE</t>
  </si>
  <si>
    <t>RLS</t>
  </si>
  <si>
    <t>Repos on securities issued by residents</t>
  </si>
  <si>
    <t>TCP</t>
  </si>
  <si>
    <t>Trade credits and advances payable</t>
  </si>
  <si>
    <t>A</t>
  </si>
  <si>
    <t>Total Inflow (Receipts) and Total Outflow (Payments) of Foreign Exchange</t>
  </si>
  <si>
    <t>B</t>
  </si>
  <si>
    <t>SUMMARY OF BANKS TRANSACTIONS</t>
  </si>
  <si>
    <t>Description</t>
  </si>
  <si>
    <t>Opening balance</t>
  </si>
  <si>
    <t>Opening balance - Gross foreign currency holdings (previous quarter)</t>
  </si>
  <si>
    <t>Revaluation of the opening balance at prevailing rate (change only)</t>
  </si>
  <si>
    <t>Total inward receipt (inflows) – (including purchases from non-residents foreign banks, offices abroad and borrowing from non-residents banks classified accordingly)</t>
  </si>
  <si>
    <t>Purchases from resident banks, exchanges and resident branches of foreign banks</t>
  </si>
  <si>
    <t>Net increases in borrowings from other resident banks and resident branches of foreign banks</t>
  </si>
  <si>
    <t>Purchases from Central Bank of the UAE</t>
  </si>
  <si>
    <t>Total Purchases</t>
  </si>
  <si>
    <t>Total outward payments (outflows) – (including sales to foreign banks, offices abroad and lending to non-residents banks classified accordingly)</t>
  </si>
  <si>
    <t>Sales to other resident banks, exchanges and resident branches of foreign banks</t>
  </si>
  <si>
    <t>Net increases in lending to other resident banks and resident branches of foreign banks</t>
  </si>
  <si>
    <t>Sales to Central Bank of the UAE</t>
  </si>
  <si>
    <t>Total Sales</t>
  </si>
  <si>
    <t>Closing balance (gross foreign currency holdings carried forward)</t>
  </si>
  <si>
    <t>C.1</t>
  </si>
  <si>
    <t>MEMO: Credit/Debit card transactions between UAE resident cardholders and foreign merchants and cash dispensers abroad (Total)</t>
  </si>
  <si>
    <t>C.2</t>
  </si>
  <si>
    <t>MEMO: Credit/Debit card transactions between non-resident cardholders and UAE merchants and cash dispensers in the UAE (Total)</t>
  </si>
  <si>
    <t>NOTE:</t>
  </si>
  <si>
    <t>1  Opening balance shall be recalculated from the previous quarter with prevailing rate</t>
  </si>
  <si>
    <t>2. Receipts and payments should not be netted unless indicated otherwise.</t>
  </si>
  <si>
    <t>FORM NO: BSD/ BRF NO- 91 A BOP/JAN18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</si>
</sst>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2">
    <font>
      <sz val="11"/>
      <color theme="1"/>
      <name val="Calibri"/>
      <family val="2"/>
      <charset val="0"/>
      <scheme val="minor"/>
    </font>
    <font>
      <b/>
      <sz val="8"/>
      <name val="Arial"/>
      <family val="2"/>
      <charset val="0"/>
    </font>
    <font>
      <sz val="8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</fonts>
  <fills count="37">
    <fill>
      <patternFill patternType="none"/>
    </fill>
    <fill>
      <patternFill patternType="gray125"/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4" applyNumberFormat="0" applyFill="0" applyAlignment="0" applyProtection="0"/>
    <xf numFmtId="0" fontId="9" fillId="0" borderId="15" applyNumberFormat="0" applyFill="0" applyAlignment="0" applyProtection="0"/>
    <xf numFmtId="0" fontId="10" fillId="0" borderId="16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7" applyNumberFormat="0" applyAlignment="0" applyProtection="0"/>
    <xf numFmtId="0" fontId="12" fillId="8" borderId="18" applyNumberFormat="0" applyAlignment="0" applyProtection="0"/>
    <xf numFmtId="0" fontId="13" fillId="8" borderId="17" applyNumberFormat="0" applyAlignment="0" applyProtection="0"/>
    <xf numFmtId="0" fontId="14" fillId="9" borderId="19" applyNumberFormat="0" applyAlignment="0" applyProtection="0"/>
    <xf numFmtId="0" fontId="15" fillId="0" borderId="20" applyNumberFormat="0" applyFill="0" applyAlignment="0" applyProtection="0"/>
    <xf numFmtId="0" fontId="16" fillId="0" borderId="21" applyNumberFormat="0" applyFill="0" applyAlignment="0" applyProtection="0"/>
    <xf numFmtId="0" fontId="17" fillId="10" borderId="0" applyNumberFormat="0" applyBorder="0" applyAlignment="0" applyProtection="0"/>
    <xf numFmtId="0" fontId="18" fillId="11" borderId="0" applyNumberFormat="0" applyBorder="0" applyAlignment="0" applyProtection="0"/>
    <xf numFmtId="0" fontId="19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20" fillId="36" borderId="0" applyNumberFormat="0" applyBorder="0" applyAlignment="0" applyProtection="0"/>
    <xf numFmtId="0" fontId="21" fillId="0" borderId="0"/>
    <xf numFmtId="0" fontId="21" fillId="0" borderId="0"/>
    <xf numFmtId="0" fontId="21" fillId="0" borderId="0"/>
  </cellStyleXfs>
  <cellXfs count="85">
    <xf numFmtId="0" fontId="0" fillId="0" borderId="0" xfId="0"/>
    <xf numFmtId="0" fontId="1" fillId="0" borderId="0" xfId="0" applyFont="1" applyProtection="1"/>
    <xf numFmtId="0" fontId="2" fillId="0" borderId="0" xfId="0" applyFont="1" applyAlignment="1" applyProtection="1">
      <alignment horizontal="left" readingOrder="1"/>
    </xf>
    <xf numFmtId="0" fontId="2" fillId="0" borderId="0" xfId="0" applyFont="1" applyAlignment="1" applyProtection="1">
      <alignment wrapText="1"/>
    </xf>
    <xf numFmtId="0" fontId="2" fillId="0" borderId="0" xfId="0" applyFont="1" applyProtection="1"/>
    <xf numFmtId="0" fontId="1" fillId="2" borderId="1" xfId="51" applyFont="1" applyFill="1" applyBorder="1" applyAlignment="1" applyProtection="1">
      <alignment horizontal="center"/>
    </xf>
    <xf numFmtId="0" fontId="1" fillId="3" borderId="1" xfId="0" applyFont="1" applyFill="1" applyBorder="1" applyAlignment="1" applyProtection="1">
      <alignment horizontal="left" wrapText="1"/>
    </xf>
    <xf numFmtId="15" fontId="2" fillId="4" borderId="1" xfId="50" applyNumberFormat="1" applyFont="1" applyFill="1" applyBorder="1" applyAlignment="1" applyProtection="1">
      <alignment horizontal="left"/>
    </xf>
    <xf numFmtId="0" fontId="2" fillId="4" borderId="2" xfId="0" applyFont="1" applyFill="1" applyBorder="1" applyAlignment="1" applyProtection="1"/>
    <xf numFmtId="0" fontId="1" fillId="3" borderId="1" xfId="0" applyFont="1" applyFill="1" applyBorder="1" applyAlignment="1" applyProtection="1">
      <alignment horizontal="left"/>
    </xf>
    <xf numFmtId="0" fontId="2" fillId="4" borderId="0" xfId="0" applyFont="1" applyFill="1" applyBorder="1" applyAlignment="1" applyProtection="1"/>
    <xf numFmtId="0" fontId="2" fillId="4" borderId="3" xfId="0" applyFont="1" applyFill="1" applyBorder="1" applyAlignment="1" applyProtection="1"/>
    <xf numFmtId="0" fontId="2" fillId="4" borderId="4" xfId="0" applyFont="1" applyFill="1" applyBorder="1" applyAlignment="1" applyProtection="1">
      <alignment horizontal="center"/>
    </xf>
    <xf numFmtId="0" fontId="2" fillId="4" borderId="3" xfId="0" applyFont="1" applyFill="1" applyBorder="1" applyAlignment="1" applyProtection="1">
      <alignment horizontal="center"/>
    </xf>
    <xf numFmtId="0" fontId="1" fillId="3" borderId="5" xfId="0" applyFont="1" applyFill="1" applyBorder="1" applyAlignment="1" applyProtection="1">
      <alignment horizontal="left" vertical="center"/>
    </xf>
    <xf numFmtId="0" fontId="1" fillId="3" borderId="5" xfId="0" applyFont="1" applyFill="1" applyBorder="1" applyAlignment="1" applyProtection="1">
      <alignment horizontal="left" vertical="center" wrapText="1"/>
    </xf>
    <xf numFmtId="0" fontId="1" fillId="3" borderId="6" xfId="0" applyFont="1" applyFill="1" applyBorder="1" applyAlignment="1" applyProtection="1">
      <alignment horizontal="center" vertical="center" wrapText="1"/>
    </xf>
    <xf numFmtId="0" fontId="1" fillId="3" borderId="7" xfId="0" applyFont="1" applyFill="1" applyBorder="1" applyAlignment="1" applyProtection="1">
      <alignment horizontal="center" vertical="center" wrapText="1"/>
    </xf>
    <xf numFmtId="0" fontId="1" fillId="3" borderId="8" xfId="0" applyFont="1" applyFill="1" applyBorder="1" applyAlignment="1" applyProtection="1">
      <alignment horizontal="center" vertical="center" wrapText="1"/>
    </xf>
    <xf numFmtId="0" fontId="1" fillId="3" borderId="9" xfId="0" applyFont="1" applyFill="1" applyBorder="1" applyAlignment="1" applyProtection="1">
      <alignment horizontal="left" vertical="center"/>
    </xf>
    <xf numFmtId="0" fontId="1" fillId="3" borderId="9" xfId="0" applyFont="1" applyFill="1" applyBorder="1" applyAlignment="1" applyProtection="1">
      <alignment horizontal="left" vertical="center" wrapText="1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6" xfId="0" applyFont="1" applyFill="1" applyBorder="1" applyAlignment="1" applyProtection="1">
      <alignment horizontal="left" vertical="center"/>
    </xf>
    <xf numFmtId="0" fontId="1" fillId="3" borderId="7" xfId="0" applyFont="1" applyFill="1" applyBorder="1" applyAlignment="1" applyProtection="1">
      <alignment horizontal="left" vertical="center"/>
    </xf>
    <xf numFmtId="1" fontId="2" fillId="3" borderId="1" xfId="0" applyNumberFormat="1" applyFont="1" applyFill="1" applyBorder="1" applyAlignment="1" applyProtection="1">
      <alignment vertical="center" wrapText="1"/>
    </xf>
    <xf numFmtId="0" fontId="2" fillId="0" borderId="9" xfId="0" applyFont="1" applyFill="1" applyBorder="1" applyAlignment="1" applyProtection="1">
      <alignment horizontal="left" vertical="center"/>
    </xf>
    <xf numFmtId="0" fontId="2" fillId="0" borderId="1" xfId="0" applyFont="1" applyFill="1" applyBorder="1" applyAlignment="1" applyProtection="1">
      <alignment horizontal="left" vertical="center"/>
    </xf>
    <xf numFmtId="0" fontId="2" fillId="0" borderId="9" xfId="0" applyFont="1" applyFill="1" applyBorder="1" applyAlignment="1" applyProtection="1">
      <alignment horizontal="left" vertical="center" wrapText="1"/>
    </xf>
    <xf numFmtId="1" fontId="2" fillId="0" borderId="1" xfId="0" applyNumberFormat="1" applyFont="1" applyFill="1" applyBorder="1" applyAlignment="1" applyProtection="1">
      <alignment vertical="center" wrapText="1"/>
      <protection locked="0"/>
    </xf>
    <xf numFmtId="1" fontId="2" fillId="0" borderId="1" xfId="0" applyNumberFormat="1" applyFont="1" applyFill="1" applyBorder="1" applyAlignment="1" applyProtection="1">
      <alignment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2" fillId="3" borderId="1" xfId="0" applyFont="1" applyFill="1" applyBorder="1" applyAlignment="1" applyProtection="1">
      <alignment horizontal="left" vertical="center"/>
    </xf>
    <xf numFmtId="0" fontId="2" fillId="3" borderId="1" xfId="0" applyFont="1" applyFill="1" applyBorder="1" applyAlignment="1" applyProtection="1">
      <alignment horizontal="justify" vertical="center" wrapText="1"/>
    </xf>
    <xf numFmtId="2" fontId="2" fillId="3" borderId="1" xfId="0" applyNumberFormat="1" applyFont="1" applyFill="1" applyBorder="1" applyAlignment="1" applyProtection="1">
      <alignment vertical="center" wrapText="1"/>
    </xf>
    <xf numFmtId="0" fontId="1" fillId="3" borderId="1" xfId="0" applyFont="1" applyFill="1" applyBorder="1" applyAlignment="1" applyProtection="1">
      <alignment horizontal="justify" vertical="center" wrapText="1"/>
    </xf>
    <xf numFmtId="0" fontId="2" fillId="5" borderId="1" xfId="0" applyFont="1" applyFill="1" applyBorder="1" applyAlignment="1" applyProtection="1">
      <alignment horizontal="left" vertical="center"/>
    </xf>
    <xf numFmtId="0" fontId="2" fillId="5" borderId="1" xfId="0" applyFont="1" applyFill="1" applyBorder="1" applyAlignment="1" applyProtection="1">
      <alignment horizontal="justify" vertical="center" wrapText="1"/>
    </xf>
    <xf numFmtId="1" fontId="2" fillId="5" borderId="1" xfId="0" applyNumberFormat="1" applyFont="1" applyFill="1" applyBorder="1" applyAlignment="1" applyProtection="1">
      <alignment vertical="center" wrapText="1"/>
      <protection locked="0"/>
    </xf>
    <xf numFmtId="1" fontId="2" fillId="5" borderId="1" xfId="0" applyNumberFormat="1" applyFont="1" applyFill="1" applyBorder="1" applyAlignment="1" applyProtection="1">
      <alignment vertical="center" wrapText="1"/>
    </xf>
    <xf numFmtId="1" fontId="2" fillId="3" borderId="1" xfId="0" applyNumberFormat="1" applyFont="1" applyFill="1" applyBorder="1" applyAlignment="1" applyProtection="1">
      <alignment horizontal="right" vertical="center" wrapText="1"/>
    </xf>
    <xf numFmtId="1" fontId="2" fillId="5" borderId="1" xfId="0" applyNumberFormat="1" applyFont="1" applyFill="1" applyBorder="1" applyAlignment="1" applyProtection="1">
      <alignment horizontal="right" vertical="center" wrapText="1"/>
      <protection locked="0"/>
    </xf>
    <xf numFmtId="1" fontId="2" fillId="5" borderId="1" xfId="0" applyNumberFormat="1" applyFont="1" applyFill="1" applyBorder="1" applyAlignment="1" applyProtection="1">
      <alignment horizontal="right" vertical="center" wrapText="1"/>
    </xf>
    <xf numFmtId="0" fontId="2" fillId="0" borderId="1" xfId="0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vertical="center" wrapText="1"/>
    </xf>
    <xf numFmtId="0" fontId="1" fillId="3" borderId="1" xfId="0" applyFont="1" applyFill="1" applyBorder="1" applyAlignment="1" applyProtection="1">
      <alignment vertical="center" wrapText="1"/>
    </xf>
    <xf numFmtId="0" fontId="2" fillId="3" borderId="1" xfId="0" applyFont="1" applyFill="1" applyBorder="1" applyAlignment="1" applyProtection="1">
      <alignment vertical="center" wrapText="1"/>
    </xf>
    <xf numFmtId="0" fontId="1" fillId="3" borderId="1" xfId="0" applyFont="1" applyFill="1" applyBorder="1" applyAlignment="1" applyProtection="1">
      <alignment horizontal="left" vertical="center"/>
    </xf>
    <xf numFmtId="0" fontId="2" fillId="4" borderId="10" xfId="0" applyFont="1" applyFill="1" applyBorder="1" applyAlignment="1" applyProtection="1"/>
    <xf numFmtId="0" fontId="2" fillId="4" borderId="11" xfId="0" applyFont="1" applyFill="1" applyBorder="1" applyAlignment="1" applyProtection="1"/>
    <xf numFmtId="0" fontId="2" fillId="4" borderId="12" xfId="0" applyFont="1" applyFill="1" applyBorder="1" applyAlignment="1" applyProtection="1"/>
    <xf numFmtId="0" fontId="2" fillId="4" borderId="12" xfId="0" applyFont="1" applyFill="1" applyBorder="1" applyAlignment="1" applyProtection="1">
      <alignment horizontal="center"/>
    </xf>
    <xf numFmtId="0" fontId="1" fillId="3" borderId="8" xfId="0" applyFont="1" applyFill="1" applyBorder="1" applyAlignment="1" applyProtection="1">
      <alignment horizontal="left" vertical="center"/>
    </xf>
    <xf numFmtId="1" fontId="1" fillId="3" borderId="1" xfId="0" applyNumberFormat="1" applyFont="1" applyFill="1" applyBorder="1" applyAlignment="1" applyProtection="1">
      <alignment horizontal="right" vertical="center" wrapText="1"/>
    </xf>
    <xf numFmtId="1" fontId="1" fillId="3" borderId="1" xfId="0" applyNumberFormat="1" applyFont="1" applyFill="1" applyBorder="1" applyAlignment="1" applyProtection="1">
      <alignment vertical="center" wrapText="1"/>
    </xf>
    <xf numFmtId="0" fontId="1" fillId="3" borderId="6" xfId="0" applyFont="1" applyFill="1" applyBorder="1" applyAlignment="1" applyProtection="1">
      <alignment horizontal="left" wrapText="1"/>
    </xf>
    <xf numFmtId="0" fontId="1" fillId="3" borderId="8" xfId="0" applyFont="1" applyFill="1" applyBorder="1" applyAlignment="1" applyProtection="1">
      <alignment horizontal="left" wrapText="1"/>
    </xf>
    <xf numFmtId="0" fontId="1" fillId="3" borderId="6" xfId="0" applyFont="1" applyFill="1" applyBorder="1" applyAlignment="1" applyProtection="1">
      <alignment wrapText="1"/>
    </xf>
    <xf numFmtId="0" fontId="1" fillId="3" borderId="7" xfId="0" applyFont="1" applyFill="1" applyBorder="1" applyAlignment="1" applyProtection="1">
      <alignment wrapText="1"/>
    </xf>
    <xf numFmtId="0" fontId="2" fillId="3" borderId="6" xfId="0" applyFont="1" applyFill="1" applyBorder="1" applyAlignment="1" applyProtection="1">
      <alignment horizontal="center" readingOrder="1"/>
    </xf>
    <xf numFmtId="0" fontId="2" fillId="3" borderId="8" xfId="0" applyFont="1" applyFill="1" applyBorder="1" applyAlignment="1" applyProtection="1">
      <alignment horizontal="center" readingOrder="1"/>
    </xf>
    <xf numFmtId="0" fontId="1" fillId="3" borderId="7" xfId="0" applyFont="1" applyFill="1" applyBorder="1" applyAlignment="1" applyProtection="1">
      <alignment horizontal="left" wrapText="1"/>
    </xf>
    <xf numFmtId="0" fontId="2" fillId="3" borderId="6" xfId="0" applyFont="1" applyFill="1" applyBorder="1" applyAlignment="1" applyProtection="1">
      <alignment horizontal="left" vertical="center"/>
    </xf>
    <xf numFmtId="0" fontId="2" fillId="3" borderId="8" xfId="0" applyFont="1" applyFill="1" applyBorder="1" applyAlignment="1" applyProtection="1">
      <alignment horizontal="left" vertical="center"/>
    </xf>
    <xf numFmtId="0" fontId="2" fillId="0" borderId="6" xfId="0" applyFont="1" applyBorder="1" applyAlignment="1" applyProtection="1">
      <alignment horizontal="left" vertical="center"/>
    </xf>
    <xf numFmtId="0" fontId="2" fillId="0" borderId="8" xfId="0" applyFont="1" applyBorder="1" applyAlignment="1" applyProtection="1">
      <alignment horizontal="left" vertical="center"/>
    </xf>
    <xf numFmtId="0" fontId="2" fillId="0" borderId="6" xfId="0" applyFont="1" applyBorder="1" applyAlignment="1" applyProtection="1">
      <alignment horizontal="left" vertical="center" wrapText="1"/>
    </xf>
    <xf numFmtId="0" fontId="2" fillId="0" borderId="7" xfId="0" applyFont="1" applyBorder="1" applyAlignment="1" applyProtection="1">
      <alignment horizontal="left" vertical="center" wrapText="1"/>
    </xf>
    <xf numFmtId="0" fontId="2" fillId="0" borderId="1" xfId="0" applyFont="1" applyFill="1" applyBorder="1" applyAlignment="1" applyProtection="1">
      <alignment horizontal="left" readingOrder="1"/>
    </xf>
    <xf numFmtId="0" fontId="2" fillId="0" borderId="6" xfId="0" applyFont="1" applyFill="1" applyBorder="1" applyAlignment="1" applyProtection="1">
      <alignment horizontal="left" wrapText="1" readingOrder="1"/>
    </xf>
    <xf numFmtId="0" fontId="2" fillId="0" borderId="7" xfId="0" applyFont="1" applyFill="1" applyBorder="1" applyAlignment="1" applyProtection="1">
      <alignment horizontal="left" wrapText="1" readingOrder="1"/>
    </xf>
    <xf numFmtId="0" fontId="2" fillId="0" borderId="8" xfId="0" applyFont="1" applyFill="1" applyBorder="1" applyAlignment="1" applyProtection="1">
      <alignment horizontal="left" wrapText="1" readingOrder="1"/>
    </xf>
    <xf numFmtId="0" fontId="2" fillId="0" borderId="1" xfId="0" applyFont="1" applyFill="1" applyBorder="1" applyAlignment="1" applyProtection="1">
      <alignment horizontal="left"/>
    </xf>
    <xf numFmtId="0" fontId="2" fillId="0" borderId="6" xfId="0" applyFont="1" applyFill="1" applyBorder="1" applyAlignment="1" applyProtection="1">
      <alignment horizontal="left" readingOrder="1"/>
    </xf>
    <xf numFmtId="0" fontId="2" fillId="0" borderId="7" xfId="0" applyFont="1" applyFill="1" applyBorder="1" applyAlignment="1" applyProtection="1">
      <alignment horizontal="left" readingOrder="1"/>
    </xf>
    <xf numFmtId="0" fontId="2" fillId="0" borderId="1" xfId="0" applyFont="1" applyFill="1" applyBorder="1" applyAlignment="1" applyProtection="1">
      <alignment horizontal="center"/>
    </xf>
    <xf numFmtId="0" fontId="2" fillId="4" borderId="6" xfId="0" applyFont="1" applyFill="1" applyBorder="1" applyAlignment="1" applyProtection="1">
      <alignment horizontal="left" readingOrder="1"/>
    </xf>
    <xf numFmtId="0" fontId="2" fillId="4" borderId="7" xfId="0" applyFont="1" applyFill="1" applyBorder="1" applyAlignment="1" applyProtection="1">
      <alignment horizontal="left" readingOrder="1"/>
    </xf>
    <xf numFmtId="0" fontId="1" fillId="3" borderId="8" xfId="0" applyFont="1" applyFill="1" applyBorder="1" applyAlignment="1" applyProtection="1">
      <alignment wrapText="1"/>
    </xf>
    <xf numFmtId="0" fontId="1" fillId="3" borderId="1" xfId="0" applyFont="1" applyFill="1" applyBorder="1" applyAlignment="1" applyProtection="1">
      <alignment wrapText="1"/>
    </xf>
    <xf numFmtId="1" fontId="1" fillId="3" borderId="1" xfId="0" applyNumberFormat="1" applyFont="1" applyFill="1" applyBorder="1" applyAlignment="1" applyProtection="1">
      <alignment vertical="center"/>
    </xf>
    <xf numFmtId="1" fontId="2" fillId="0" borderId="1" xfId="0" applyNumberFormat="1" applyFont="1" applyBorder="1" applyAlignment="1" applyProtection="1">
      <alignment vertical="center" wrapText="1"/>
      <protection locked="0"/>
    </xf>
    <xf numFmtId="1" fontId="2" fillId="0" borderId="1" xfId="0" applyNumberFormat="1" applyFont="1" applyBorder="1" applyAlignment="1" applyProtection="1">
      <alignment vertical="center" wrapText="1"/>
    </xf>
    <xf numFmtId="0" fontId="2" fillId="0" borderId="1" xfId="0" applyFont="1" applyFill="1" applyBorder="1" applyAlignment="1" applyProtection="1">
      <alignment horizontal="left" wrapText="1" readingOrder="1"/>
    </xf>
    <xf numFmtId="0" fontId="2" fillId="0" borderId="8" xfId="0" applyFont="1" applyFill="1" applyBorder="1" applyAlignment="1" applyProtection="1">
      <alignment horizontal="left" readingOrder="1"/>
    </xf>
    <xf numFmtId="0" fontId="2" fillId="4" borderId="8" xfId="0" applyFont="1" applyFill="1" applyBorder="1" applyAlignment="1" applyProtection="1">
      <alignment horizontal="left" readingOrder="1"/>
    </xf>
    <xf numFmtId="0" fontId="2" fillId="5" borderId="1" xfId="0" applyFont="1" applyFill="1" applyBorder="1" applyAlignment="1" applyProtection="1" quotePrefix="1">
      <alignment horizontal="left" vertical="center"/>
    </xf>
    <xf numFmtId="0" fontId="2" fillId="0" borderId="1" xfId="0" applyFont="1" applyBorder="1" applyAlignment="1" applyProtection="1" quotePrefix="1">
      <alignment horizontal="left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5" xfId="51"/>
  </cellStyles>
  <tableStyles count="0" defaultTableStyle="TableStyleMedium2" defaultPivotStyle="PivotStyleLight16"/>
  <colors>
    <mruColors>
      <color rgb="00BFBFB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24"/>
  <sheetViews>
    <sheetView showGridLines="0" tabSelected="1" zoomScaleSheetLayoutView="60" workbookViewId="0">
      <selection activeCell="G15" sqref="G15"/>
    </sheetView>
  </sheetViews>
  <sheetFormatPr defaultColWidth="0" defaultRowHeight="11.25" zeroHeight="1"/>
  <cols>
    <col min="1" max="1" width="2.70909090909091" style="2" customWidth="1"/>
    <col min="2" max="2" width="10" style="3"/>
    <col min="3" max="3" width="7.85454545454545" style="3"/>
    <col min="4" max="4" width="73.5727272727273" style="4" customWidth="1"/>
    <col min="5" max="10" width="10.7090909090909" style="4" customWidth="1"/>
    <col min="11" max="11" width="9.13636363636364" style="4" customWidth="1"/>
    <col min="12" max="12" width="0" style="4" hidden="1"/>
    <col min="13" max="16384" width="9.13636363636364" style="4" hidden="1"/>
  </cols>
  <sheetData>
    <row r="1" spans="1:3">
      <c r="A1" s="4"/>
      <c r="B1" s="4"/>
      <c r="C1" s="4"/>
    </row>
    <row r="2" ht="18" customHeight="1" spans="1:10">
      <c r="A2" s="4"/>
      <c r="B2" s="5" t="s">
        <v>0</v>
      </c>
      <c r="C2" s="5"/>
      <c r="D2" s="5"/>
      <c r="E2" s="5"/>
      <c r="F2" s="5"/>
      <c r="G2" s="5"/>
      <c r="H2" s="5"/>
      <c r="I2" s="5"/>
      <c r="J2" s="5"/>
    </row>
    <row r="3" ht="15" customHeight="1" spans="1:10">
      <c r="A3" s="4"/>
      <c r="B3" s="6" t="s">
        <v>1</v>
      </c>
      <c r="C3" s="7" t="s">
        <v>2</v>
      </c>
      <c r="D3" s="7"/>
      <c r="E3" s="8"/>
      <c r="F3" s="8"/>
      <c r="G3" s="8"/>
      <c r="H3" s="8"/>
      <c r="I3" s="8"/>
      <c r="J3" s="47"/>
    </row>
    <row r="4" ht="15" customHeight="1" spans="1:10">
      <c r="A4" s="4"/>
      <c r="B4" s="9" t="s">
        <v>3</v>
      </c>
      <c r="C4" s="7" t="s">
        <v>4</v>
      </c>
      <c r="D4" s="7"/>
      <c r="E4" s="10"/>
      <c r="F4" s="10"/>
      <c r="G4" s="10"/>
      <c r="H4" s="10"/>
      <c r="I4" s="10"/>
      <c r="J4" s="48"/>
    </row>
    <row r="5" ht="15" customHeight="1" spans="1:10">
      <c r="A5" s="4"/>
      <c r="B5" s="9" t="s">
        <v>5</v>
      </c>
      <c r="C5" s="7"/>
      <c r="D5" s="7"/>
      <c r="E5" s="11"/>
      <c r="F5" s="11"/>
      <c r="G5" s="11"/>
      <c r="H5" s="11"/>
      <c r="I5" s="11"/>
      <c r="J5" s="49"/>
    </row>
    <row r="6" spans="1:10">
      <c r="A6" s="4"/>
      <c r="B6" s="12"/>
      <c r="C6" s="13"/>
      <c r="D6" s="13"/>
      <c r="E6" s="13"/>
      <c r="F6" s="13"/>
      <c r="G6" s="13"/>
      <c r="H6" s="13"/>
      <c r="I6" s="13"/>
      <c r="J6" s="50"/>
    </row>
    <row r="7" spans="1:10">
      <c r="A7" s="4"/>
      <c r="B7" s="14" t="s">
        <v>6</v>
      </c>
      <c r="C7" s="15" t="s">
        <v>7</v>
      </c>
      <c r="D7" s="15" t="s">
        <v>8</v>
      </c>
      <c r="E7" s="16" t="s">
        <v>9</v>
      </c>
      <c r="F7" s="17"/>
      <c r="G7" s="18"/>
      <c r="H7" s="16" t="s">
        <v>10</v>
      </c>
      <c r="I7" s="17"/>
      <c r="J7" s="18"/>
    </row>
    <row r="8" s="1" customFormat="1" ht="52.5" spans="2:10">
      <c r="B8" s="19"/>
      <c r="C8" s="20"/>
      <c r="D8" s="20"/>
      <c r="E8" s="21" t="s">
        <v>11</v>
      </c>
      <c r="F8" s="21" t="s">
        <v>12</v>
      </c>
      <c r="G8" s="21" t="s">
        <v>13</v>
      </c>
      <c r="H8" s="21" t="s">
        <v>11</v>
      </c>
      <c r="I8" s="21" t="s">
        <v>12</v>
      </c>
      <c r="J8" s="21" t="s">
        <v>13</v>
      </c>
    </row>
    <row r="9" s="1" customFormat="1" ht="20.1" customHeight="1" spans="2:10">
      <c r="B9" s="22" t="s">
        <v>14</v>
      </c>
      <c r="C9" s="23"/>
      <c r="D9" s="23"/>
      <c r="E9" s="23"/>
      <c r="F9" s="23"/>
      <c r="G9" s="23"/>
      <c r="H9" s="23"/>
      <c r="I9" s="23"/>
      <c r="J9" s="51"/>
    </row>
    <row r="10" s="1" customFormat="1" ht="20.1" customHeight="1" spans="2:10">
      <c r="B10" s="19">
        <v>1</v>
      </c>
      <c r="C10" s="20"/>
      <c r="D10" s="19" t="s">
        <v>15</v>
      </c>
      <c r="E10" s="24">
        <f t="shared" ref="E10:J10" si="0">SUM(E11:E12)</f>
        <v>0</v>
      </c>
      <c r="F10" s="24">
        <f t="shared" si="0"/>
        <v>0</v>
      </c>
      <c r="G10" s="24">
        <f t="shared" si="0"/>
        <v>0</v>
      </c>
      <c r="H10" s="24">
        <f t="shared" si="0"/>
        <v>0</v>
      </c>
      <c r="I10" s="24">
        <f t="shared" si="0"/>
        <v>0</v>
      </c>
      <c r="J10" s="24">
        <f t="shared" si="0"/>
        <v>0</v>
      </c>
    </row>
    <row r="11" s="1" customFormat="1" ht="20.1" customHeight="1" spans="2:10">
      <c r="B11" s="25">
        <v>1.1</v>
      </c>
      <c r="C11" s="26" t="s">
        <v>16</v>
      </c>
      <c r="D11" s="27" t="s">
        <v>17</v>
      </c>
      <c r="E11" s="28">
        <v>0</v>
      </c>
      <c r="F11" s="28">
        <v>0</v>
      </c>
      <c r="G11" s="29">
        <f>E11+F11</f>
        <v>0</v>
      </c>
      <c r="H11" s="28">
        <v>0</v>
      </c>
      <c r="I11" s="28">
        <v>0</v>
      </c>
      <c r="J11" s="29">
        <f>H11+I11</f>
        <v>0</v>
      </c>
    </row>
    <row r="12" s="1" customFormat="1" ht="20.1" customHeight="1" spans="2:10">
      <c r="B12" s="26">
        <v>1.2</v>
      </c>
      <c r="C12" s="26" t="s">
        <v>18</v>
      </c>
      <c r="D12" s="30" t="s">
        <v>19</v>
      </c>
      <c r="E12" s="28">
        <v>0</v>
      </c>
      <c r="F12" s="28">
        <v>0</v>
      </c>
      <c r="G12" s="29">
        <f>E12+F12</f>
        <v>0</v>
      </c>
      <c r="H12" s="28">
        <v>0</v>
      </c>
      <c r="I12" s="28">
        <v>0</v>
      </c>
      <c r="J12" s="29">
        <f>H12+I12</f>
        <v>0</v>
      </c>
    </row>
    <row r="13" ht="20.1" customHeight="1" spans="1:10">
      <c r="A13" s="4"/>
      <c r="B13" s="31"/>
      <c r="C13" s="31"/>
      <c r="D13" s="32"/>
      <c r="E13" s="33"/>
      <c r="F13" s="33"/>
      <c r="G13" s="33"/>
      <c r="H13" s="33"/>
      <c r="I13" s="33"/>
      <c r="J13" s="33"/>
    </row>
    <row r="14" ht="20.1" customHeight="1" spans="1:10">
      <c r="A14" s="4"/>
      <c r="B14" s="31">
        <v>2</v>
      </c>
      <c r="C14" s="31"/>
      <c r="D14" s="34" t="s">
        <v>20</v>
      </c>
      <c r="E14" s="24">
        <f t="shared" ref="E14:J14" si="1">SUM(E15:E18)</f>
        <v>0</v>
      </c>
      <c r="F14" s="24">
        <f t="shared" si="1"/>
        <v>0</v>
      </c>
      <c r="G14" s="24">
        <f t="shared" si="1"/>
        <v>0</v>
      </c>
      <c r="H14" s="24">
        <f t="shared" si="1"/>
        <v>0</v>
      </c>
      <c r="I14" s="24">
        <f t="shared" si="1"/>
        <v>0</v>
      </c>
      <c r="J14" s="24">
        <f t="shared" si="1"/>
        <v>0</v>
      </c>
    </row>
    <row r="15" ht="20.1" customHeight="1" spans="1:10">
      <c r="A15" s="4"/>
      <c r="B15" s="35">
        <v>2.1</v>
      </c>
      <c r="C15" s="35" t="s">
        <v>21</v>
      </c>
      <c r="D15" s="36" t="s">
        <v>22</v>
      </c>
      <c r="E15" s="37">
        <v>0</v>
      </c>
      <c r="F15" s="37">
        <v>0</v>
      </c>
      <c r="G15" s="38">
        <f>E15+F15</f>
        <v>0</v>
      </c>
      <c r="H15" s="37">
        <v>0</v>
      </c>
      <c r="I15" s="37">
        <v>0</v>
      </c>
      <c r="J15" s="38">
        <f>H15+I15</f>
        <v>0</v>
      </c>
    </row>
    <row r="16" ht="20.1" customHeight="1" spans="1:10">
      <c r="A16" s="4"/>
      <c r="B16" s="35">
        <v>2.2</v>
      </c>
      <c r="C16" s="35" t="s">
        <v>23</v>
      </c>
      <c r="D16" s="36" t="s">
        <v>24</v>
      </c>
      <c r="E16" s="37">
        <v>0</v>
      </c>
      <c r="F16" s="37">
        <v>0</v>
      </c>
      <c r="G16" s="38">
        <f>E16+F16</f>
        <v>0</v>
      </c>
      <c r="H16" s="37">
        <v>0</v>
      </c>
      <c r="I16" s="37">
        <v>0</v>
      </c>
      <c r="J16" s="38">
        <f>H16+I16</f>
        <v>0</v>
      </c>
    </row>
    <row r="17" ht="20.1" customHeight="1" spans="1:10">
      <c r="A17" s="4"/>
      <c r="B17" s="35">
        <v>2.3</v>
      </c>
      <c r="C17" s="35" t="s">
        <v>25</v>
      </c>
      <c r="D17" s="36" t="s">
        <v>26</v>
      </c>
      <c r="E17" s="37">
        <v>0</v>
      </c>
      <c r="F17" s="37">
        <v>0</v>
      </c>
      <c r="G17" s="38">
        <f>E17+F17</f>
        <v>0</v>
      </c>
      <c r="H17" s="37">
        <v>0</v>
      </c>
      <c r="I17" s="37">
        <v>0</v>
      </c>
      <c r="J17" s="38">
        <f>H17+I17</f>
        <v>0</v>
      </c>
    </row>
    <row r="18" ht="20.1" customHeight="1" spans="1:10">
      <c r="A18" s="4"/>
      <c r="B18" s="35">
        <v>2.4</v>
      </c>
      <c r="C18" s="35" t="s">
        <v>27</v>
      </c>
      <c r="D18" s="36" t="s">
        <v>28</v>
      </c>
      <c r="E18" s="37">
        <v>0</v>
      </c>
      <c r="F18" s="37">
        <v>0</v>
      </c>
      <c r="G18" s="38">
        <f>E18+F18</f>
        <v>0</v>
      </c>
      <c r="H18" s="37">
        <v>0</v>
      </c>
      <c r="I18" s="37">
        <v>0</v>
      </c>
      <c r="J18" s="38">
        <f>H18+I18</f>
        <v>0</v>
      </c>
    </row>
    <row r="19" ht="20.1" customHeight="1" spans="1:10">
      <c r="A19" s="4"/>
      <c r="B19" s="31"/>
      <c r="C19" s="31"/>
      <c r="D19" s="32"/>
      <c r="E19" s="32"/>
      <c r="F19" s="32"/>
      <c r="G19" s="32"/>
      <c r="H19" s="32"/>
      <c r="I19" s="32"/>
      <c r="J19" s="32"/>
    </row>
    <row r="20" ht="20.1" customHeight="1" spans="1:10">
      <c r="A20" s="4"/>
      <c r="B20" s="31">
        <v>3</v>
      </c>
      <c r="C20" s="31"/>
      <c r="D20" s="34" t="s">
        <v>29</v>
      </c>
      <c r="E20" s="39">
        <f t="shared" ref="E20:J20" si="2">SUM(E21:E32)</f>
        <v>0</v>
      </c>
      <c r="F20" s="39">
        <f t="shared" si="2"/>
        <v>0</v>
      </c>
      <c r="G20" s="39">
        <f t="shared" si="2"/>
        <v>0</v>
      </c>
      <c r="H20" s="39">
        <f t="shared" si="2"/>
        <v>0</v>
      </c>
      <c r="I20" s="39">
        <f t="shared" si="2"/>
        <v>0</v>
      </c>
      <c r="J20" s="39">
        <f t="shared" si="2"/>
        <v>0</v>
      </c>
    </row>
    <row r="21" ht="20.1" customHeight="1" spans="1:10">
      <c r="A21" s="4"/>
      <c r="B21" s="35">
        <v>3.1</v>
      </c>
      <c r="C21" s="35" t="s">
        <v>30</v>
      </c>
      <c r="D21" s="36" t="s">
        <v>31</v>
      </c>
      <c r="E21" s="40">
        <v>0</v>
      </c>
      <c r="F21" s="40">
        <v>0</v>
      </c>
      <c r="G21" s="41">
        <f t="shared" ref="G21:G48" si="3">E21+F21</f>
        <v>0</v>
      </c>
      <c r="H21" s="40">
        <v>0</v>
      </c>
      <c r="I21" s="40">
        <v>0</v>
      </c>
      <c r="J21" s="41">
        <f t="shared" ref="J21:J48" si="4">H21+I21</f>
        <v>0</v>
      </c>
    </row>
    <row r="22" ht="20.1" customHeight="1" spans="1:10">
      <c r="A22" s="4"/>
      <c r="B22" s="35">
        <v>3.2</v>
      </c>
      <c r="C22" s="35" t="s">
        <v>32</v>
      </c>
      <c r="D22" s="36" t="s">
        <v>33</v>
      </c>
      <c r="E22" s="40">
        <v>0</v>
      </c>
      <c r="F22" s="40">
        <v>0</v>
      </c>
      <c r="G22" s="41">
        <f t="shared" si="3"/>
        <v>0</v>
      </c>
      <c r="H22" s="40">
        <v>0</v>
      </c>
      <c r="I22" s="40">
        <v>0</v>
      </c>
      <c r="J22" s="41">
        <f t="shared" si="4"/>
        <v>0</v>
      </c>
    </row>
    <row r="23" ht="20.1" customHeight="1" spans="1:10">
      <c r="A23" s="4"/>
      <c r="B23" s="35">
        <v>3.3</v>
      </c>
      <c r="C23" s="85" t="s">
        <v>34</v>
      </c>
      <c r="D23" s="36" t="s">
        <v>35</v>
      </c>
      <c r="E23" s="40">
        <v>0</v>
      </c>
      <c r="F23" s="40">
        <v>0</v>
      </c>
      <c r="G23" s="41">
        <f t="shared" si="3"/>
        <v>0</v>
      </c>
      <c r="H23" s="40">
        <v>0</v>
      </c>
      <c r="I23" s="40">
        <v>0</v>
      </c>
      <c r="J23" s="41">
        <f t="shared" si="4"/>
        <v>0</v>
      </c>
    </row>
    <row r="24" ht="20.1" customHeight="1" spans="1:10">
      <c r="A24" s="4"/>
      <c r="B24" s="35">
        <v>3.4</v>
      </c>
      <c r="C24" s="35" t="s">
        <v>36</v>
      </c>
      <c r="D24" s="36" t="s">
        <v>37</v>
      </c>
      <c r="E24" s="40">
        <v>0</v>
      </c>
      <c r="F24" s="40">
        <v>0</v>
      </c>
      <c r="G24" s="41">
        <f t="shared" si="3"/>
        <v>0</v>
      </c>
      <c r="H24" s="40">
        <v>0</v>
      </c>
      <c r="I24" s="40">
        <v>0</v>
      </c>
      <c r="J24" s="41">
        <f t="shared" si="4"/>
        <v>0</v>
      </c>
    </row>
    <row r="25" ht="20.1" customHeight="1" spans="1:10">
      <c r="A25" s="4"/>
      <c r="B25" s="35">
        <v>3.5</v>
      </c>
      <c r="C25" s="35" t="s">
        <v>38</v>
      </c>
      <c r="D25" s="36" t="s">
        <v>39</v>
      </c>
      <c r="E25" s="40">
        <v>0</v>
      </c>
      <c r="F25" s="40">
        <v>0</v>
      </c>
      <c r="G25" s="41">
        <f t="shared" si="3"/>
        <v>0</v>
      </c>
      <c r="H25" s="40">
        <v>0</v>
      </c>
      <c r="I25" s="40">
        <v>0</v>
      </c>
      <c r="J25" s="41">
        <f t="shared" si="4"/>
        <v>0</v>
      </c>
    </row>
    <row r="26" ht="20.1" customHeight="1" spans="1:10">
      <c r="A26" s="4"/>
      <c r="B26" s="35">
        <v>3.6</v>
      </c>
      <c r="C26" s="85" t="s">
        <v>40</v>
      </c>
      <c r="D26" s="36" t="s">
        <v>41</v>
      </c>
      <c r="E26" s="40">
        <v>0</v>
      </c>
      <c r="F26" s="40">
        <v>0</v>
      </c>
      <c r="G26" s="41">
        <f t="shared" si="3"/>
        <v>0</v>
      </c>
      <c r="H26" s="40">
        <v>0</v>
      </c>
      <c r="I26" s="40">
        <v>0</v>
      </c>
      <c r="J26" s="41">
        <f t="shared" si="4"/>
        <v>0</v>
      </c>
    </row>
    <row r="27" ht="20.1" customHeight="1" spans="1:10">
      <c r="A27" s="4"/>
      <c r="B27" s="35">
        <v>3.7</v>
      </c>
      <c r="C27" s="35" t="s">
        <v>42</v>
      </c>
      <c r="D27" s="36" t="s">
        <v>43</v>
      </c>
      <c r="E27" s="40">
        <v>0</v>
      </c>
      <c r="F27" s="40">
        <v>0</v>
      </c>
      <c r="G27" s="41">
        <f t="shared" si="3"/>
        <v>0</v>
      </c>
      <c r="H27" s="40">
        <v>0</v>
      </c>
      <c r="I27" s="40">
        <v>0</v>
      </c>
      <c r="J27" s="41">
        <f t="shared" si="4"/>
        <v>0</v>
      </c>
    </row>
    <row r="28" ht="20.1" customHeight="1" spans="1:10">
      <c r="A28" s="4"/>
      <c r="B28" s="35">
        <v>3.8</v>
      </c>
      <c r="C28" s="35" t="s">
        <v>44</v>
      </c>
      <c r="D28" s="36" t="s">
        <v>45</v>
      </c>
      <c r="E28" s="40">
        <v>0</v>
      </c>
      <c r="F28" s="40">
        <v>0</v>
      </c>
      <c r="G28" s="41">
        <f t="shared" si="3"/>
        <v>0</v>
      </c>
      <c r="H28" s="40">
        <v>0</v>
      </c>
      <c r="I28" s="40">
        <v>0</v>
      </c>
      <c r="J28" s="41">
        <f t="shared" si="4"/>
        <v>0</v>
      </c>
    </row>
    <row r="29" ht="20.1" customHeight="1" spans="1:10">
      <c r="A29" s="4"/>
      <c r="B29" s="35">
        <v>3.9</v>
      </c>
      <c r="C29" s="35" t="s">
        <v>46</v>
      </c>
      <c r="D29" s="36" t="s">
        <v>47</v>
      </c>
      <c r="E29" s="40">
        <v>0</v>
      </c>
      <c r="F29" s="40">
        <v>0</v>
      </c>
      <c r="G29" s="41">
        <f t="shared" si="3"/>
        <v>0</v>
      </c>
      <c r="H29" s="40">
        <v>0</v>
      </c>
      <c r="I29" s="40">
        <v>0</v>
      </c>
      <c r="J29" s="41">
        <f t="shared" si="4"/>
        <v>0</v>
      </c>
    </row>
    <row r="30" ht="20.1" customHeight="1" spans="1:10">
      <c r="A30" s="4"/>
      <c r="B30" s="85" t="s">
        <v>48</v>
      </c>
      <c r="C30" s="35" t="s">
        <v>49</v>
      </c>
      <c r="D30" s="36" t="s">
        <v>50</v>
      </c>
      <c r="E30" s="40">
        <v>0</v>
      </c>
      <c r="F30" s="40">
        <v>0</v>
      </c>
      <c r="G30" s="41">
        <f t="shared" si="3"/>
        <v>0</v>
      </c>
      <c r="H30" s="40">
        <v>0</v>
      </c>
      <c r="I30" s="40">
        <v>0</v>
      </c>
      <c r="J30" s="41">
        <f t="shared" si="4"/>
        <v>0</v>
      </c>
    </row>
    <row r="31" ht="20.1" customHeight="1" spans="1:10">
      <c r="A31" s="4"/>
      <c r="B31" s="35">
        <v>3.11</v>
      </c>
      <c r="C31" s="35" t="s">
        <v>51</v>
      </c>
      <c r="D31" s="36" t="s">
        <v>52</v>
      </c>
      <c r="E31" s="40">
        <v>0</v>
      </c>
      <c r="F31" s="40">
        <v>0</v>
      </c>
      <c r="G31" s="41">
        <f t="shared" si="3"/>
        <v>0</v>
      </c>
      <c r="H31" s="40">
        <v>0</v>
      </c>
      <c r="I31" s="40">
        <v>0</v>
      </c>
      <c r="J31" s="41">
        <f t="shared" si="4"/>
        <v>0</v>
      </c>
    </row>
    <row r="32" ht="20.1" customHeight="1" spans="1:10">
      <c r="A32" s="4"/>
      <c r="B32" s="35">
        <v>3.12</v>
      </c>
      <c r="C32" s="35" t="s">
        <v>53</v>
      </c>
      <c r="D32" s="36" t="s">
        <v>54</v>
      </c>
      <c r="E32" s="40">
        <v>0</v>
      </c>
      <c r="F32" s="40">
        <v>0</v>
      </c>
      <c r="G32" s="41">
        <f t="shared" si="3"/>
        <v>0</v>
      </c>
      <c r="H32" s="40">
        <v>0</v>
      </c>
      <c r="I32" s="40">
        <v>0</v>
      </c>
      <c r="J32" s="41">
        <f t="shared" si="4"/>
        <v>0</v>
      </c>
    </row>
    <row r="33" ht="20.1" customHeight="1" spans="1:10">
      <c r="A33" s="4"/>
      <c r="B33" s="31"/>
      <c r="C33" s="31"/>
      <c r="D33" s="32"/>
      <c r="E33" s="39"/>
      <c r="F33" s="39"/>
      <c r="G33" s="39"/>
      <c r="H33" s="39"/>
      <c r="I33" s="39"/>
      <c r="J33" s="39"/>
    </row>
    <row r="34" ht="20.1" customHeight="1" spans="1:10">
      <c r="A34" s="4"/>
      <c r="B34" s="31">
        <v>4</v>
      </c>
      <c r="C34" s="31"/>
      <c r="D34" s="34" t="s">
        <v>55</v>
      </c>
      <c r="E34" s="39">
        <f t="shared" ref="E34:J34" si="5">SUM(E35:E44)</f>
        <v>0</v>
      </c>
      <c r="F34" s="39">
        <f t="shared" si="5"/>
        <v>0</v>
      </c>
      <c r="G34" s="39">
        <f t="shared" si="5"/>
        <v>0</v>
      </c>
      <c r="H34" s="39">
        <f t="shared" si="5"/>
        <v>0</v>
      </c>
      <c r="I34" s="39">
        <f t="shared" si="5"/>
        <v>0</v>
      </c>
      <c r="J34" s="39">
        <f t="shared" si="5"/>
        <v>0</v>
      </c>
    </row>
    <row r="35" ht="20.1" customHeight="1" spans="1:10">
      <c r="A35" s="4"/>
      <c r="B35" s="42">
        <v>4.1</v>
      </c>
      <c r="C35" s="42" t="s">
        <v>56</v>
      </c>
      <c r="D35" s="43" t="s">
        <v>57</v>
      </c>
      <c r="E35" s="40">
        <v>0</v>
      </c>
      <c r="F35" s="40">
        <v>0</v>
      </c>
      <c r="G35" s="41">
        <f t="shared" ref="G35:G44" si="6">E35+F35</f>
        <v>0</v>
      </c>
      <c r="H35" s="40">
        <v>0</v>
      </c>
      <c r="I35" s="40">
        <v>0</v>
      </c>
      <c r="J35" s="41">
        <f t="shared" ref="J35:J44" si="7">H35+I35</f>
        <v>0</v>
      </c>
    </row>
    <row r="36" ht="20.1" customHeight="1" spans="1:10">
      <c r="A36" s="4"/>
      <c r="B36" s="42">
        <v>4.2</v>
      </c>
      <c r="C36" s="42" t="s">
        <v>58</v>
      </c>
      <c r="D36" s="43" t="s">
        <v>59</v>
      </c>
      <c r="E36" s="40">
        <v>0</v>
      </c>
      <c r="F36" s="40">
        <v>0</v>
      </c>
      <c r="G36" s="41">
        <f t="shared" si="6"/>
        <v>0</v>
      </c>
      <c r="H36" s="40">
        <v>0</v>
      </c>
      <c r="I36" s="40">
        <v>0</v>
      </c>
      <c r="J36" s="41">
        <f t="shared" si="7"/>
        <v>0</v>
      </c>
    </row>
    <row r="37" ht="20.1" customHeight="1" spans="1:10">
      <c r="A37" s="4"/>
      <c r="B37" s="42">
        <v>4.3</v>
      </c>
      <c r="C37" s="42" t="s">
        <v>60</v>
      </c>
      <c r="D37" s="43" t="s">
        <v>61</v>
      </c>
      <c r="E37" s="40">
        <v>0</v>
      </c>
      <c r="F37" s="40">
        <v>0</v>
      </c>
      <c r="G37" s="41">
        <f t="shared" si="6"/>
        <v>0</v>
      </c>
      <c r="H37" s="40">
        <v>0</v>
      </c>
      <c r="I37" s="40">
        <v>0</v>
      </c>
      <c r="J37" s="41">
        <f t="shared" si="7"/>
        <v>0</v>
      </c>
    </row>
    <row r="38" ht="20.1" customHeight="1" spans="1:10">
      <c r="A38" s="4"/>
      <c r="B38" s="42">
        <v>4.4</v>
      </c>
      <c r="C38" s="42" t="s">
        <v>62</v>
      </c>
      <c r="D38" s="43" t="s">
        <v>63</v>
      </c>
      <c r="E38" s="40">
        <v>0</v>
      </c>
      <c r="F38" s="40">
        <v>0</v>
      </c>
      <c r="G38" s="41">
        <f t="shared" si="6"/>
        <v>0</v>
      </c>
      <c r="H38" s="40">
        <v>0</v>
      </c>
      <c r="I38" s="40">
        <v>0</v>
      </c>
      <c r="J38" s="41">
        <f t="shared" si="7"/>
        <v>0</v>
      </c>
    </row>
    <row r="39" ht="20.1" customHeight="1" spans="1:10">
      <c r="A39" s="4"/>
      <c r="B39" s="42">
        <v>4.5</v>
      </c>
      <c r="C39" s="42" t="s">
        <v>64</v>
      </c>
      <c r="D39" s="43" t="s">
        <v>65</v>
      </c>
      <c r="E39" s="40">
        <v>0</v>
      </c>
      <c r="F39" s="40">
        <v>0</v>
      </c>
      <c r="G39" s="41">
        <f t="shared" si="6"/>
        <v>0</v>
      </c>
      <c r="H39" s="40">
        <v>0</v>
      </c>
      <c r="I39" s="40">
        <v>0</v>
      </c>
      <c r="J39" s="41">
        <f t="shared" si="7"/>
        <v>0</v>
      </c>
    </row>
    <row r="40" ht="20.1" customHeight="1" spans="1:10">
      <c r="A40" s="4"/>
      <c r="B40" s="42">
        <v>4.6</v>
      </c>
      <c r="C40" s="42" t="s">
        <v>66</v>
      </c>
      <c r="D40" s="43" t="s">
        <v>67</v>
      </c>
      <c r="E40" s="40">
        <v>0</v>
      </c>
      <c r="F40" s="40">
        <v>0</v>
      </c>
      <c r="G40" s="41">
        <f t="shared" si="6"/>
        <v>0</v>
      </c>
      <c r="H40" s="40">
        <v>0</v>
      </c>
      <c r="I40" s="40">
        <v>0</v>
      </c>
      <c r="J40" s="41">
        <f t="shared" si="7"/>
        <v>0</v>
      </c>
    </row>
    <row r="41" ht="20.1" customHeight="1" spans="1:10">
      <c r="A41" s="4"/>
      <c r="B41" s="42">
        <v>4.7</v>
      </c>
      <c r="C41" s="42" t="s">
        <v>68</v>
      </c>
      <c r="D41" s="43" t="s">
        <v>69</v>
      </c>
      <c r="E41" s="40">
        <v>0</v>
      </c>
      <c r="F41" s="40">
        <v>0</v>
      </c>
      <c r="G41" s="41">
        <f t="shared" si="6"/>
        <v>0</v>
      </c>
      <c r="H41" s="40">
        <v>0</v>
      </c>
      <c r="I41" s="40">
        <v>0</v>
      </c>
      <c r="J41" s="41">
        <f t="shared" si="7"/>
        <v>0</v>
      </c>
    </row>
    <row r="42" ht="20.1" customHeight="1" spans="1:10">
      <c r="A42" s="4"/>
      <c r="B42" s="42">
        <v>4.8</v>
      </c>
      <c r="C42" s="42" t="s">
        <v>70</v>
      </c>
      <c r="D42" s="43" t="s">
        <v>71</v>
      </c>
      <c r="E42" s="40">
        <v>0</v>
      </c>
      <c r="F42" s="40">
        <v>0</v>
      </c>
      <c r="G42" s="41">
        <f t="shared" si="6"/>
        <v>0</v>
      </c>
      <c r="H42" s="40">
        <v>0</v>
      </c>
      <c r="I42" s="40">
        <v>0</v>
      </c>
      <c r="J42" s="41">
        <f t="shared" si="7"/>
        <v>0</v>
      </c>
    </row>
    <row r="43" ht="20.1" customHeight="1" spans="1:10">
      <c r="A43" s="4"/>
      <c r="B43" s="42">
        <v>4.9</v>
      </c>
      <c r="C43" s="86" t="s">
        <v>72</v>
      </c>
      <c r="D43" s="43" t="s">
        <v>73</v>
      </c>
      <c r="E43" s="40">
        <v>0</v>
      </c>
      <c r="F43" s="40">
        <v>0</v>
      </c>
      <c r="G43" s="41">
        <f t="shared" si="6"/>
        <v>0</v>
      </c>
      <c r="H43" s="40">
        <v>0</v>
      </c>
      <c r="I43" s="40">
        <v>0</v>
      </c>
      <c r="J43" s="41">
        <f t="shared" si="7"/>
        <v>0</v>
      </c>
    </row>
    <row r="44" ht="20.1" customHeight="1" spans="1:10">
      <c r="A44" s="4"/>
      <c r="B44" s="86" t="s">
        <v>74</v>
      </c>
      <c r="C44" s="42" t="s">
        <v>75</v>
      </c>
      <c r="D44" s="43" t="s">
        <v>76</v>
      </c>
      <c r="E44" s="40">
        <v>0</v>
      </c>
      <c r="F44" s="40">
        <v>0</v>
      </c>
      <c r="G44" s="41">
        <f t="shared" si="6"/>
        <v>0</v>
      </c>
      <c r="H44" s="40">
        <v>0</v>
      </c>
      <c r="I44" s="40">
        <v>0</v>
      </c>
      <c r="J44" s="41">
        <f t="shared" si="7"/>
        <v>0</v>
      </c>
    </row>
    <row r="45" ht="20.1" customHeight="1" spans="1:10">
      <c r="A45" s="4"/>
      <c r="B45" s="31"/>
      <c r="C45" s="31"/>
      <c r="D45" s="32"/>
      <c r="E45" s="39"/>
      <c r="F45" s="39"/>
      <c r="G45" s="39"/>
      <c r="H45" s="39"/>
      <c r="I45" s="39"/>
      <c r="J45" s="39"/>
    </row>
    <row r="46" ht="20.1" customHeight="1" spans="1:10">
      <c r="A46" s="4"/>
      <c r="B46" s="31">
        <v>5</v>
      </c>
      <c r="C46" s="31"/>
      <c r="D46" s="34" t="s">
        <v>77</v>
      </c>
      <c r="E46" s="39">
        <f t="shared" ref="E46:J46" si="8">SUM(E47:E48)</f>
        <v>0</v>
      </c>
      <c r="F46" s="39">
        <f t="shared" si="8"/>
        <v>0</v>
      </c>
      <c r="G46" s="39">
        <f t="shared" si="8"/>
        <v>0</v>
      </c>
      <c r="H46" s="39">
        <f t="shared" si="8"/>
        <v>0</v>
      </c>
      <c r="I46" s="39">
        <f t="shared" si="8"/>
        <v>0</v>
      </c>
      <c r="J46" s="39">
        <f t="shared" si="8"/>
        <v>0</v>
      </c>
    </row>
    <row r="47" ht="20.1" customHeight="1" spans="1:10">
      <c r="A47" s="4"/>
      <c r="B47" s="35">
        <v>5.1</v>
      </c>
      <c r="C47" s="85" t="s">
        <v>78</v>
      </c>
      <c r="D47" s="36" t="s">
        <v>79</v>
      </c>
      <c r="E47" s="40">
        <v>0</v>
      </c>
      <c r="F47" s="40">
        <v>0</v>
      </c>
      <c r="G47" s="41">
        <f t="shared" si="3"/>
        <v>0</v>
      </c>
      <c r="H47" s="40">
        <v>0</v>
      </c>
      <c r="I47" s="40">
        <v>0</v>
      </c>
      <c r="J47" s="41">
        <f t="shared" si="4"/>
        <v>0</v>
      </c>
    </row>
    <row r="48" ht="20.1" customHeight="1" spans="1:10">
      <c r="A48" s="4"/>
      <c r="B48" s="42">
        <v>5.2</v>
      </c>
      <c r="C48" s="42" t="s">
        <v>80</v>
      </c>
      <c r="D48" s="43" t="s">
        <v>81</v>
      </c>
      <c r="E48" s="40">
        <v>0</v>
      </c>
      <c r="F48" s="40">
        <v>0</v>
      </c>
      <c r="G48" s="41">
        <f t="shared" si="3"/>
        <v>0</v>
      </c>
      <c r="H48" s="40">
        <v>0</v>
      </c>
      <c r="I48" s="40">
        <v>0</v>
      </c>
      <c r="J48" s="41">
        <f t="shared" si="4"/>
        <v>0</v>
      </c>
    </row>
    <row r="49" ht="20.1" customHeight="1" spans="1:10">
      <c r="A49" s="4"/>
      <c r="B49" s="31"/>
      <c r="C49" s="31"/>
      <c r="D49" s="32"/>
      <c r="E49" s="39"/>
      <c r="F49" s="39"/>
      <c r="G49" s="39"/>
      <c r="H49" s="39"/>
      <c r="I49" s="39"/>
      <c r="J49" s="39"/>
    </row>
    <row r="50" ht="20.1" customHeight="1" spans="1:10">
      <c r="A50" s="4"/>
      <c r="B50" s="31">
        <v>6</v>
      </c>
      <c r="C50" s="31"/>
      <c r="D50" s="44" t="s">
        <v>82</v>
      </c>
      <c r="E50" s="39">
        <f t="shared" ref="E50:J50" si="9">SUM(E51:E55)</f>
        <v>0</v>
      </c>
      <c r="F50" s="39">
        <f t="shared" si="9"/>
        <v>0</v>
      </c>
      <c r="G50" s="39">
        <f t="shared" si="9"/>
        <v>0</v>
      </c>
      <c r="H50" s="39">
        <f t="shared" si="9"/>
        <v>0</v>
      </c>
      <c r="I50" s="39">
        <f t="shared" si="9"/>
        <v>0</v>
      </c>
      <c r="J50" s="39">
        <f t="shared" si="9"/>
        <v>0</v>
      </c>
    </row>
    <row r="51" ht="20.1" customHeight="1" spans="1:10">
      <c r="A51" s="4"/>
      <c r="B51" s="42">
        <v>6.1</v>
      </c>
      <c r="C51" s="42" t="s">
        <v>83</v>
      </c>
      <c r="D51" s="43" t="s">
        <v>84</v>
      </c>
      <c r="E51" s="40">
        <v>0</v>
      </c>
      <c r="F51" s="40">
        <v>0</v>
      </c>
      <c r="G51" s="41">
        <f>E51+F51</f>
        <v>0</v>
      </c>
      <c r="H51" s="40">
        <v>0</v>
      </c>
      <c r="I51" s="40">
        <v>0</v>
      </c>
      <c r="J51" s="41">
        <f>H51+I51</f>
        <v>0</v>
      </c>
    </row>
    <row r="52" ht="20.1" customHeight="1" spans="1:10">
      <c r="A52" s="4"/>
      <c r="B52" s="42">
        <v>6.2</v>
      </c>
      <c r="C52" s="42" t="s">
        <v>85</v>
      </c>
      <c r="D52" s="43" t="s">
        <v>86</v>
      </c>
      <c r="E52" s="40">
        <v>0</v>
      </c>
      <c r="F52" s="40">
        <v>0</v>
      </c>
      <c r="G52" s="41">
        <f>E52+F52</f>
        <v>0</v>
      </c>
      <c r="H52" s="40">
        <v>0</v>
      </c>
      <c r="I52" s="40">
        <v>0</v>
      </c>
      <c r="J52" s="41">
        <f>H52+I52</f>
        <v>0</v>
      </c>
    </row>
    <row r="53" ht="20.1" customHeight="1" spans="1:10">
      <c r="A53" s="4"/>
      <c r="B53" s="42">
        <v>6.3</v>
      </c>
      <c r="C53" s="42" t="s">
        <v>87</v>
      </c>
      <c r="D53" s="43" t="s">
        <v>88</v>
      </c>
      <c r="E53" s="40">
        <v>0</v>
      </c>
      <c r="F53" s="40">
        <v>0</v>
      </c>
      <c r="G53" s="41">
        <f>E53+F53</f>
        <v>0</v>
      </c>
      <c r="H53" s="40">
        <v>0</v>
      </c>
      <c r="I53" s="40">
        <v>0</v>
      </c>
      <c r="J53" s="41">
        <f>H53+I53</f>
        <v>0</v>
      </c>
    </row>
    <row r="54" ht="20.1" customHeight="1" spans="1:10">
      <c r="A54" s="4"/>
      <c r="B54" s="42">
        <v>6.4</v>
      </c>
      <c r="C54" s="42" t="s">
        <v>89</v>
      </c>
      <c r="D54" s="43" t="s">
        <v>90</v>
      </c>
      <c r="E54" s="40">
        <v>0</v>
      </c>
      <c r="F54" s="40">
        <v>0</v>
      </c>
      <c r="G54" s="41">
        <f>E54+F54</f>
        <v>0</v>
      </c>
      <c r="H54" s="40">
        <v>0</v>
      </c>
      <c r="I54" s="40">
        <v>0</v>
      </c>
      <c r="J54" s="41">
        <f>H54+I54</f>
        <v>0</v>
      </c>
    </row>
    <row r="55" ht="20.1" customHeight="1" spans="1:10">
      <c r="A55" s="4"/>
      <c r="B55" s="42">
        <v>6.5</v>
      </c>
      <c r="C55" s="42" t="s">
        <v>91</v>
      </c>
      <c r="D55" s="43" t="s">
        <v>92</v>
      </c>
      <c r="E55" s="40">
        <v>0</v>
      </c>
      <c r="F55" s="40">
        <v>0</v>
      </c>
      <c r="G55" s="41">
        <f>E55+F55</f>
        <v>0</v>
      </c>
      <c r="H55" s="40">
        <v>0</v>
      </c>
      <c r="I55" s="40">
        <v>0</v>
      </c>
      <c r="J55" s="41">
        <f>H55+I55</f>
        <v>0</v>
      </c>
    </row>
    <row r="56" ht="20.1" customHeight="1" spans="1:10">
      <c r="A56" s="4"/>
      <c r="B56" s="31"/>
      <c r="C56" s="31"/>
      <c r="D56" s="45"/>
      <c r="E56" s="45"/>
      <c r="F56" s="45"/>
      <c r="G56" s="45"/>
      <c r="H56" s="45"/>
      <c r="I56" s="45"/>
      <c r="J56" s="45"/>
    </row>
    <row r="57" ht="20.1" customHeight="1" spans="1:10">
      <c r="A57" s="4"/>
      <c r="B57" s="22" t="s">
        <v>93</v>
      </c>
      <c r="C57" s="23"/>
      <c r="D57" s="23"/>
      <c r="E57" s="23"/>
      <c r="F57" s="23"/>
      <c r="G57" s="23"/>
      <c r="H57" s="23"/>
      <c r="I57" s="23"/>
      <c r="J57" s="51"/>
    </row>
    <row r="58" ht="20.1" customHeight="1" spans="1:10">
      <c r="A58" s="4"/>
      <c r="B58" s="46">
        <v>7</v>
      </c>
      <c r="C58" s="46"/>
      <c r="D58" s="44" t="s">
        <v>94</v>
      </c>
      <c r="E58" s="39">
        <f t="shared" ref="E58:J58" si="10">SUM(E59:E62)</f>
        <v>0</v>
      </c>
      <c r="F58" s="39">
        <f t="shared" si="10"/>
        <v>0</v>
      </c>
      <c r="G58" s="39">
        <f t="shared" si="10"/>
        <v>0</v>
      </c>
      <c r="H58" s="39">
        <f t="shared" si="10"/>
        <v>0</v>
      </c>
      <c r="I58" s="39">
        <f t="shared" si="10"/>
        <v>0</v>
      </c>
      <c r="J58" s="39">
        <f t="shared" si="10"/>
        <v>0</v>
      </c>
    </row>
    <row r="59" ht="20.1" customHeight="1" spans="1:10">
      <c r="A59" s="4"/>
      <c r="B59" s="42">
        <v>7.1</v>
      </c>
      <c r="C59" s="42" t="s">
        <v>95</v>
      </c>
      <c r="D59" s="43" t="s">
        <v>96</v>
      </c>
      <c r="E59" s="40">
        <v>0</v>
      </c>
      <c r="F59" s="40">
        <v>0</v>
      </c>
      <c r="G59" s="41">
        <f t="shared" ref="G59:G69" si="11">E59+F59</f>
        <v>0</v>
      </c>
      <c r="H59" s="40">
        <v>0</v>
      </c>
      <c r="I59" s="40">
        <v>0</v>
      </c>
      <c r="J59" s="41">
        <f t="shared" ref="J59:J69" si="12">H59+I59</f>
        <v>0</v>
      </c>
    </row>
    <row r="60" ht="20.1" customHeight="1" spans="1:10">
      <c r="A60" s="4"/>
      <c r="B60" s="42">
        <v>7.2</v>
      </c>
      <c r="C60" s="42" t="s">
        <v>97</v>
      </c>
      <c r="D60" s="43" t="s">
        <v>98</v>
      </c>
      <c r="E60" s="40">
        <v>0</v>
      </c>
      <c r="F60" s="40">
        <v>0</v>
      </c>
      <c r="G60" s="41">
        <f t="shared" si="11"/>
        <v>0</v>
      </c>
      <c r="H60" s="40">
        <v>0</v>
      </c>
      <c r="I60" s="40">
        <v>0</v>
      </c>
      <c r="J60" s="41">
        <f t="shared" si="12"/>
        <v>0</v>
      </c>
    </row>
    <row r="61" ht="20.1" customHeight="1" spans="1:10">
      <c r="A61" s="4"/>
      <c r="B61" s="42">
        <v>7.3</v>
      </c>
      <c r="C61" s="42" t="s">
        <v>99</v>
      </c>
      <c r="D61" s="43" t="s">
        <v>100</v>
      </c>
      <c r="E61" s="40">
        <v>0</v>
      </c>
      <c r="F61" s="40">
        <v>0</v>
      </c>
      <c r="G61" s="41">
        <f t="shared" si="11"/>
        <v>0</v>
      </c>
      <c r="H61" s="40">
        <v>0</v>
      </c>
      <c r="I61" s="40">
        <v>0</v>
      </c>
      <c r="J61" s="41">
        <f t="shared" si="12"/>
        <v>0</v>
      </c>
    </row>
    <row r="62" ht="20.1" customHeight="1" spans="1:10">
      <c r="A62" s="4"/>
      <c r="B62" s="42">
        <v>7.4</v>
      </c>
      <c r="C62" s="42" t="s">
        <v>101</v>
      </c>
      <c r="D62" s="43" t="s">
        <v>102</v>
      </c>
      <c r="E62" s="40">
        <v>0</v>
      </c>
      <c r="F62" s="40">
        <v>0</v>
      </c>
      <c r="G62" s="41">
        <f t="shared" si="11"/>
        <v>0</v>
      </c>
      <c r="H62" s="40">
        <v>0</v>
      </c>
      <c r="I62" s="40">
        <v>0</v>
      </c>
      <c r="J62" s="41">
        <f t="shared" si="12"/>
        <v>0</v>
      </c>
    </row>
    <row r="63" ht="20.1" customHeight="1" spans="1:10">
      <c r="A63" s="4"/>
      <c r="B63" s="31"/>
      <c r="C63" s="31"/>
      <c r="D63" s="45"/>
      <c r="E63" s="33"/>
      <c r="F63" s="33"/>
      <c r="G63" s="33"/>
      <c r="H63" s="33"/>
      <c r="I63" s="33"/>
      <c r="J63" s="33"/>
    </row>
    <row r="64" ht="20.1" customHeight="1" spans="1:10">
      <c r="A64" s="4"/>
      <c r="B64" s="46">
        <v>8</v>
      </c>
      <c r="C64" s="46"/>
      <c r="D64" s="44" t="s">
        <v>103</v>
      </c>
      <c r="E64" s="39">
        <f t="shared" ref="E64:J64" si="13">SUM(E65:E69)</f>
        <v>0</v>
      </c>
      <c r="F64" s="39">
        <f t="shared" si="13"/>
        <v>0</v>
      </c>
      <c r="G64" s="39">
        <f t="shared" si="13"/>
        <v>0</v>
      </c>
      <c r="H64" s="39">
        <f t="shared" si="13"/>
        <v>0</v>
      </c>
      <c r="I64" s="39">
        <f t="shared" si="13"/>
        <v>0</v>
      </c>
      <c r="J64" s="39">
        <f t="shared" si="13"/>
        <v>0</v>
      </c>
    </row>
    <row r="65" ht="20.1" customHeight="1" spans="1:10">
      <c r="A65" s="4"/>
      <c r="B65" s="42">
        <v>8.1</v>
      </c>
      <c r="C65" s="42" t="s">
        <v>104</v>
      </c>
      <c r="D65" s="43" t="s">
        <v>105</v>
      </c>
      <c r="E65" s="40">
        <v>0</v>
      </c>
      <c r="F65" s="40">
        <v>0</v>
      </c>
      <c r="G65" s="41">
        <f t="shared" si="11"/>
        <v>0</v>
      </c>
      <c r="H65" s="40">
        <v>0</v>
      </c>
      <c r="I65" s="40">
        <v>0</v>
      </c>
      <c r="J65" s="41">
        <f t="shared" si="12"/>
        <v>0</v>
      </c>
    </row>
    <row r="66" ht="20.1" customHeight="1" spans="1:10">
      <c r="A66" s="4"/>
      <c r="B66" s="42">
        <v>8.2</v>
      </c>
      <c r="C66" s="42" t="s">
        <v>106</v>
      </c>
      <c r="D66" s="43" t="s">
        <v>107</v>
      </c>
      <c r="E66" s="40">
        <v>0</v>
      </c>
      <c r="F66" s="40">
        <v>0</v>
      </c>
      <c r="G66" s="41">
        <f t="shared" si="11"/>
        <v>0</v>
      </c>
      <c r="H66" s="40">
        <v>0</v>
      </c>
      <c r="I66" s="40">
        <v>0</v>
      </c>
      <c r="J66" s="41">
        <f t="shared" si="12"/>
        <v>0</v>
      </c>
    </row>
    <row r="67" ht="20.1" customHeight="1" spans="1:10">
      <c r="A67" s="4"/>
      <c r="B67" s="42">
        <v>8.3</v>
      </c>
      <c r="C67" s="42" t="s">
        <v>108</v>
      </c>
      <c r="D67" s="43" t="s">
        <v>109</v>
      </c>
      <c r="E67" s="40">
        <v>0</v>
      </c>
      <c r="F67" s="40">
        <v>0</v>
      </c>
      <c r="G67" s="41">
        <f t="shared" si="11"/>
        <v>0</v>
      </c>
      <c r="H67" s="40">
        <v>0</v>
      </c>
      <c r="I67" s="40">
        <v>0</v>
      </c>
      <c r="J67" s="41">
        <f t="shared" si="12"/>
        <v>0</v>
      </c>
    </row>
    <row r="68" ht="20.1" customHeight="1" spans="1:10">
      <c r="A68" s="4"/>
      <c r="B68" s="42">
        <v>8.4</v>
      </c>
      <c r="C68" s="42" t="s">
        <v>110</v>
      </c>
      <c r="D68" s="43" t="s">
        <v>111</v>
      </c>
      <c r="E68" s="40">
        <v>0</v>
      </c>
      <c r="F68" s="40">
        <v>0</v>
      </c>
      <c r="G68" s="41">
        <f t="shared" si="11"/>
        <v>0</v>
      </c>
      <c r="H68" s="40">
        <v>0</v>
      </c>
      <c r="I68" s="40">
        <v>0</v>
      </c>
      <c r="J68" s="41">
        <f t="shared" si="12"/>
        <v>0</v>
      </c>
    </row>
    <row r="69" ht="20.1" customHeight="1" spans="1:10">
      <c r="A69" s="4"/>
      <c r="B69" s="42">
        <v>8.5</v>
      </c>
      <c r="C69" s="42" t="s">
        <v>112</v>
      </c>
      <c r="D69" s="43" t="s">
        <v>113</v>
      </c>
      <c r="E69" s="40">
        <v>0</v>
      </c>
      <c r="F69" s="40">
        <v>0</v>
      </c>
      <c r="G69" s="41">
        <f t="shared" si="11"/>
        <v>0</v>
      </c>
      <c r="H69" s="40">
        <v>0</v>
      </c>
      <c r="I69" s="40">
        <v>0</v>
      </c>
      <c r="J69" s="41">
        <f t="shared" si="12"/>
        <v>0</v>
      </c>
    </row>
    <row r="70" ht="20.1" customHeight="1" spans="1:10">
      <c r="A70" s="4"/>
      <c r="B70" s="31"/>
      <c r="C70" s="31"/>
      <c r="D70" s="45"/>
      <c r="E70" s="45"/>
      <c r="F70" s="45"/>
      <c r="G70" s="45"/>
      <c r="H70" s="45"/>
      <c r="I70" s="45"/>
      <c r="J70" s="45"/>
    </row>
    <row r="71" ht="20.1" customHeight="1" spans="1:10">
      <c r="A71" s="4"/>
      <c r="B71" s="46">
        <v>9</v>
      </c>
      <c r="C71" s="46"/>
      <c r="D71" s="44" t="s">
        <v>114</v>
      </c>
      <c r="E71" s="39">
        <f t="shared" ref="E71:J71" si="14">SUM(E72:E78)</f>
        <v>0</v>
      </c>
      <c r="F71" s="39">
        <f t="shared" si="14"/>
        <v>0</v>
      </c>
      <c r="G71" s="39">
        <f t="shared" si="14"/>
        <v>0</v>
      </c>
      <c r="H71" s="39">
        <f t="shared" si="14"/>
        <v>0</v>
      </c>
      <c r="I71" s="39">
        <f t="shared" si="14"/>
        <v>0</v>
      </c>
      <c r="J71" s="39">
        <f t="shared" si="14"/>
        <v>0</v>
      </c>
    </row>
    <row r="72" ht="20.1" customHeight="1" spans="1:10">
      <c r="A72" s="4"/>
      <c r="B72" s="42">
        <v>9.1</v>
      </c>
      <c r="C72" s="42" t="s">
        <v>115</v>
      </c>
      <c r="D72" s="43" t="s">
        <v>116</v>
      </c>
      <c r="E72" s="40">
        <v>0</v>
      </c>
      <c r="F72" s="40">
        <v>0</v>
      </c>
      <c r="G72" s="41">
        <f t="shared" ref="G72:G78" si="15">E72+F72</f>
        <v>0</v>
      </c>
      <c r="H72" s="40">
        <v>0</v>
      </c>
      <c r="I72" s="40">
        <v>0</v>
      </c>
      <c r="J72" s="41">
        <f t="shared" ref="J72:J78" si="16">H72+I72</f>
        <v>0</v>
      </c>
    </row>
    <row r="73" ht="20.1" customHeight="1" spans="1:10">
      <c r="A73" s="4"/>
      <c r="B73" s="42">
        <v>9.2</v>
      </c>
      <c r="C73" s="42" t="s">
        <v>117</v>
      </c>
      <c r="D73" s="43" t="s">
        <v>118</v>
      </c>
      <c r="E73" s="40">
        <v>0</v>
      </c>
      <c r="F73" s="40">
        <v>0</v>
      </c>
      <c r="G73" s="41">
        <f t="shared" si="15"/>
        <v>0</v>
      </c>
      <c r="H73" s="40">
        <v>0</v>
      </c>
      <c r="I73" s="40">
        <v>0</v>
      </c>
      <c r="J73" s="41">
        <f t="shared" si="16"/>
        <v>0</v>
      </c>
    </row>
    <row r="74" ht="20.1" customHeight="1" spans="1:10">
      <c r="A74" s="4"/>
      <c r="B74" s="42">
        <v>9.3</v>
      </c>
      <c r="C74" s="86" t="s">
        <v>119</v>
      </c>
      <c r="D74" s="43" t="s">
        <v>120</v>
      </c>
      <c r="E74" s="40">
        <v>0</v>
      </c>
      <c r="F74" s="40">
        <v>0</v>
      </c>
      <c r="G74" s="41">
        <f t="shared" si="15"/>
        <v>0</v>
      </c>
      <c r="H74" s="40">
        <v>0</v>
      </c>
      <c r="I74" s="40">
        <v>0</v>
      </c>
      <c r="J74" s="41">
        <f t="shared" si="16"/>
        <v>0</v>
      </c>
    </row>
    <row r="75" ht="20.1" customHeight="1" spans="1:10">
      <c r="A75" s="4"/>
      <c r="B75" s="42">
        <v>9.4</v>
      </c>
      <c r="C75" s="42" t="s">
        <v>121</v>
      </c>
      <c r="D75" s="43" t="s">
        <v>122</v>
      </c>
      <c r="E75" s="40">
        <v>0</v>
      </c>
      <c r="F75" s="40">
        <v>0</v>
      </c>
      <c r="G75" s="41">
        <f t="shared" si="15"/>
        <v>0</v>
      </c>
      <c r="H75" s="40">
        <v>0</v>
      </c>
      <c r="I75" s="40">
        <v>0</v>
      </c>
      <c r="J75" s="41">
        <f t="shared" si="16"/>
        <v>0</v>
      </c>
    </row>
    <row r="76" ht="20.1" customHeight="1" spans="1:10">
      <c r="A76" s="4"/>
      <c r="B76" s="42">
        <v>9.5</v>
      </c>
      <c r="C76" s="42" t="s">
        <v>123</v>
      </c>
      <c r="D76" s="43" t="s">
        <v>124</v>
      </c>
      <c r="E76" s="40">
        <v>0</v>
      </c>
      <c r="F76" s="40">
        <v>0</v>
      </c>
      <c r="G76" s="41">
        <f t="shared" si="15"/>
        <v>0</v>
      </c>
      <c r="H76" s="40">
        <v>0</v>
      </c>
      <c r="I76" s="40">
        <v>0</v>
      </c>
      <c r="J76" s="41">
        <f t="shared" si="16"/>
        <v>0</v>
      </c>
    </row>
    <row r="77" ht="20.1" customHeight="1" spans="1:10">
      <c r="A77" s="4"/>
      <c r="B77" s="42">
        <v>9.6</v>
      </c>
      <c r="C77" s="42" t="s">
        <v>125</v>
      </c>
      <c r="D77" s="43" t="s">
        <v>126</v>
      </c>
      <c r="E77" s="40">
        <v>0</v>
      </c>
      <c r="F77" s="40">
        <v>0</v>
      </c>
      <c r="G77" s="41">
        <f t="shared" si="15"/>
        <v>0</v>
      </c>
      <c r="H77" s="40">
        <v>0</v>
      </c>
      <c r="I77" s="40">
        <v>0</v>
      </c>
      <c r="J77" s="41">
        <f t="shared" si="16"/>
        <v>0</v>
      </c>
    </row>
    <row r="78" ht="20.1" customHeight="1" spans="1:10">
      <c r="A78" s="4"/>
      <c r="B78" s="42">
        <v>9.7</v>
      </c>
      <c r="C78" s="42" t="s">
        <v>127</v>
      </c>
      <c r="D78" s="43" t="s">
        <v>128</v>
      </c>
      <c r="E78" s="40">
        <v>0</v>
      </c>
      <c r="F78" s="40">
        <v>0</v>
      </c>
      <c r="G78" s="41">
        <f t="shared" si="15"/>
        <v>0</v>
      </c>
      <c r="H78" s="40">
        <v>0</v>
      </c>
      <c r="I78" s="40">
        <v>0</v>
      </c>
      <c r="J78" s="41">
        <f t="shared" si="16"/>
        <v>0</v>
      </c>
    </row>
    <row r="79" ht="20.1" customHeight="1" spans="1:10">
      <c r="A79" s="4"/>
      <c r="B79" s="31"/>
      <c r="C79" s="31"/>
      <c r="D79" s="45"/>
      <c r="E79" s="45"/>
      <c r="F79" s="45"/>
      <c r="G79" s="45"/>
      <c r="H79" s="45"/>
      <c r="I79" s="45"/>
      <c r="J79" s="45"/>
    </row>
    <row r="80" ht="20.1" customHeight="1" spans="1:10">
      <c r="A80" s="4"/>
      <c r="B80" s="22" t="s">
        <v>129</v>
      </c>
      <c r="C80" s="23"/>
      <c r="D80" s="23"/>
      <c r="E80" s="23"/>
      <c r="F80" s="23"/>
      <c r="G80" s="23"/>
      <c r="H80" s="23"/>
      <c r="I80" s="23"/>
      <c r="J80" s="51"/>
    </row>
    <row r="81" ht="20.1" customHeight="1" spans="1:10">
      <c r="A81" s="4"/>
      <c r="B81" s="46">
        <v>10</v>
      </c>
      <c r="C81" s="44"/>
      <c r="D81" s="44" t="s">
        <v>130</v>
      </c>
      <c r="E81" s="52">
        <f t="shared" ref="E81:J81" si="17">SUM(E82:E85)</f>
        <v>0</v>
      </c>
      <c r="F81" s="52">
        <f t="shared" si="17"/>
        <v>0</v>
      </c>
      <c r="G81" s="52">
        <f t="shared" si="17"/>
        <v>0</v>
      </c>
      <c r="H81" s="52">
        <f t="shared" si="17"/>
        <v>0</v>
      </c>
      <c r="I81" s="52">
        <f t="shared" si="17"/>
        <v>0</v>
      </c>
      <c r="J81" s="52">
        <f t="shared" si="17"/>
        <v>0</v>
      </c>
    </row>
    <row r="82" ht="20.1" customHeight="1" spans="1:10">
      <c r="A82" s="4"/>
      <c r="B82" s="42">
        <v>10.1</v>
      </c>
      <c r="C82" s="42" t="s">
        <v>131</v>
      </c>
      <c r="D82" s="43" t="s">
        <v>132</v>
      </c>
      <c r="E82" s="40">
        <v>0</v>
      </c>
      <c r="F82" s="40">
        <v>0</v>
      </c>
      <c r="G82" s="41">
        <f>E82+F82</f>
        <v>0</v>
      </c>
      <c r="H82" s="40">
        <v>0</v>
      </c>
      <c r="I82" s="40">
        <v>0</v>
      </c>
      <c r="J82" s="41">
        <f>H82+I82</f>
        <v>0</v>
      </c>
    </row>
    <row r="83" ht="20.1" customHeight="1" spans="1:10">
      <c r="A83" s="4"/>
      <c r="B83" s="42">
        <v>10.2</v>
      </c>
      <c r="C83" s="42" t="s">
        <v>133</v>
      </c>
      <c r="D83" s="43" t="s">
        <v>134</v>
      </c>
      <c r="E83" s="40">
        <v>0</v>
      </c>
      <c r="F83" s="40">
        <v>0</v>
      </c>
      <c r="G83" s="41">
        <f>E83+F83</f>
        <v>0</v>
      </c>
      <c r="H83" s="40">
        <v>0</v>
      </c>
      <c r="I83" s="40">
        <v>0</v>
      </c>
      <c r="J83" s="41">
        <f>H83+I83</f>
        <v>0</v>
      </c>
    </row>
    <row r="84" ht="20.1" customHeight="1" spans="1:10">
      <c r="A84" s="4"/>
      <c r="B84" s="42">
        <v>10.3</v>
      </c>
      <c r="C84" s="42" t="s">
        <v>135</v>
      </c>
      <c r="D84" s="43" t="s">
        <v>136</v>
      </c>
      <c r="E84" s="40">
        <v>0</v>
      </c>
      <c r="F84" s="40">
        <v>0</v>
      </c>
      <c r="G84" s="41">
        <f>E84+F84</f>
        <v>0</v>
      </c>
      <c r="H84" s="40">
        <v>0</v>
      </c>
      <c r="I84" s="40">
        <v>0</v>
      </c>
      <c r="J84" s="41">
        <f>H84+I84</f>
        <v>0</v>
      </c>
    </row>
    <row r="85" ht="20.1" customHeight="1" spans="1:10">
      <c r="A85" s="4"/>
      <c r="B85" s="42">
        <v>10.4</v>
      </c>
      <c r="C85" s="42" t="s">
        <v>137</v>
      </c>
      <c r="D85" s="43" t="s">
        <v>138</v>
      </c>
      <c r="E85" s="40">
        <v>0</v>
      </c>
      <c r="F85" s="40">
        <v>0</v>
      </c>
      <c r="G85" s="41">
        <f>E85+F85</f>
        <v>0</v>
      </c>
      <c r="H85" s="40">
        <v>0</v>
      </c>
      <c r="I85" s="40">
        <v>0</v>
      </c>
      <c r="J85" s="41">
        <f>H85+I85</f>
        <v>0</v>
      </c>
    </row>
    <row r="86" ht="20.1" customHeight="1" spans="1:10">
      <c r="A86" s="4"/>
      <c r="B86" s="31"/>
      <c r="C86" s="31"/>
      <c r="D86" s="45"/>
      <c r="E86" s="33"/>
      <c r="F86" s="33"/>
      <c r="G86" s="33"/>
      <c r="H86" s="33"/>
      <c r="I86" s="33"/>
      <c r="J86" s="33"/>
    </row>
    <row r="87" ht="20.1" customHeight="1" spans="1:10">
      <c r="A87" s="4"/>
      <c r="B87" s="46">
        <v>11</v>
      </c>
      <c r="C87" s="44"/>
      <c r="D87" s="44" t="s">
        <v>139</v>
      </c>
      <c r="E87" s="52">
        <f t="shared" ref="E87:J87" si="18">SUM(E88:E93)</f>
        <v>0</v>
      </c>
      <c r="F87" s="52">
        <f t="shared" si="18"/>
        <v>0</v>
      </c>
      <c r="G87" s="52">
        <f t="shared" si="18"/>
        <v>0</v>
      </c>
      <c r="H87" s="52">
        <f t="shared" si="18"/>
        <v>0</v>
      </c>
      <c r="I87" s="52">
        <f t="shared" si="18"/>
        <v>0</v>
      </c>
      <c r="J87" s="52">
        <f t="shared" si="18"/>
        <v>0</v>
      </c>
    </row>
    <row r="88" ht="20.1" customHeight="1" spans="1:10">
      <c r="A88" s="4"/>
      <c r="B88" s="42">
        <v>11.1</v>
      </c>
      <c r="C88" s="42" t="s">
        <v>140</v>
      </c>
      <c r="D88" s="43" t="s">
        <v>141</v>
      </c>
      <c r="E88" s="40">
        <v>0</v>
      </c>
      <c r="F88" s="40">
        <v>0</v>
      </c>
      <c r="G88" s="41">
        <f>E88+F88</f>
        <v>0</v>
      </c>
      <c r="H88" s="40">
        <v>0</v>
      </c>
      <c r="I88" s="40">
        <v>0</v>
      </c>
      <c r="J88" s="41">
        <f>H88+I88</f>
        <v>0</v>
      </c>
    </row>
    <row r="89" ht="20.1" customHeight="1" spans="1:10">
      <c r="A89" s="4"/>
      <c r="B89" s="42">
        <v>11.2</v>
      </c>
      <c r="C89" s="42" t="s">
        <v>142</v>
      </c>
      <c r="D89" s="43" t="s">
        <v>143</v>
      </c>
      <c r="E89" s="40">
        <v>0</v>
      </c>
      <c r="F89" s="40">
        <v>0</v>
      </c>
      <c r="G89" s="41">
        <f>E89+F89</f>
        <v>0</v>
      </c>
      <c r="H89" s="40">
        <v>0</v>
      </c>
      <c r="I89" s="40">
        <v>0</v>
      </c>
      <c r="J89" s="41">
        <f>H89+I89</f>
        <v>0</v>
      </c>
    </row>
    <row r="90" ht="20.1" customHeight="1" spans="1:10">
      <c r="A90" s="4"/>
      <c r="B90" s="42">
        <v>11.3</v>
      </c>
      <c r="C90" s="42" t="s">
        <v>144</v>
      </c>
      <c r="D90" s="43" t="s">
        <v>145</v>
      </c>
      <c r="E90" s="40">
        <v>0</v>
      </c>
      <c r="F90" s="40">
        <v>0</v>
      </c>
      <c r="G90" s="41">
        <f>E90+F90</f>
        <v>0</v>
      </c>
      <c r="H90" s="40">
        <v>0</v>
      </c>
      <c r="I90" s="40">
        <v>0</v>
      </c>
      <c r="J90" s="41">
        <f>H90+I90</f>
        <v>0</v>
      </c>
    </row>
    <row r="91" ht="20.1" customHeight="1" spans="1:10">
      <c r="A91" s="4"/>
      <c r="B91" s="42">
        <v>11.4</v>
      </c>
      <c r="C91" s="42" t="s">
        <v>146</v>
      </c>
      <c r="D91" s="43" t="s">
        <v>147</v>
      </c>
      <c r="E91" s="40">
        <v>0</v>
      </c>
      <c r="F91" s="40">
        <v>0</v>
      </c>
      <c r="G91" s="41">
        <f>E91+F91</f>
        <v>0</v>
      </c>
      <c r="H91" s="40">
        <v>0</v>
      </c>
      <c r="I91" s="40">
        <v>0</v>
      </c>
      <c r="J91" s="41">
        <f>H91+I91</f>
        <v>0</v>
      </c>
    </row>
    <row r="92" ht="20.1" customHeight="1" spans="1:10">
      <c r="A92" s="4"/>
      <c r="B92" s="42">
        <v>11.5</v>
      </c>
      <c r="C92" s="42" t="s">
        <v>148</v>
      </c>
      <c r="D92" s="43" t="s">
        <v>149</v>
      </c>
      <c r="E92" s="40">
        <v>0</v>
      </c>
      <c r="F92" s="40">
        <v>0</v>
      </c>
      <c r="G92" s="41">
        <f>E92+F92</f>
        <v>0</v>
      </c>
      <c r="H92" s="40">
        <v>0</v>
      </c>
      <c r="I92" s="40">
        <v>0</v>
      </c>
      <c r="J92" s="41">
        <f>H92+I92</f>
        <v>0</v>
      </c>
    </row>
    <row r="93" ht="20.1" customHeight="1" spans="1:10">
      <c r="A93" s="4"/>
      <c r="B93" s="31"/>
      <c r="C93" s="31"/>
      <c r="D93" s="45"/>
      <c r="E93" s="24"/>
      <c r="F93" s="24"/>
      <c r="G93" s="24"/>
      <c r="H93" s="24"/>
      <c r="I93" s="24"/>
      <c r="J93" s="24"/>
    </row>
    <row r="94" ht="20.1" customHeight="1" spans="1:10">
      <c r="A94" s="4"/>
      <c r="B94" s="46">
        <v>12</v>
      </c>
      <c r="C94" s="46"/>
      <c r="D94" s="44" t="s">
        <v>150</v>
      </c>
      <c r="E94" s="52">
        <f t="shared" ref="E94:J94" si="19">SUM(E95:E101)</f>
        <v>0</v>
      </c>
      <c r="F94" s="52">
        <f t="shared" si="19"/>
        <v>0</v>
      </c>
      <c r="G94" s="52">
        <f t="shared" si="19"/>
        <v>0</v>
      </c>
      <c r="H94" s="52">
        <f t="shared" si="19"/>
        <v>0</v>
      </c>
      <c r="I94" s="52">
        <f t="shared" si="19"/>
        <v>0</v>
      </c>
      <c r="J94" s="52">
        <f t="shared" si="19"/>
        <v>0</v>
      </c>
    </row>
    <row r="95" ht="20.1" customHeight="1" spans="1:10">
      <c r="A95" s="4"/>
      <c r="B95" s="42">
        <v>12.1</v>
      </c>
      <c r="C95" s="42" t="s">
        <v>151</v>
      </c>
      <c r="D95" s="43" t="s">
        <v>152</v>
      </c>
      <c r="E95" s="40">
        <v>0</v>
      </c>
      <c r="F95" s="40">
        <v>0</v>
      </c>
      <c r="G95" s="41">
        <f t="shared" ref="G95:G101" si="20">E95+F95</f>
        <v>0</v>
      </c>
      <c r="H95" s="40">
        <v>0</v>
      </c>
      <c r="I95" s="40">
        <v>0</v>
      </c>
      <c r="J95" s="41">
        <f t="shared" ref="J95:J101" si="21">H95+I95</f>
        <v>0</v>
      </c>
    </row>
    <row r="96" ht="20.1" customHeight="1" spans="1:10">
      <c r="A96" s="4"/>
      <c r="B96" s="42">
        <v>12.2</v>
      </c>
      <c r="C96" s="42" t="s">
        <v>153</v>
      </c>
      <c r="D96" s="43" t="s">
        <v>154</v>
      </c>
      <c r="E96" s="40">
        <v>0</v>
      </c>
      <c r="F96" s="40">
        <v>0</v>
      </c>
      <c r="G96" s="41">
        <f t="shared" si="20"/>
        <v>0</v>
      </c>
      <c r="H96" s="40">
        <v>0</v>
      </c>
      <c r="I96" s="40">
        <v>0</v>
      </c>
      <c r="J96" s="41">
        <f t="shared" si="21"/>
        <v>0</v>
      </c>
    </row>
    <row r="97" ht="20.1" customHeight="1" spans="1:10">
      <c r="A97" s="4"/>
      <c r="B97" s="42">
        <v>12.3</v>
      </c>
      <c r="C97" s="86" t="s">
        <v>155</v>
      </c>
      <c r="D97" s="43" t="s">
        <v>156</v>
      </c>
      <c r="E97" s="40">
        <v>0</v>
      </c>
      <c r="F97" s="40">
        <v>0</v>
      </c>
      <c r="G97" s="41">
        <f t="shared" si="20"/>
        <v>0</v>
      </c>
      <c r="H97" s="40">
        <v>0</v>
      </c>
      <c r="I97" s="40">
        <v>0</v>
      </c>
      <c r="J97" s="41">
        <f t="shared" si="21"/>
        <v>0</v>
      </c>
    </row>
    <row r="98" ht="20.1" customHeight="1" spans="1:10">
      <c r="A98" s="4"/>
      <c r="B98" s="42">
        <v>12.4</v>
      </c>
      <c r="C98" s="42" t="s">
        <v>157</v>
      </c>
      <c r="D98" s="43" t="s">
        <v>158</v>
      </c>
      <c r="E98" s="40">
        <v>0</v>
      </c>
      <c r="F98" s="40">
        <v>0</v>
      </c>
      <c r="G98" s="41">
        <f t="shared" si="20"/>
        <v>0</v>
      </c>
      <c r="H98" s="40">
        <v>0</v>
      </c>
      <c r="I98" s="40">
        <v>0</v>
      </c>
      <c r="J98" s="41">
        <f t="shared" si="21"/>
        <v>0</v>
      </c>
    </row>
    <row r="99" ht="20.1" customHeight="1" spans="1:10">
      <c r="A99" s="4"/>
      <c r="B99" s="42">
        <v>12.5</v>
      </c>
      <c r="C99" s="42" t="s">
        <v>159</v>
      </c>
      <c r="D99" s="43" t="s">
        <v>160</v>
      </c>
      <c r="E99" s="40">
        <v>0</v>
      </c>
      <c r="F99" s="40">
        <v>0</v>
      </c>
      <c r="G99" s="41">
        <f t="shared" si="20"/>
        <v>0</v>
      </c>
      <c r="H99" s="40">
        <v>0</v>
      </c>
      <c r="I99" s="40">
        <v>0</v>
      </c>
      <c r="J99" s="41">
        <f t="shared" si="21"/>
        <v>0</v>
      </c>
    </row>
    <row r="100" ht="20.1" customHeight="1" spans="1:10">
      <c r="A100" s="4"/>
      <c r="B100" s="42">
        <v>12.6</v>
      </c>
      <c r="C100" s="42" t="s">
        <v>161</v>
      </c>
      <c r="D100" s="43" t="s">
        <v>162</v>
      </c>
      <c r="E100" s="40">
        <v>0</v>
      </c>
      <c r="F100" s="40">
        <v>0</v>
      </c>
      <c r="G100" s="41">
        <f t="shared" si="20"/>
        <v>0</v>
      </c>
      <c r="H100" s="40">
        <v>0</v>
      </c>
      <c r="I100" s="40">
        <v>0</v>
      </c>
      <c r="J100" s="41">
        <f t="shared" si="21"/>
        <v>0</v>
      </c>
    </row>
    <row r="101" ht="20.1" customHeight="1" spans="1:10">
      <c r="A101" s="4"/>
      <c r="B101" s="42">
        <v>12.7</v>
      </c>
      <c r="C101" s="42" t="s">
        <v>163</v>
      </c>
      <c r="D101" s="43" t="s">
        <v>164</v>
      </c>
      <c r="E101" s="40">
        <v>0</v>
      </c>
      <c r="F101" s="40">
        <v>0</v>
      </c>
      <c r="G101" s="41">
        <f t="shared" si="20"/>
        <v>0</v>
      </c>
      <c r="H101" s="40">
        <v>0</v>
      </c>
      <c r="I101" s="40">
        <v>0</v>
      </c>
      <c r="J101" s="41">
        <f t="shared" si="21"/>
        <v>0</v>
      </c>
    </row>
    <row r="102" ht="20.1" customHeight="1" spans="1:10">
      <c r="A102" s="4"/>
      <c r="B102" s="22" t="s">
        <v>165</v>
      </c>
      <c r="C102" s="51"/>
      <c r="D102" s="44" t="s">
        <v>166</v>
      </c>
      <c r="E102" s="53">
        <f t="shared" ref="E102:J102" si="22">E10+E14+E20+E34+E46+E50+E58+E71+E81+E94+E64+E87</f>
        <v>0</v>
      </c>
      <c r="F102" s="53">
        <f t="shared" si="22"/>
        <v>0</v>
      </c>
      <c r="G102" s="53">
        <f t="shared" si="22"/>
        <v>0</v>
      </c>
      <c r="H102" s="53">
        <f t="shared" si="22"/>
        <v>0</v>
      </c>
      <c r="I102" s="53">
        <f t="shared" si="22"/>
        <v>0</v>
      </c>
      <c r="J102" s="53">
        <f t="shared" si="22"/>
        <v>0</v>
      </c>
    </row>
    <row r="103" ht="20.1" customHeight="1" spans="1:10">
      <c r="A103" s="4"/>
      <c r="B103" s="54" t="s">
        <v>167</v>
      </c>
      <c r="C103" s="55"/>
      <c r="D103" s="56" t="s">
        <v>168</v>
      </c>
      <c r="E103" s="57"/>
      <c r="F103" s="57"/>
      <c r="G103" s="57"/>
      <c r="H103" s="57"/>
      <c r="I103" s="57"/>
      <c r="J103" s="77"/>
    </row>
    <row r="104" ht="20.1" customHeight="1" spans="1:10">
      <c r="A104" s="4"/>
      <c r="B104" s="58"/>
      <c r="C104" s="59"/>
      <c r="D104" s="54" t="s">
        <v>169</v>
      </c>
      <c r="E104" s="60"/>
      <c r="F104" s="60"/>
      <c r="G104" s="60"/>
      <c r="H104" s="60"/>
      <c r="I104" s="60"/>
      <c r="J104" s="78"/>
    </row>
    <row r="105" ht="20.1" customHeight="1" spans="2:10">
      <c r="B105" s="61">
        <v>1</v>
      </c>
      <c r="C105" s="62"/>
      <c r="D105" s="22" t="s">
        <v>170</v>
      </c>
      <c r="E105" s="23"/>
      <c r="F105" s="23"/>
      <c r="G105" s="23"/>
      <c r="H105" s="23"/>
      <c r="I105" s="23"/>
      <c r="J105" s="79">
        <f>J106+J107</f>
        <v>0</v>
      </c>
    </row>
    <row r="106" ht="20.1" customHeight="1" spans="2:10">
      <c r="B106" s="63">
        <v>1.1</v>
      </c>
      <c r="C106" s="64"/>
      <c r="D106" s="65" t="s">
        <v>171</v>
      </c>
      <c r="E106" s="66"/>
      <c r="F106" s="66"/>
      <c r="G106" s="66"/>
      <c r="H106" s="66"/>
      <c r="I106" s="66"/>
      <c r="J106" s="80">
        <v>0</v>
      </c>
    </row>
    <row r="107" ht="20.1" customHeight="1" spans="2:10">
      <c r="B107" s="63">
        <v>1.2</v>
      </c>
      <c r="C107" s="64"/>
      <c r="D107" s="65" t="s">
        <v>172</v>
      </c>
      <c r="E107" s="66"/>
      <c r="F107" s="66"/>
      <c r="G107" s="66"/>
      <c r="H107" s="66"/>
      <c r="I107" s="66"/>
      <c r="J107" s="80">
        <v>0</v>
      </c>
    </row>
    <row r="108" ht="20.1" customHeight="1" spans="2:10">
      <c r="B108" s="63">
        <v>2</v>
      </c>
      <c r="C108" s="64"/>
      <c r="D108" s="65" t="s">
        <v>173</v>
      </c>
      <c r="E108" s="66"/>
      <c r="F108" s="66"/>
      <c r="G108" s="66"/>
      <c r="H108" s="66"/>
      <c r="I108" s="66"/>
      <c r="J108" s="81">
        <f>G102</f>
        <v>0</v>
      </c>
    </row>
    <row r="109" ht="20.1" customHeight="1" spans="2:10">
      <c r="B109" s="63">
        <v>3</v>
      </c>
      <c r="C109" s="64"/>
      <c r="D109" s="65" t="s">
        <v>174</v>
      </c>
      <c r="E109" s="66"/>
      <c r="F109" s="66"/>
      <c r="G109" s="66"/>
      <c r="H109" s="66"/>
      <c r="I109" s="66"/>
      <c r="J109" s="80">
        <v>0</v>
      </c>
    </row>
    <row r="110" ht="20.1" customHeight="1" spans="2:10">
      <c r="B110" s="63">
        <v>4</v>
      </c>
      <c r="C110" s="64"/>
      <c r="D110" s="65" t="s">
        <v>175</v>
      </c>
      <c r="E110" s="66"/>
      <c r="F110" s="66"/>
      <c r="G110" s="66"/>
      <c r="H110" s="66"/>
      <c r="I110" s="66"/>
      <c r="J110" s="80">
        <v>0</v>
      </c>
    </row>
    <row r="111" ht="20.1" customHeight="1" spans="2:10">
      <c r="B111" s="63">
        <v>5</v>
      </c>
      <c r="C111" s="64"/>
      <c r="D111" s="65" t="s">
        <v>176</v>
      </c>
      <c r="E111" s="66"/>
      <c r="F111" s="66"/>
      <c r="G111" s="66"/>
      <c r="H111" s="66"/>
      <c r="I111" s="66"/>
      <c r="J111" s="80">
        <v>0</v>
      </c>
    </row>
    <row r="112" ht="20.1" customHeight="1" spans="2:10">
      <c r="B112" s="22">
        <v>6</v>
      </c>
      <c r="C112" s="51"/>
      <c r="D112" s="22" t="s">
        <v>177</v>
      </c>
      <c r="E112" s="23"/>
      <c r="F112" s="23"/>
      <c r="G112" s="23"/>
      <c r="H112" s="23"/>
      <c r="I112" s="23"/>
      <c r="J112" s="79">
        <f>SUM(J108:J111)</f>
        <v>0</v>
      </c>
    </row>
    <row r="113" ht="20.1" customHeight="1" spans="2:10">
      <c r="B113" s="63">
        <v>7</v>
      </c>
      <c r="C113" s="64"/>
      <c r="D113" s="65" t="s">
        <v>178</v>
      </c>
      <c r="E113" s="66"/>
      <c r="F113" s="66"/>
      <c r="G113" s="66"/>
      <c r="H113" s="66"/>
      <c r="I113" s="66"/>
      <c r="J113" s="81">
        <f>J102</f>
        <v>0</v>
      </c>
    </row>
    <row r="114" ht="20.1" customHeight="1" spans="2:10">
      <c r="B114" s="63">
        <v>8</v>
      </c>
      <c r="C114" s="64"/>
      <c r="D114" s="65" t="s">
        <v>179</v>
      </c>
      <c r="E114" s="66"/>
      <c r="F114" s="66"/>
      <c r="G114" s="66"/>
      <c r="H114" s="66"/>
      <c r="I114" s="66"/>
      <c r="J114" s="80">
        <v>0</v>
      </c>
    </row>
    <row r="115" ht="20.1" customHeight="1" spans="2:10">
      <c r="B115" s="63">
        <v>9</v>
      </c>
      <c r="C115" s="64"/>
      <c r="D115" s="65" t="s">
        <v>180</v>
      </c>
      <c r="E115" s="66"/>
      <c r="F115" s="66"/>
      <c r="G115" s="66"/>
      <c r="H115" s="66"/>
      <c r="I115" s="66"/>
      <c r="J115" s="80">
        <v>0</v>
      </c>
    </row>
    <row r="116" ht="20.1" customHeight="1" spans="2:10">
      <c r="B116" s="63">
        <v>10</v>
      </c>
      <c r="C116" s="64"/>
      <c r="D116" s="65" t="s">
        <v>181</v>
      </c>
      <c r="E116" s="66"/>
      <c r="F116" s="66"/>
      <c r="G116" s="66"/>
      <c r="H116" s="66"/>
      <c r="I116" s="66"/>
      <c r="J116" s="80">
        <v>0</v>
      </c>
    </row>
    <row r="117" ht="20.1" customHeight="1" spans="2:10">
      <c r="B117" s="22">
        <v>11</v>
      </c>
      <c r="C117" s="51"/>
      <c r="D117" s="22" t="s">
        <v>182</v>
      </c>
      <c r="E117" s="23"/>
      <c r="F117" s="23"/>
      <c r="G117" s="23"/>
      <c r="H117" s="23"/>
      <c r="I117" s="23"/>
      <c r="J117" s="79">
        <f>SUM(J113:J116)</f>
        <v>0</v>
      </c>
    </row>
    <row r="118" ht="20.1" customHeight="1" spans="2:10">
      <c r="B118" s="22">
        <v>12</v>
      </c>
      <c r="C118" s="51"/>
      <c r="D118" s="22" t="s">
        <v>183</v>
      </c>
      <c r="E118" s="23"/>
      <c r="F118" s="23"/>
      <c r="G118" s="23"/>
      <c r="H118" s="23"/>
      <c r="I118" s="23"/>
      <c r="J118" s="79">
        <f>J105+J112-J117</f>
        <v>0</v>
      </c>
    </row>
    <row r="119" ht="20.1" customHeight="1" spans="2:10">
      <c r="B119" s="67" t="s">
        <v>184</v>
      </c>
      <c r="C119" s="67"/>
      <c r="D119" s="68" t="s">
        <v>185</v>
      </c>
      <c r="E119" s="69"/>
      <c r="F119" s="69"/>
      <c r="G119" s="69"/>
      <c r="H119" s="70"/>
      <c r="I119" s="82"/>
      <c r="J119" s="82"/>
    </row>
    <row r="120" ht="20.1" customHeight="1" spans="2:10">
      <c r="B120" s="67" t="s">
        <v>186</v>
      </c>
      <c r="C120" s="67"/>
      <c r="D120" s="68" t="s">
        <v>187</v>
      </c>
      <c r="E120" s="69"/>
      <c r="F120" s="69"/>
      <c r="G120" s="69"/>
      <c r="H120" s="70"/>
      <c r="I120" s="82"/>
      <c r="J120" s="82"/>
    </row>
    <row r="121" ht="20.1" customHeight="1" spans="2:10">
      <c r="B121" s="71" t="s">
        <v>188</v>
      </c>
      <c r="C121" s="71"/>
      <c r="D121" s="72" t="s">
        <v>189</v>
      </c>
      <c r="E121" s="73"/>
      <c r="F121" s="73"/>
      <c r="G121" s="73"/>
      <c r="H121" s="73"/>
      <c r="I121" s="73"/>
      <c r="J121" s="83"/>
    </row>
    <row r="122" ht="20.1" customHeight="1" spans="2:10">
      <c r="B122" s="74"/>
      <c r="C122" s="74"/>
      <c r="D122" s="72" t="s">
        <v>190</v>
      </c>
      <c r="E122" s="73"/>
      <c r="F122" s="73"/>
      <c r="G122" s="73"/>
      <c r="H122" s="73"/>
      <c r="I122" s="73"/>
      <c r="J122" s="83"/>
    </row>
    <row r="123" ht="20.1" customHeight="1" spans="2:10">
      <c r="B123" s="75" t="s">
        <v>191</v>
      </c>
      <c r="C123" s="76"/>
      <c r="D123" s="76"/>
      <c r="E123" s="76"/>
      <c r="F123" s="76"/>
      <c r="G123" s="76"/>
      <c r="H123" s="76"/>
      <c r="I123" s="76"/>
      <c r="J123" s="84"/>
    </row>
    <row r="124"/>
  </sheetData>
  <sheetProtection password="DE1B" sheet="1"/>
  <mergeCells count="53">
    <mergeCell ref="B2:J2"/>
    <mergeCell ref="C3:D3"/>
    <mergeCell ref="C4:D4"/>
    <mergeCell ref="C5:D5"/>
    <mergeCell ref="E7:G7"/>
    <mergeCell ref="H7:J7"/>
    <mergeCell ref="B9:J9"/>
    <mergeCell ref="B57:J57"/>
    <mergeCell ref="B80:J80"/>
    <mergeCell ref="B102:C102"/>
    <mergeCell ref="B103:C103"/>
    <mergeCell ref="B104:C104"/>
    <mergeCell ref="D104:E104"/>
    <mergeCell ref="B105:C105"/>
    <mergeCell ref="D105:E105"/>
    <mergeCell ref="B106:C106"/>
    <mergeCell ref="D106:E106"/>
    <mergeCell ref="B107:C107"/>
    <mergeCell ref="D107:E107"/>
    <mergeCell ref="B108:C108"/>
    <mergeCell ref="D108:E108"/>
    <mergeCell ref="B109:C109"/>
    <mergeCell ref="D109:E109"/>
    <mergeCell ref="B110:C110"/>
    <mergeCell ref="D110:E110"/>
    <mergeCell ref="B111:C111"/>
    <mergeCell ref="D111:E111"/>
    <mergeCell ref="B112:C112"/>
    <mergeCell ref="D112:E112"/>
    <mergeCell ref="B113:C113"/>
    <mergeCell ref="D113:E113"/>
    <mergeCell ref="B114:C114"/>
    <mergeCell ref="D114:E114"/>
    <mergeCell ref="B115:C115"/>
    <mergeCell ref="D115:E115"/>
    <mergeCell ref="B116:C116"/>
    <mergeCell ref="D116:E116"/>
    <mergeCell ref="B117:C117"/>
    <mergeCell ref="D117:E117"/>
    <mergeCell ref="B118:C118"/>
    <mergeCell ref="D118:E118"/>
    <mergeCell ref="B119:C119"/>
    <mergeCell ref="D119:H119"/>
    <mergeCell ref="B120:C120"/>
    <mergeCell ref="D120:H120"/>
    <mergeCell ref="B121:C121"/>
    <mergeCell ref="D121:J121"/>
    <mergeCell ref="B122:C122"/>
    <mergeCell ref="D122:J122"/>
    <mergeCell ref="B123:J123"/>
    <mergeCell ref="B7:B8"/>
    <mergeCell ref="C7:C8"/>
    <mergeCell ref="D7:D8"/>
  </mergeCells>
  <dataValidations count="1">
    <dataValidation type="whole" operator="greaterThanOrEqual" allowBlank="1" showInputMessage="1" showErrorMessage="1" sqref="J106:J111 J113:J116 E11:J12 E47:J48 E15:J18 E59:J62 E21:J32 E35:J44 E51:J55 E65:J69 E72:J78 E82:J85 E88:J92 E95:J101">
      <formula1>0</formula1>
    </dataValidation>
  </dataValidations>
  <pageMargins left="0.25" right="0.25" top="0.75" bottom="0.75" header="0.3" footer="0.3"/>
  <pageSetup paperSize="1" scale="85" fitToHeight="0" orientation="landscape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 91 BOP 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2017-01-09T07:54:25Z</dcterms:created>
  <cp:lastPrinted>2018-01-30T10:07:13Z</cp:lastPrinted>
  <dcterms:modified xsi:type="dcterms:W3CDTF">2024-02-22T06:40:08Z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345513FD35BE4FB9A523D325A85A1CC8_13</vt:lpwstr>
  </property>
  <property fmtid="{D5CDD505-2E9C-101B-9397-08002B2CF9AE}" pid="3" name="KSOProductBuildVer">
    <vt:lpwstr>1033-12.2.0.13431</vt:lpwstr>
  </property>
</Properties>
</file>