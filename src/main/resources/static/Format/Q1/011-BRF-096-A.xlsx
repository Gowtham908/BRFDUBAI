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96" sheetId="1" r:id="rId1"/>
  </sheets>
  <definedNames>
    <definedName name="_xlnm.Print_Area" localSheetId="0">BRF96!$B$2:$F$67</definedName>
  </definedNames>
  <calcPr calcId="144525"/>
</workbook>
</file>

<file path=xl/sharedStrings.xml><?xml version="1.0" encoding="utf-8"?>
<sst xmlns="http://schemas.openxmlformats.org/spreadsheetml/2006/main" count="70" uniqueCount="70">
  <si>
    <t>BANKING AND MONETARY STATISTICS- LEVERAGE RATIO CALCULATION- BRF 96   (AED in 000)</t>
  </si>
  <si>
    <t>ID:</t>
  </si>
  <si>
    <t>4-96-1-0</t>
  </si>
  <si>
    <t>BANK</t>
  </si>
  <si>
    <t>Bank of Baroda</t>
  </si>
  <si>
    <t>As On</t>
  </si>
  <si>
    <t>ON BALANCE SHEET ITEMS</t>
  </si>
  <si>
    <t>TOTAL</t>
  </si>
  <si>
    <t>On-balance sheet items (excluding derivatives and SFTs, but including collateral)</t>
  </si>
  <si>
    <t>Asset amounts deducted in determining Basel III Tier 1 capital</t>
  </si>
  <si>
    <t>Total on-balance sheet exposures, excluding derivatives and SFTs</t>
  </si>
  <si>
    <t>Derivative exposures</t>
  </si>
  <si>
    <t>Replacement  cost  associated with all  derivatives  transactions (where applicable net of eligible cash variation margin and/or with bilateral netting)</t>
  </si>
  <si>
    <t>Add-on amounts for PFE associated with all derivatives transactions</t>
  </si>
  <si>
    <t>CCR exposure for derivatives transactions (calculated as 1.4 x (Row 4+5))</t>
  </si>
  <si>
    <t>Gross-up for derivatives collateral provided where deducted from the balance sheet assets pursuant to the operative accounting framework</t>
  </si>
  <si>
    <t>Adjusted effective notional amount of written credit derivatives</t>
  </si>
  <si>
    <t>Deductions of receivables assets for cash variation margin provided in derivatives transactions</t>
  </si>
  <si>
    <t>Exempted CCP leg of client-cleared trade exposures</t>
  </si>
  <si>
    <t>Adjusted effective notional offsets and add-on deductions for written credit derivatives</t>
  </si>
  <si>
    <t xml:space="preserve">Total derivative exposures </t>
  </si>
  <si>
    <t>Securities financing transaction exposures</t>
  </si>
  <si>
    <r>
      <t xml:space="preserve">Gross SFT </t>
    </r>
    <r>
      <rPr>
        <i/>
        <sz val="8"/>
        <rFont val="Arial"/>
        <family val="2"/>
        <charset val="0"/>
      </rPr>
      <t xml:space="preserve">assets </t>
    </r>
    <r>
      <rPr>
        <sz val="8"/>
        <rFont val="Arial"/>
        <family val="2"/>
        <charset val="0"/>
      </rPr>
      <t>(with no recognition of netting), after adjusting for sale accounting transactions</t>
    </r>
  </si>
  <si>
    <t>CCR exposure for SFT assets</t>
  </si>
  <si>
    <t>Agent transaction exposures</t>
  </si>
  <si>
    <t>Netted amounts of cash payables and cash receivables of gross SFT assets</t>
  </si>
  <si>
    <t xml:space="preserve">Total securities financing transaction exposures </t>
  </si>
  <si>
    <t>Other off-balance sheet exposures</t>
  </si>
  <si>
    <t>Other off-balance sheet exposure at gross notional amount</t>
  </si>
  <si>
    <t>Reduction in exposure due to conversion to credit equivalent amounts</t>
  </si>
  <si>
    <t xml:space="preserve">Other off-balance sheet expsoures </t>
  </si>
  <si>
    <t>Capital and total exposures</t>
  </si>
  <si>
    <t>Tier 1 capital</t>
  </si>
  <si>
    <t xml:space="preserve">Total exposures </t>
  </si>
  <si>
    <t xml:space="preserve">LEVERAGE RATIO </t>
  </si>
  <si>
    <t xml:space="preserve">Leverage ratio </t>
  </si>
  <si>
    <t>LEVERAGE RATIO OFF-BALANCE SHEET EXPOSURE (Credit Conversion)</t>
  </si>
  <si>
    <t>OFF BALANCE SHEET ITEMS</t>
  </si>
  <si>
    <t>EXPOSURE BEFORE CCF 
AED 000's</t>
  </si>
  <si>
    <t>CREDIT CONVERSION FACTORS</t>
  </si>
  <si>
    <t>EXPOSURE AFTER CCF 
(Col 2 x Col 3) AED 000's</t>
  </si>
  <si>
    <t>Direct credit substitutes</t>
  </si>
  <si>
    <t>Forward asset purchases, forward forward deposits and partly paid shares and securities, which represent commitments with certain drawdown</t>
  </si>
  <si>
    <t>The exposure amount associated with unsettled financial asset purchases (i.e. the commitment to pay) where regular-way unsettled trades are accounted for at settlement date</t>
  </si>
  <si>
    <t>Off-balance sheet items that are credit substitutes not explicitly included in any other category</t>
  </si>
  <si>
    <t>Sub-total CCF at 100%</t>
  </si>
  <si>
    <t>Note issuance facilities and revolving underwriting facilities regardless of the maturity of the underlying facility</t>
  </si>
  <si>
    <t>Transaction-related contingent items (e.g. performance bonds, bid bonds, warranties and standby letters of credit related to particular transactions)</t>
  </si>
  <si>
    <t>Sub-total CCF at 50%</t>
  </si>
  <si>
    <t>Commitments, regardless of the maturity of the underlying facility, unless they qualify for a lower CCF</t>
  </si>
  <si>
    <t>Sub-total CCF at 40%</t>
  </si>
  <si>
    <t>Both the issuing and confirming banks of short-term (i.e. with a maturity below one year) self-liquidating trade letters of credit arising from the movement of goods</t>
  </si>
  <si>
    <t>Sub-total CCF at 20%</t>
  </si>
  <si>
    <t>Commitments that are unconditionally cancellable at any time by the bank without prior notice, or that effectively provide for automatic cancellation due to deterioration in a borrower’s creditworthiness</t>
  </si>
  <si>
    <t>Sub-total CCF at 10%</t>
  </si>
  <si>
    <t>TOTALS</t>
  </si>
  <si>
    <t>LEVERAGE RATIO EXPOSURE RECONCILIATION (for reconciliation purposes only)</t>
  </si>
  <si>
    <t>Summary comparison of accounting assets vs leverage ratio exposure measure</t>
  </si>
  <si>
    <t>Item</t>
  </si>
  <si>
    <t>AED (000s)</t>
  </si>
  <si>
    <t>Total consolidated assets as per published financial statements</t>
  </si>
  <si>
    <t>Adjustment for investments in banking, financial, insurance or commercial entities that are consolidated for accounting purposes but outside the scope of regulatory consolidation</t>
  </si>
  <si>
    <t>Adjustment for fiduciary assets recognised on the balance sheet pursuant to the operative accounting framework but excluded from the leverage ratio exposure measure</t>
  </si>
  <si>
    <t>Adjustments for derivative financial instruments</t>
  </si>
  <si>
    <t>Adjustment for securities financing transactions (ie repos and similar secured lending)</t>
  </si>
  <si>
    <t>Adjustment for off-balance sheet items (ie conversion to credit equivalent amounts of off-balance sheet exposures)</t>
  </si>
  <si>
    <t>Other adjustments</t>
  </si>
  <si>
    <t>Leverage ratio exposure measure</t>
  </si>
  <si>
    <t>NOTE: - Please refer to BRF Explanatory notes for the explanation and guidance of the above calculation</t>
  </si>
  <si>
    <t>FORM NO: BSD/BRF 97-LEVERAGERATIO/  JULY 2018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</si>
</sst>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00"/>
  </numFmts>
  <fonts count="27">
    <font>
      <sz val="11"/>
      <color theme="1"/>
      <name val="Calibri"/>
      <family val="2"/>
      <charset val="0"/>
      <scheme val="minor"/>
    </font>
    <font>
      <sz val="8"/>
      <color theme="1"/>
      <name val="Arial"/>
      <family val="2"/>
      <charset val="0"/>
    </font>
    <font>
      <b/>
      <sz val="11"/>
      <color indexed="8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b/>
      <sz val="8"/>
      <color theme="1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i/>
      <sz val="8"/>
      <name val="Arial"/>
      <family val="2"/>
      <charset val="0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3" applyNumberFormat="0" applyFill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4" fillId="0" borderId="0" applyNumberFormat="0" applyFill="0" applyBorder="0" applyAlignment="0" applyProtection="0"/>
    <xf numFmtId="0" fontId="15" fillId="10" borderId="16" applyNumberFormat="0" applyAlignment="0" applyProtection="0"/>
    <xf numFmtId="0" fontId="16" fillId="11" borderId="17" applyNumberFormat="0" applyAlignment="0" applyProtection="0"/>
    <xf numFmtId="0" fontId="17" fillId="11" borderId="16" applyNumberFormat="0" applyAlignment="0" applyProtection="0"/>
    <xf numFmtId="0" fontId="18" fillId="12" borderId="18" applyNumberFormat="0" applyAlignment="0" applyProtection="0"/>
    <xf numFmtId="0" fontId="19" fillId="0" borderId="19" applyNumberFormat="0" applyFill="0" applyAlignment="0" applyProtection="0"/>
    <xf numFmtId="0" fontId="20" fillId="0" borderId="20" applyNumberFormat="0" applyFill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4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24" fillId="39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</cellStyleXfs>
  <cellXfs count="78">
    <xf numFmtId="0" fontId="0" fillId="0" borderId="0" xfId="0"/>
    <xf numFmtId="0" fontId="1" fillId="0" borderId="0" xfId="0" applyFont="1" applyProtection="1"/>
    <xf numFmtId="0" fontId="2" fillId="2" borderId="1" xfId="49" applyFont="1" applyFill="1" applyBorder="1" applyAlignment="1" applyProtection="1">
      <alignment horizontal="center"/>
    </xf>
    <xf numFmtId="0" fontId="2" fillId="2" borderId="2" xfId="49" applyFont="1" applyFill="1" applyBorder="1" applyAlignment="1" applyProtection="1">
      <alignment horizontal="center"/>
    </xf>
    <xf numFmtId="0" fontId="2" fillId="2" borderId="3" xfId="49" applyFont="1" applyFill="1" applyBorder="1" applyAlignment="1" applyProtection="1">
      <alignment horizontal="center"/>
    </xf>
    <xf numFmtId="0" fontId="2" fillId="2" borderId="4" xfId="49" applyFont="1" applyFill="1" applyBorder="1" applyAlignment="1" applyProtection="1">
      <alignment horizontal="center"/>
    </xf>
    <xf numFmtId="0" fontId="3" fillId="2" borderId="5" xfId="49" applyFont="1" applyFill="1" applyBorder="1" applyAlignment="1" applyProtection="1"/>
    <xf numFmtId="15" fontId="4" fillId="0" borderId="5" xfId="50" applyNumberFormat="1" applyFont="1" applyFill="1" applyBorder="1" applyAlignment="1" applyProtection="1">
      <alignment horizontal="left"/>
    </xf>
    <xf numFmtId="0" fontId="4" fillId="0" borderId="3" xfId="49" applyFont="1" applyFill="1" applyBorder="1" applyAlignment="1" applyProtection="1"/>
    <xf numFmtId="0" fontId="3" fillId="3" borderId="3" xfId="49" applyFont="1" applyFill="1" applyBorder="1" applyAlignment="1" applyProtection="1"/>
    <xf numFmtId="15" fontId="5" fillId="2" borderId="5" xfId="50" applyNumberFormat="1" applyFont="1" applyFill="1" applyBorder="1" applyAlignment="1" applyProtection="1">
      <alignment horizontal="left"/>
    </xf>
    <xf numFmtId="15" fontId="4" fillId="0" borderId="1" xfId="50" applyNumberFormat="1" applyFont="1" applyFill="1" applyBorder="1" applyAlignment="1" applyProtection="1">
      <alignment horizontal="left"/>
    </xf>
    <xf numFmtId="0" fontId="4" fillId="0" borderId="6" xfId="49" applyFont="1" applyFill="1" applyBorder="1" applyAlignment="1" applyProtection="1"/>
    <xf numFmtId="15" fontId="5" fillId="3" borderId="7" xfId="50" applyNumberFormat="1" applyFont="1" applyFill="1" applyBorder="1" applyAlignment="1" applyProtection="1">
      <alignment horizontal="left"/>
    </xf>
    <xf numFmtId="0" fontId="5" fillId="2" borderId="8" xfId="50" applyFont="1" applyFill="1" applyBorder="1" applyProtection="1"/>
    <xf numFmtId="15" fontId="4" fillId="0" borderId="8" xfId="50" applyNumberFormat="1" applyFont="1" applyFill="1" applyBorder="1" applyAlignment="1" applyProtection="1">
      <alignment horizontal="left"/>
    </xf>
    <xf numFmtId="15" fontId="4" fillId="0" borderId="9" xfId="50" applyNumberFormat="1" applyFont="1" applyFill="1" applyBorder="1" applyAlignment="1" applyProtection="1">
      <alignment horizontal="left"/>
    </xf>
    <xf numFmtId="0" fontId="5" fillId="3" borderId="7" xfId="50" applyFont="1" applyFill="1" applyBorder="1" applyProtection="1"/>
    <xf numFmtId="0" fontId="5" fillId="0" borderId="1" xfId="0" applyFont="1" applyBorder="1" applyAlignment="1" applyProtection="1">
      <alignment horizontal="left" vertical="center"/>
    </xf>
    <xf numFmtId="0" fontId="5" fillId="0" borderId="2" xfId="0" applyFont="1" applyBorder="1" applyAlignment="1" applyProtection="1">
      <alignment horizontal="left" vertical="center"/>
    </xf>
    <xf numFmtId="0" fontId="4" fillId="0" borderId="2" xfId="0" applyFont="1" applyBorder="1" applyProtection="1"/>
    <xf numFmtId="0" fontId="4" fillId="0" borderId="10" xfId="0" applyFont="1" applyBorder="1" applyProtection="1"/>
    <xf numFmtId="0" fontId="5" fillId="4" borderId="11" xfId="0" applyFont="1" applyFill="1" applyBorder="1" applyAlignment="1" applyProtection="1">
      <alignment horizontal="center" vertical="center" wrapText="1"/>
    </xf>
    <xf numFmtId="0" fontId="5" fillId="4" borderId="11" xfId="0" applyFont="1" applyFill="1" applyBorder="1" applyAlignment="1" applyProtection="1">
      <alignment vertical="center" wrapText="1"/>
    </xf>
    <xf numFmtId="0" fontId="4" fillId="4" borderId="11" xfId="0" applyFont="1" applyFill="1" applyBorder="1" applyProtection="1"/>
    <xf numFmtId="0" fontId="5" fillId="3" borderId="5" xfId="0" applyFont="1" applyFill="1" applyBorder="1" applyAlignment="1" applyProtection="1">
      <alignment horizontal="center" vertical="center"/>
    </xf>
    <xf numFmtId="0" fontId="4" fillId="3" borderId="5" xfId="0" applyFont="1" applyFill="1" applyBorder="1" applyAlignment="1" applyProtection="1">
      <alignment vertical="center" wrapText="1"/>
    </xf>
    <xf numFmtId="0" fontId="4" fillId="0" borderId="5" xfId="0" applyFont="1" applyBorder="1" applyAlignment="1" applyProtection="1">
      <alignment vertical="center"/>
      <protection locked="0"/>
    </xf>
    <xf numFmtId="0" fontId="4" fillId="4" borderId="5" xfId="0" applyFont="1" applyFill="1" applyBorder="1" applyProtection="1"/>
    <xf numFmtId="0" fontId="5" fillId="5" borderId="5" xfId="0" applyFont="1" applyFill="1" applyBorder="1" applyAlignment="1" applyProtection="1">
      <alignment vertical="center" wrapText="1"/>
    </xf>
    <xf numFmtId="0" fontId="4" fillId="6" borderId="5" xfId="0" applyFont="1" applyFill="1" applyBorder="1" applyAlignment="1" applyProtection="1">
      <alignment vertical="center"/>
    </xf>
    <xf numFmtId="0" fontId="5" fillId="7" borderId="5" xfId="0" applyFont="1" applyFill="1" applyBorder="1" applyAlignment="1" applyProtection="1">
      <alignment horizontal="center" vertical="center" wrapText="1"/>
    </xf>
    <xf numFmtId="0" fontId="5" fillId="4" borderId="5" xfId="0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vertical="center" wrapText="1"/>
    </xf>
    <xf numFmtId="0" fontId="4" fillId="8" borderId="5" xfId="0" applyFont="1" applyFill="1" applyBorder="1" applyAlignment="1" applyProtection="1">
      <alignment vertical="center"/>
    </xf>
    <xf numFmtId="0" fontId="4" fillId="3" borderId="5" xfId="0" applyFont="1" applyFill="1" applyBorder="1" applyAlignment="1" applyProtection="1">
      <alignment vertical="center"/>
    </xf>
    <xf numFmtId="0" fontId="4" fillId="0" borderId="5" xfId="0" applyFont="1" applyFill="1" applyBorder="1" applyAlignment="1" applyProtection="1">
      <alignment vertical="center"/>
      <protection locked="0"/>
    </xf>
    <xf numFmtId="0" fontId="5" fillId="3" borderId="5" xfId="0" applyFont="1" applyFill="1" applyBorder="1" applyAlignment="1" applyProtection="1">
      <alignment vertical="center" wrapText="1"/>
    </xf>
    <xf numFmtId="176" fontId="5" fillId="6" borderId="5" xfId="3" applyNumberFormat="1" applyFont="1" applyFill="1" applyBorder="1" applyAlignment="1" applyProtection="1">
      <alignment horizontal="right" vertical="center"/>
    </xf>
    <xf numFmtId="0" fontId="5" fillId="4" borderId="1" xfId="52" applyFont="1" applyFill="1" applyBorder="1" applyAlignment="1" applyProtection="1">
      <alignment horizontal="center" vertical="center"/>
    </xf>
    <xf numFmtId="0" fontId="5" fillId="4" borderId="2" xfId="52" applyFont="1" applyFill="1" applyBorder="1" applyAlignment="1" applyProtection="1">
      <alignment horizontal="center" vertical="center"/>
    </xf>
    <xf numFmtId="0" fontId="5" fillId="4" borderId="10" xfId="52" applyFont="1" applyFill="1" applyBorder="1" applyAlignment="1" applyProtection="1">
      <alignment horizontal="center" vertical="center"/>
    </xf>
    <xf numFmtId="0" fontId="5" fillId="4" borderId="5" xfId="53" applyFont="1" applyFill="1" applyBorder="1" applyAlignment="1" applyProtection="1">
      <alignment horizontal="center" vertical="center"/>
    </xf>
    <xf numFmtId="0" fontId="5" fillId="4" borderId="5" xfId="53" applyFont="1" applyFill="1" applyBorder="1" applyAlignment="1" applyProtection="1">
      <alignment horizontal="center" wrapText="1"/>
    </xf>
    <xf numFmtId="0" fontId="1" fillId="3" borderId="5" xfId="0" applyFont="1" applyFill="1" applyBorder="1" applyProtection="1"/>
    <xf numFmtId="0" fontId="4" fillId="3" borderId="5" xfId="53" applyFont="1" applyFill="1" applyBorder="1" applyAlignment="1" applyProtection="1">
      <alignment vertical="center"/>
    </xf>
    <xf numFmtId="0" fontId="4" fillId="4" borderId="5" xfId="53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/>
    </xf>
    <xf numFmtId="0" fontId="4" fillId="3" borderId="5" xfId="53" applyFont="1" applyFill="1" applyBorder="1" applyAlignment="1" applyProtection="1">
      <alignment horizontal="justify" vertical="center" wrapText="1"/>
    </xf>
    <xf numFmtId="3" fontId="4" fillId="0" borderId="5" xfId="53" applyNumberFormat="1" applyFont="1" applyBorder="1" applyAlignment="1" applyProtection="1">
      <alignment horizontal="center" vertical="center"/>
      <protection locked="0"/>
    </xf>
    <xf numFmtId="9" fontId="4" fillId="2" borderId="5" xfId="3" applyFont="1" applyFill="1" applyBorder="1" applyAlignment="1" applyProtection="1">
      <alignment horizontal="center" vertical="center" wrapText="1"/>
    </xf>
    <xf numFmtId="3" fontId="4" fillId="6" borderId="5" xfId="53" applyNumberFormat="1" applyFont="1" applyFill="1" applyBorder="1" applyAlignment="1" applyProtection="1">
      <alignment horizontal="center" vertical="center"/>
    </xf>
    <xf numFmtId="0" fontId="4" fillId="3" borderId="5" xfId="53" applyFont="1" applyFill="1" applyBorder="1" applyAlignment="1" applyProtection="1">
      <alignment vertical="center" wrapText="1"/>
    </xf>
    <xf numFmtId="0" fontId="6" fillId="4" borderId="5" xfId="0" applyFont="1" applyFill="1" applyBorder="1" applyAlignment="1" applyProtection="1">
      <alignment horizontal="center" vertical="center"/>
    </xf>
    <xf numFmtId="0" fontId="5" fillId="4" borderId="5" xfId="53" applyFont="1" applyFill="1" applyBorder="1" applyAlignment="1" applyProtection="1">
      <alignment vertical="center"/>
    </xf>
    <xf numFmtId="3" fontId="5" fillId="6" borderId="5" xfId="53" applyNumberFormat="1" applyFont="1" applyFill="1" applyBorder="1" applyAlignment="1" applyProtection="1">
      <alignment horizontal="center" vertical="center"/>
    </xf>
    <xf numFmtId="0" fontId="4" fillId="2" borderId="5" xfId="53" applyFont="1" applyFill="1" applyBorder="1" applyAlignment="1" applyProtection="1">
      <alignment horizontal="center" vertical="center" wrapText="1"/>
    </xf>
    <xf numFmtId="3" fontId="4" fillId="0" borderId="5" xfId="53" applyNumberFormat="1" applyFont="1" applyFill="1" applyBorder="1" applyAlignment="1" applyProtection="1">
      <alignment horizontal="center" vertical="center"/>
      <protection locked="0"/>
    </xf>
    <xf numFmtId="3" fontId="4" fillId="4" borderId="5" xfId="53" applyNumberFormat="1" applyFont="1" applyFill="1" applyBorder="1" applyAlignment="1" applyProtection="1">
      <alignment horizontal="center" vertical="center"/>
    </xf>
    <xf numFmtId="3" fontId="5" fillId="4" borderId="5" xfId="53" applyNumberFormat="1" applyFont="1" applyFill="1" applyBorder="1" applyAlignment="1" applyProtection="1">
      <alignment horizontal="center" vertical="center"/>
    </xf>
    <xf numFmtId="0" fontId="1" fillId="3" borderId="5" xfId="0" applyFont="1" applyFill="1" applyBorder="1" applyAlignment="1" applyProtection="1">
      <alignment vertical="center" wrapText="1"/>
    </xf>
    <xf numFmtId="9" fontId="4" fillId="4" borderId="5" xfId="3" applyFont="1" applyFill="1" applyBorder="1" applyAlignment="1" applyProtection="1">
      <alignment horizontal="center" vertical="center" wrapText="1"/>
    </xf>
    <xf numFmtId="0" fontId="5" fillId="4" borderId="1" xfId="52" applyFont="1" applyFill="1" applyBorder="1" applyAlignment="1" applyProtection="1">
      <alignment horizontal="center" vertical="center" wrapText="1"/>
    </xf>
    <xf numFmtId="0" fontId="5" fillId="4" borderId="2" xfId="52" applyFont="1" applyFill="1" applyBorder="1" applyAlignment="1" applyProtection="1">
      <alignment horizontal="center" vertical="center" wrapText="1"/>
    </xf>
    <xf numFmtId="0" fontId="5" fillId="4" borderId="10" xfId="52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</xf>
    <xf numFmtId="0" fontId="5" fillId="5" borderId="2" xfId="0" applyFont="1" applyFill="1" applyBorder="1" applyAlignment="1" applyProtection="1">
      <alignment horizontal="center" vertical="center" wrapText="1"/>
    </xf>
    <xf numFmtId="0" fontId="5" fillId="5" borderId="10" xfId="0" applyFont="1" applyFill="1" applyBorder="1" applyAlignment="1" applyProtection="1">
      <alignment horizontal="center" vertical="center" wrapText="1"/>
    </xf>
    <xf numFmtId="0" fontId="5" fillId="5" borderId="5" xfId="0" applyFont="1" applyFill="1" applyBorder="1" applyProtection="1"/>
    <xf numFmtId="0" fontId="5" fillId="4" borderId="5" xfId="0" applyFont="1" applyFill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vertical="center" wrapText="1"/>
      <protection locked="0"/>
    </xf>
    <xf numFmtId="0" fontId="4" fillId="3" borderId="5" xfId="0" applyFont="1" applyFill="1" applyBorder="1" applyAlignment="1" applyProtection="1">
      <alignment horizontal="left" vertical="center" wrapText="1"/>
    </xf>
    <xf numFmtId="0" fontId="5" fillId="5" borderId="5" xfId="0" applyFont="1" applyFill="1" applyBorder="1" applyAlignment="1" applyProtection="1">
      <alignment horizontal="center" vertical="center"/>
    </xf>
    <xf numFmtId="0" fontId="4" fillId="6" borderId="5" xfId="0" applyFont="1" applyFill="1" applyBorder="1" applyAlignment="1" applyProtection="1">
      <alignment vertical="center" wrapText="1"/>
    </xf>
    <xf numFmtId="0" fontId="5" fillId="0" borderId="5" xfId="0" applyFont="1" applyBorder="1" applyAlignment="1" applyProtection="1">
      <alignment horizontal="center"/>
    </xf>
    <xf numFmtId="0" fontId="4" fillId="0" borderId="5" xfId="0" applyFont="1" applyBorder="1" applyProtection="1"/>
    <xf numFmtId="0" fontId="1" fillId="0" borderId="5" xfId="0" applyFont="1" applyBorder="1" applyProtection="1"/>
    <xf numFmtId="0" fontId="5" fillId="0" borderId="5" xfId="0" applyFont="1" applyBorder="1" applyProtection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  <cellStyle name="Normal_19 OPR LOSS" xfId="52"/>
    <cellStyle name="Normal_CREDIT RISK V1.4" xfId="53"/>
  </cellStyles>
  <tableStyles count="0" defaultTableStyle="TableStyleMedium2" defaultPivotStyle="PivotStyleLight16"/>
  <colors>
    <mruColors>
      <color rgb="00FFFF00"/>
      <color rgb="00A6A6A6"/>
      <color rgb="00D9D9D9"/>
      <color rgb="00C0C0C0"/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F67"/>
  <sheetViews>
    <sheetView showGridLines="0" tabSelected="1" zoomScaleSheetLayoutView="60" workbookViewId="0">
      <selection activeCell="D20" sqref="D20"/>
    </sheetView>
  </sheetViews>
  <sheetFormatPr defaultColWidth="0" defaultRowHeight="11.25" zeroHeight="1" outlineLevelCol="5"/>
  <cols>
    <col min="1" max="1" width="2.85454545454545" style="1" customWidth="1"/>
    <col min="2" max="2" width="5.70909090909091" style="1"/>
    <col min="3" max="3" width="142.427272727273" style="1"/>
    <col min="4" max="4" width="18.8545454545455" style="1"/>
    <col min="5" max="5" width="24.8545454545455" style="1"/>
    <col min="6" max="6" width="19.7090909090909" style="1"/>
    <col min="7" max="7" width="9.13636363636364" style="1" customWidth="1"/>
    <col min="8" max="16384" width="0" style="1" hidden="1"/>
  </cols>
  <sheetData>
    <row r="1"/>
    <row r="2" ht="14" spans="2:6">
      <c r="B2" s="2" t="s">
        <v>0</v>
      </c>
      <c r="C2" s="3"/>
      <c r="D2" s="3"/>
      <c r="E2" s="4"/>
      <c r="F2" s="5"/>
    </row>
    <row r="3" ht="15" customHeight="1" spans="2:6">
      <c r="B3" s="6" t="s">
        <v>1</v>
      </c>
      <c r="C3" s="7" t="s">
        <v>2</v>
      </c>
      <c r="D3" s="7"/>
      <c r="E3" s="8"/>
      <c r="F3" s="9"/>
    </row>
    <row r="4" ht="15" customHeight="1" spans="2:6">
      <c r="B4" s="10" t="s">
        <v>3</v>
      </c>
      <c r="C4" s="7" t="s">
        <v>4</v>
      </c>
      <c r="D4" s="11"/>
      <c r="E4" s="12"/>
      <c r="F4" s="13"/>
    </row>
    <row r="5" ht="15" customHeight="1" spans="2:6">
      <c r="B5" s="14" t="s">
        <v>5</v>
      </c>
      <c r="C5" s="15"/>
      <c r="D5" s="16"/>
      <c r="E5" s="12"/>
      <c r="F5" s="17"/>
    </row>
    <row r="6" ht="15" customHeight="1" spans="2:6">
      <c r="B6" s="18"/>
      <c r="C6" s="19"/>
      <c r="D6" s="19"/>
      <c r="E6" s="20"/>
      <c r="F6" s="21"/>
    </row>
    <row r="7" ht="15" customHeight="1" spans="2:6">
      <c r="B7" s="22" t="s">
        <v>6</v>
      </c>
      <c r="C7" s="22"/>
      <c r="D7" s="23" t="s">
        <v>7</v>
      </c>
      <c r="E7" s="24"/>
      <c r="F7" s="24"/>
    </row>
    <row r="8" ht="15" customHeight="1" spans="2:6">
      <c r="B8" s="25">
        <v>1</v>
      </c>
      <c r="C8" s="26" t="s">
        <v>8</v>
      </c>
      <c r="D8" s="27">
        <v>0</v>
      </c>
      <c r="E8" s="28"/>
      <c r="F8" s="28"/>
    </row>
    <row r="9" ht="15" customHeight="1" spans="2:6">
      <c r="B9" s="25">
        <v>2</v>
      </c>
      <c r="C9" s="26" t="s">
        <v>9</v>
      </c>
      <c r="D9" s="27">
        <v>0</v>
      </c>
      <c r="E9" s="28"/>
      <c r="F9" s="28"/>
    </row>
    <row r="10" ht="15" customHeight="1" spans="2:6">
      <c r="B10" s="25">
        <v>3</v>
      </c>
      <c r="C10" s="29" t="s">
        <v>10</v>
      </c>
      <c r="D10" s="30">
        <f>(D8-D9)</f>
        <v>0</v>
      </c>
      <c r="E10" s="28"/>
      <c r="F10" s="28"/>
    </row>
    <row r="11" ht="15" customHeight="1" spans="2:6">
      <c r="B11" s="31" t="s">
        <v>11</v>
      </c>
      <c r="C11" s="31"/>
      <c r="D11" s="31"/>
      <c r="E11" s="28"/>
      <c r="F11" s="28"/>
    </row>
    <row r="12" ht="15" customHeight="1" spans="2:6">
      <c r="B12" s="25">
        <v>4</v>
      </c>
      <c r="C12" s="26" t="s">
        <v>12</v>
      </c>
      <c r="D12" s="27">
        <v>0</v>
      </c>
      <c r="E12" s="28"/>
      <c r="F12" s="28"/>
    </row>
    <row r="13" ht="15" customHeight="1" spans="2:6">
      <c r="B13" s="25">
        <v>5</v>
      </c>
      <c r="C13" s="26" t="s">
        <v>13</v>
      </c>
      <c r="D13" s="27">
        <v>0</v>
      </c>
      <c r="E13" s="28"/>
      <c r="F13" s="28"/>
    </row>
    <row r="14" ht="15" customHeight="1" spans="2:6">
      <c r="B14" s="32">
        <v>6</v>
      </c>
      <c r="C14" s="33" t="s">
        <v>14</v>
      </c>
      <c r="D14" s="34">
        <f>(D12+D13)*1.4</f>
        <v>0</v>
      </c>
      <c r="E14" s="28"/>
      <c r="F14" s="28"/>
    </row>
    <row r="15" ht="15" customHeight="1" spans="2:6">
      <c r="B15" s="25">
        <v>7</v>
      </c>
      <c r="C15" s="26" t="s">
        <v>15</v>
      </c>
      <c r="D15" s="27">
        <v>0</v>
      </c>
      <c r="E15" s="28"/>
      <c r="F15" s="28"/>
    </row>
    <row r="16" ht="15" customHeight="1" spans="2:6">
      <c r="B16" s="25">
        <v>8</v>
      </c>
      <c r="C16" s="26" t="s">
        <v>16</v>
      </c>
      <c r="D16" s="27">
        <v>0</v>
      </c>
      <c r="E16" s="28"/>
      <c r="F16" s="28"/>
    </row>
    <row r="17" ht="15" customHeight="1" spans="2:6">
      <c r="B17" s="25">
        <v>9</v>
      </c>
      <c r="C17" s="35" t="s">
        <v>17</v>
      </c>
      <c r="D17" s="27">
        <v>0</v>
      </c>
      <c r="E17" s="28"/>
      <c r="F17" s="28"/>
    </row>
    <row r="18" ht="15" customHeight="1" spans="2:6">
      <c r="B18" s="25">
        <v>10</v>
      </c>
      <c r="C18" s="26" t="s">
        <v>18</v>
      </c>
      <c r="D18" s="27">
        <v>0</v>
      </c>
      <c r="E18" s="28"/>
      <c r="F18" s="28"/>
    </row>
    <row r="19" ht="15" customHeight="1" spans="2:6">
      <c r="B19" s="25">
        <v>11</v>
      </c>
      <c r="C19" s="26" t="s">
        <v>19</v>
      </c>
      <c r="D19" s="27">
        <v>0</v>
      </c>
      <c r="E19" s="28"/>
      <c r="F19" s="28"/>
    </row>
    <row r="20" ht="15" customHeight="1" spans="2:6">
      <c r="B20" s="25">
        <v>12</v>
      </c>
      <c r="C20" s="29" t="s">
        <v>20</v>
      </c>
      <c r="D20" s="34">
        <f>(SUM(D14:D16)-SUM(D17:D19))</f>
        <v>0</v>
      </c>
      <c r="E20" s="28"/>
      <c r="F20" s="28"/>
    </row>
    <row r="21" ht="15" customHeight="1" spans="2:6">
      <c r="B21" s="31" t="s">
        <v>21</v>
      </c>
      <c r="C21" s="31"/>
      <c r="D21" s="31"/>
      <c r="E21" s="28"/>
      <c r="F21" s="28"/>
    </row>
    <row r="22" ht="15" customHeight="1" spans="2:6">
      <c r="B22" s="25">
        <v>13</v>
      </c>
      <c r="C22" s="26" t="s">
        <v>22</v>
      </c>
      <c r="D22" s="36">
        <v>0</v>
      </c>
      <c r="E22" s="28"/>
      <c r="F22" s="28"/>
    </row>
    <row r="23" ht="15" customHeight="1" spans="2:6">
      <c r="B23" s="25">
        <v>14</v>
      </c>
      <c r="C23" s="26" t="s">
        <v>23</v>
      </c>
      <c r="D23" s="36">
        <v>0</v>
      </c>
      <c r="E23" s="28"/>
      <c r="F23" s="28"/>
    </row>
    <row r="24" ht="15" customHeight="1" spans="2:6">
      <c r="B24" s="25">
        <v>15</v>
      </c>
      <c r="C24" s="26" t="s">
        <v>24</v>
      </c>
      <c r="D24" s="36">
        <v>0</v>
      </c>
      <c r="E24" s="28"/>
      <c r="F24" s="28"/>
    </row>
    <row r="25" ht="15" customHeight="1" spans="2:6">
      <c r="B25" s="25">
        <v>16</v>
      </c>
      <c r="C25" s="26" t="s">
        <v>25</v>
      </c>
      <c r="D25" s="36">
        <v>0</v>
      </c>
      <c r="E25" s="28"/>
      <c r="F25" s="28"/>
    </row>
    <row r="26" ht="15" customHeight="1" spans="2:6">
      <c r="B26" s="25">
        <v>17</v>
      </c>
      <c r="C26" s="29" t="s">
        <v>26</v>
      </c>
      <c r="D26" s="30">
        <f>(SUM(D22:D24)-D25)</f>
        <v>0</v>
      </c>
      <c r="E26" s="28"/>
      <c r="F26" s="28"/>
    </row>
    <row r="27" ht="15" customHeight="1" spans="2:6">
      <c r="B27" s="31" t="s">
        <v>27</v>
      </c>
      <c r="C27" s="31"/>
      <c r="D27" s="31"/>
      <c r="E27" s="28"/>
      <c r="F27" s="28"/>
    </row>
    <row r="28" ht="15" customHeight="1" spans="2:6">
      <c r="B28" s="25">
        <v>18</v>
      </c>
      <c r="C28" s="26" t="s">
        <v>28</v>
      </c>
      <c r="D28" s="27">
        <v>0</v>
      </c>
      <c r="E28" s="28"/>
      <c r="F28" s="28"/>
    </row>
    <row r="29" ht="15" customHeight="1" spans="2:6">
      <c r="B29" s="25">
        <v>19</v>
      </c>
      <c r="C29" s="26" t="s">
        <v>29</v>
      </c>
      <c r="D29" s="27">
        <v>0</v>
      </c>
      <c r="E29" s="28"/>
      <c r="F29" s="28"/>
    </row>
    <row r="30" ht="15" customHeight="1" spans="2:6">
      <c r="B30" s="25">
        <v>20</v>
      </c>
      <c r="C30" s="29" t="s">
        <v>30</v>
      </c>
      <c r="D30" s="30">
        <f>(D28-D29)</f>
        <v>0</v>
      </c>
      <c r="E30" s="28"/>
      <c r="F30" s="28"/>
    </row>
    <row r="31" ht="15" customHeight="1" spans="2:6">
      <c r="B31" s="31" t="s">
        <v>31</v>
      </c>
      <c r="C31" s="31"/>
      <c r="D31" s="31"/>
      <c r="E31" s="28"/>
      <c r="F31" s="28"/>
    </row>
    <row r="32" ht="15" customHeight="1" spans="2:6">
      <c r="B32" s="25">
        <v>21</v>
      </c>
      <c r="C32" s="37" t="s">
        <v>32</v>
      </c>
      <c r="D32" s="27">
        <v>0</v>
      </c>
      <c r="E32" s="28"/>
      <c r="F32" s="28"/>
    </row>
    <row r="33" ht="15" customHeight="1" spans="2:6">
      <c r="B33" s="25">
        <v>22</v>
      </c>
      <c r="C33" s="29" t="s">
        <v>33</v>
      </c>
      <c r="D33" s="30">
        <f>SUM(D10,D20,D26,D30)</f>
        <v>0</v>
      </c>
      <c r="E33" s="28"/>
      <c r="F33" s="28"/>
    </row>
    <row r="34" ht="15" customHeight="1" spans="2:6">
      <c r="B34" s="31" t="s">
        <v>34</v>
      </c>
      <c r="C34" s="31"/>
      <c r="D34" s="31"/>
      <c r="E34" s="28"/>
      <c r="F34" s="28"/>
    </row>
    <row r="35" ht="15" customHeight="1" spans="2:6">
      <c r="B35" s="25">
        <v>23</v>
      </c>
      <c r="C35" s="29" t="s">
        <v>35</v>
      </c>
      <c r="D35" s="38">
        <f>IF(D33=0,0,D32/D33)</f>
        <v>0</v>
      </c>
      <c r="E35" s="28"/>
      <c r="F35" s="28"/>
    </row>
    <row r="36" ht="15" customHeight="1" spans="2:6">
      <c r="B36" s="39" t="s">
        <v>36</v>
      </c>
      <c r="C36" s="40"/>
      <c r="D36" s="40"/>
      <c r="E36" s="40"/>
      <c r="F36" s="41"/>
    </row>
    <row r="37" ht="15" customHeight="1" spans="2:6">
      <c r="B37" s="42"/>
      <c r="C37" s="42" t="s">
        <v>37</v>
      </c>
      <c r="D37" s="43" t="s">
        <v>38</v>
      </c>
      <c r="E37" s="43" t="s">
        <v>39</v>
      </c>
      <c r="F37" s="43" t="s">
        <v>40</v>
      </c>
    </row>
    <row r="38" ht="15" customHeight="1" spans="2:6">
      <c r="B38" s="44"/>
      <c r="C38" s="45"/>
      <c r="D38" s="46">
        <v>1</v>
      </c>
      <c r="E38" s="46">
        <v>2</v>
      </c>
      <c r="F38" s="46">
        <v>3</v>
      </c>
    </row>
    <row r="39" ht="15" customHeight="1" spans="2:6">
      <c r="B39" s="47">
        <v>1</v>
      </c>
      <c r="C39" s="48" t="s">
        <v>41</v>
      </c>
      <c r="D39" s="49">
        <v>0</v>
      </c>
      <c r="E39" s="50">
        <v>1</v>
      </c>
      <c r="F39" s="51">
        <f>D39*E39</f>
        <v>0</v>
      </c>
    </row>
    <row r="40" ht="15" customHeight="1" spans="2:6">
      <c r="B40" s="47">
        <v>2</v>
      </c>
      <c r="C40" s="52" t="s">
        <v>42</v>
      </c>
      <c r="D40" s="49">
        <v>0</v>
      </c>
      <c r="E40" s="50">
        <v>1</v>
      </c>
      <c r="F40" s="51">
        <f>D40*E40</f>
        <v>0</v>
      </c>
    </row>
    <row r="41" ht="15" customHeight="1" spans="2:6">
      <c r="B41" s="47">
        <v>3</v>
      </c>
      <c r="C41" s="48" t="s">
        <v>43</v>
      </c>
      <c r="D41" s="49">
        <v>0</v>
      </c>
      <c r="E41" s="50">
        <v>1</v>
      </c>
      <c r="F41" s="51">
        <f>D41*E41</f>
        <v>0</v>
      </c>
    </row>
    <row r="42" ht="15" customHeight="1" spans="2:6">
      <c r="B42" s="47">
        <v>4</v>
      </c>
      <c r="C42" s="48" t="s">
        <v>44</v>
      </c>
      <c r="D42" s="49">
        <v>0</v>
      </c>
      <c r="E42" s="50">
        <v>1</v>
      </c>
      <c r="F42" s="51">
        <f>D42*E42</f>
        <v>0</v>
      </c>
    </row>
    <row r="43" ht="15" customHeight="1" spans="2:6">
      <c r="B43" s="53">
        <v>5</v>
      </c>
      <c r="C43" s="54" t="s">
        <v>45</v>
      </c>
      <c r="D43" s="55">
        <f>SUM(D39:D42)</f>
        <v>0</v>
      </c>
      <c r="E43" s="56"/>
      <c r="F43" s="55">
        <f>SUM(F39:F42)</f>
        <v>0</v>
      </c>
    </row>
    <row r="44" ht="15" customHeight="1" spans="2:6">
      <c r="B44" s="47">
        <v>6</v>
      </c>
      <c r="C44" s="48" t="s">
        <v>46</v>
      </c>
      <c r="D44" s="49">
        <v>0</v>
      </c>
      <c r="E44" s="50">
        <v>0.5</v>
      </c>
      <c r="F44" s="51">
        <f>D44*E44</f>
        <v>0</v>
      </c>
    </row>
    <row r="45" ht="15" customHeight="1" spans="2:6">
      <c r="B45" s="47">
        <v>7</v>
      </c>
      <c r="C45" s="48" t="s">
        <v>47</v>
      </c>
      <c r="D45" s="49">
        <v>0</v>
      </c>
      <c r="E45" s="50">
        <v>0.5</v>
      </c>
      <c r="F45" s="51">
        <f>D45*E45</f>
        <v>0</v>
      </c>
    </row>
    <row r="46" ht="15" customHeight="1" spans="2:6">
      <c r="B46" s="53">
        <v>8</v>
      </c>
      <c r="C46" s="54" t="s">
        <v>48</v>
      </c>
      <c r="D46" s="55">
        <f>SUM(D44:D45)</f>
        <v>0</v>
      </c>
      <c r="E46" s="56"/>
      <c r="F46" s="55">
        <f>SUM(F44:F45)</f>
        <v>0</v>
      </c>
    </row>
    <row r="47" ht="15" customHeight="1" spans="2:6">
      <c r="B47" s="47">
        <v>9</v>
      </c>
      <c r="C47" s="52" t="s">
        <v>49</v>
      </c>
      <c r="D47" s="57">
        <v>0</v>
      </c>
      <c r="E47" s="50">
        <v>0.4</v>
      </c>
      <c r="F47" s="51">
        <f>D47*E47</f>
        <v>0</v>
      </c>
    </row>
    <row r="48" ht="15" customHeight="1" spans="2:6">
      <c r="B48" s="53">
        <v>10</v>
      </c>
      <c r="C48" s="54" t="s">
        <v>50</v>
      </c>
      <c r="D48" s="55">
        <f>D47</f>
        <v>0</v>
      </c>
      <c r="E48" s="56"/>
      <c r="F48" s="55">
        <f>F47</f>
        <v>0</v>
      </c>
    </row>
    <row r="49" ht="15" customHeight="1" spans="2:6">
      <c r="B49" s="53"/>
      <c r="C49" s="54"/>
      <c r="D49" s="58"/>
      <c r="E49" s="46"/>
      <c r="F49" s="59"/>
    </row>
    <row r="50" ht="15" customHeight="1" spans="2:6">
      <c r="B50" s="47">
        <v>11</v>
      </c>
      <c r="C50" s="60" t="s">
        <v>51</v>
      </c>
      <c r="D50" s="57">
        <v>0</v>
      </c>
      <c r="E50" s="50">
        <v>0.2</v>
      </c>
      <c r="F50" s="51">
        <f>D50*E50</f>
        <v>0</v>
      </c>
    </row>
    <row r="51" ht="15" customHeight="1" spans="2:6">
      <c r="B51" s="53">
        <v>12</v>
      </c>
      <c r="C51" s="54" t="s">
        <v>52</v>
      </c>
      <c r="D51" s="55">
        <f>D50</f>
        <v>0</v>
      </c>
      <c r="E51" s="56"/>
      <c r="F51" s="55">
        <f>F50</f>
        <v>0</v>
      </c>
    </row>
    <row r="52" ht="15" customHeight="1" spans="2:6">
      <c r="B52" s="47">
        <v>13</v>
      </c>
      <c r="C52" s="60" t="s">
        <v>53</v>
      </c>
      <c r="D52" s="57">
        <v>0</v>
      </c>
      <c r="E52" s="61">
        <v>0.1</v>
      </c>
      <c r="F52" s="51">
        <f>D52*E52</f>
        <v>0</v>
      </c>
    </row>
    <row r="53" ht="15" customHeight="1" spans="2:6">
      <c r="B53" s="53">
        <v>14</v>
      </c>
      <c r="C53" s="54" t="s">
        <v>54</v>
      </c>
      <c r="D53" s="55">
        <f>D52</f>
        <v>0</v>
      </c>
      <c r="E53" s="46"/>
      <c r="F53" s="55">
        <f>F52</f>
        <v>0</v>
      </c>
    </row>
    <row r="54" ht="15" customHeight="1" spans="2:6">
      <c r="B54" s="53">
        <v>15</v>
      </c>
      <c r="C54" s="54" t="s">
        <v>55</v>
      </c>
      <c r="D54" s="55">
        <f>D43+D46++D48+D51+D53</f>
        <v>0</v>
      </c>
      <c r="E54" s="58"/>
      <c r="F54" s="55">
        <f>F43+F46++F48+F51+F53</f>
        <v>0</v>
      </c>
    </row>
    <row r="55" ht="15" customHeight="1" spans="2:6">
      <c r="B55" s="62" t="s">
        <v>56</v>
      </c>
      <c r="C55" s="63"/>
      <c r="D55" s="63"/>
      <c r="E55" s="63"/>
      <c r="F55" s="64"/>
    </row>
    <row r="56" ht="15" customHeight="1" spans="2:6">
      <c r="B56" s="65" t="s">
        <v>57</v>
      </c>
      <c r="C56" s="66"/>
      <c r="D56" s="66"/>
      <c r="E56" s="66"/>
      <c r="F56" s="67"/>
    </row>
    <row r="57" ht="15" customHeight="1" spans="2:6">
      <c r="B57" s="68"/>
      <c r="C57" s="29" t="s">
        <v>58</v>
      </c>
      <c r="D57" s="69" t="s">
        <v>59</v>
      </c>
      <c r="E57" s="28"/>
      <c r="F57" s="28"/>
    </row>
    <row r="58" ht="15" customHeight="1" spans="2:6">
      <c r="B58" s="25">
        <v>1</v>
      </c>
      <c r="C58" s="26" t="s">
        <v>60</v>
      </c>
      <c r="D58" s="70">
        <v>0</v>
      </c>
      <c r="E58" s="28"/>
      <c r="F58" s="28"/>
    </row>
    <row r="59" ht="15" customHeight="1" spans="2:6">
      <c r="B59" s="25">
        <v>2</v>
      </c>
      <c r="C59" s="71" t="s">
        <v>61</v>
      </c>
      <c r="D59" s="70">
        <v>0</v>
      </c>
      <c r="E59" s="28"/>
      <c r="F59" s="28"/>
    </row>
    <row r="60" ht="15" customHeight="1" spans="2:6">
      <c r="B60" s="25">
        <v>3</v>
      </c>
      <c r="C60" s="26" t="s">
        <v>62</v>
      </c>
      <c r="D60" s="70">
        <v>0</v>
      </c>
      <c r="E60" s="28"/>
      <c r="F60" s="28"/>
    </row>
    <row r="61" ht="15" customHeight="1" spans="2:6">
      <c r="B61" s="25">
        <v>4</v>
      </c>
      <c r="C61" s="26" t="s">
        <v>63</v>
      </c>
      <c r="D61" s="70">
        <v>0</v>
      </c>
      <c r="E61" s="28"/>
      <c r="F61" s="28"/>
    </row>
    <row r="62" ht="15" customHeight="1" spans="2:6">
      <c r="B62" s="25">
        <v>5</v>
      </c>
      <c r="C62" s="26" t="s">
        <v>64</v>
      </c>
      <c r="D62" s="70">
        <v>0</v>
      </c>
      <c r="E62" s="28"/>
      <c r="F62" s="28"/>
    </row>
    <row r="63" ht="15" customHeight="1" spans="2:6">
      <c r="B63" s="25">
        <v>6</v>
      </c>
      <c r="C63" s="71" t="s">
        <v>65</v>
      </c>
      <c r="D63" s="70">
        <v>0</v>
      </c>
      <c r="E63" s="28"/>
      <c r="F63" s="28"/>
    </row>
    <row r="64" ht="15" customHeight="1" spans="2:6">
      <c r="B64" s="25">
        <v>7</v>
      </c>
      <c r="C64" s="26" t="s">
        <v>66</v>
      </c>
      <c r="D64" s="70">
        <v>0</v>
      </c>
      <c r="E64" s="28"/>
      <c r="F64" s="28"/>
    </row>
    <row r="65" ht="15" customHeight="1" spans="2:6">
      <c r="B65" s="72">
        <v>8</v>
      </c>
      <c r="C65" s="29" t="s">
        <v>67</v>
      </c>
      <c r="D65" s="73">
        <f>SUM(D58:D64)</f>
        <v>0</v>
      </c>
      <c r="E65" s="28"/>
      <c r="F65" s="28"/>
    </row>
    <row r="66" ht="15" customHeight="1" spans="2:6">
      <c r="B66" s="74"/>
      <c r="C66" s="75" t="s">
        <v>68</v>
      </c>
      <c r="D66" s="75"/>
      <c r="E66" s="75"/>
      <c r="F66" s="75"/>
    </row>
    <row r="67" ht="15" customHeight="1" spans="2:6">
      <c r="B67" s="76"/>
      <c r="C67" s="77" t="s">
        <v>69</v>
      </c>
      <c r="D67" s="76"/>
      <c r="E67" s="76"/>
      <c r="F67" s="76"/>
    </row>
  </sheetData>
  <sheetProtection password="DE1B" sheet="1" objects="1" scenarios="1"/>
  <mergeCells count="14">
    <mergeCell ref="B2:F2"/>
    <mergeCell ref="C3:D3"/>
    <mergeCell ref="C4:D4"/>
    <mergeCell ref="C5:D5"/>
    <mergeCell ref="B6:D6"/>
    <mergeCell ref="B7:C7"/>
    <mergeCell ref="B11:D11"/>
    <mergeCell ref="B21:D21"/>
    <mergeCell ref="B27:D27"/>
    <mergeCell ref="B31:D31"/>
    <mergeCell ref="B34:D34"/>
    <mergeCell ref="B36:F36"/>
    <mergeCell ref="B55:F55"/>
    <mergeCell ref="B56:F56"/>
  </mergeCells>
  <dataValidations count="1">
    <dataValidation type="decimal" operator="between" allowBlank="1" showInputMessage="1" showErrorMessage="1" sqref="D32 D47 D50 D52 D8:D9 D12:D19 D22:D25 D28:D29 D39:D42 D44:D45 D58:D64">
      <formula1>-1000000000</formula1>
      <formula2>1000000000</formula2>
    </dataValidation>
  </dataValidations>
  <pageMargins left="0.7" right="0.7" top="0.75" bottom="0.75" header="0.3" footer="0.3"/>
  <pageSetup paperSize="9" scale="65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2018-07-16T11:21:20Z</dcterms:created>
  <dcterms:modified xsi:type="dcterms:W3CDTF">2024-02-22T06:37:17Z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6B54933CE43D454B939FEEC2DA2A5485_13</vt:lpwstr>
  </property>
  <property fmtid="{D5CDD505-2E9C-101B-9397-08002B2CF9AE}" pid="3" name="KSOProductBuildVer">
    <vt:lpwstr>1033-12.2.0.13431</vt:lpwstr>
  </property>
</Properties>
</file>