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81" sheetId="1" r:id="rId1"/>
    <sheet name="Drop_Down" sheetId="2" r:id="rId2"/>
  </sheets>
  <definedNames>
    <definedName name="B1END">BRF81!$A$11</definedName>
    <definedName name="B1START">BRF81!$A$9</definedName>
    <definedName name="BORCODE">Drop_Down!$A$3:$A$5</definedName>
    <definedName name="COUNTRIES">Drop_Down!$H$3:$H$261</definedName>
    <definedName name="CREDITREP">Drop_Down!$J$3:$J$24</definedName>
    <definedName name="CREDITREPTY">Drop_Down!$O$3:$O$6</definedName>
    <definedName name="CURRENCY">Drop_Down!$U$3:$U$175</definedName>
    <definedName name="ECONOMIC">Drop_Down!$R$3:$R$116</definedName>
    <definedName name="_xlnm.Print_Area" localSheetId="0">BRF81!$B$3:$Z$16</definedName>
    <definedName name="RANGED8">BRF81!$D$8</definedName>
    <definedName name="RESCODE">Drop_Down!$D$3:$D$4</definedName>
  </definedNames>
  <calcPr calcId="144525"/>
</workbook>
</file>

<file path=xl/sharedStrings.xml><?xml version="1.0" encoding="utf-8"?>
<sst xmlns="http://schemas.openxmlformats.org/spreadsheetml/2006/main" count="1324" uniqueCount="1243">
  <si>
    <t>LR</t>
  </si>
  <si>
    <t>CT1</t>
  </si>
  <si>
    <t>CT2</t>
  </si>
  <si>
    <t>BANKING AND MONETARY STATISTICS - LE SINGLE BORROWER OR A GROUP OF RELATED BORROWER - BRF 81 (AED 000)</t>
  </si>
  <si>
    <t>Template ID:</t>
  </si>
  <si>
    <t>4-81-2-4</t>
  </si>
  <si>
    <t xml:space="preserve">Name of Bank : </t>
  </si>
  <si>
    <t>Bank of Baroda</t>
  </si>
  <si>
    <t>Quarter End:</t>
  </si>
  <si>
    <t>BR</t>
  </si>
  <si>
    <t xml:space="preserve">Tier 1 Capital (as per CAR return):        </t>
  </si>
  <si>
    <t>Entity Level Tier 1 Capital</t>
  </si>
  <si>
    <t>S.No</t>
  </si>
  <si>
    <t>Name of the Borrower  (25% limit)</t>
  </si>
  <si>
    <t>CIN / FIGI / GLEI</t>
  </si>
  <si>
    <t>Borrower Type
Specify as "S" for Single or "G" for Group or "C" for Group Company</t>
  </si>
  <si>
    <t>Group Name (Incase the borrower belong to a group)</t>
  </si>
  <si>
    <t>Resident / Non Resident *</t>
  </si>
  <si>
    <t>Country Incorporated</t>
  </si>
  <si>
    <t>Credit Rating of the Borrower</t>
  </si>
  <si>
    <t>Credit Rating Type</t>
  </si>
  <si>
    <t>Economic Sectors</t>
  </si>
  <si>
    <t>Currency</t>
  </si>
  <si>
    <t xml:space="preserve">Funded O/S (Excl. Debt Securities and Equities) </t>
  </si>
  <si>
    <t>Debt</t>
  </si>
  <si>
    <t>Equities</t>
  </si>
  <si>
    <t>Unfunded O/S</t>
  </si>
  <si>
    <t>CCF equivalent of unfunded O/s</t>
  </si>
  <si>
    <t>CCF equivalent of committed unused funded and unfunded limits</t>
  </si>
  <si>
    <t>Total exposures (CCF based) after credit risk mitigation with hair cut</t>
  </si>
  <si>
    <t>As % of Tier 1 Capital</t>
  </si>
  <si>
    <t>Credit Risk Mitigation Type</t>
  </si>
  <si>
    <t>Credit Risk Mitigation after hair cut</t>
  </si>
  <si>
    <t>Collateral Value after hair cut</t>
  </si>
  <si>
    <t>CBUAE Classification</t>
  </si>
  <si>
    <t>Provision</t>
  </si>
  <si>
    <t>Remarks /Additional Information</t>
  </si>
  <si>
    <t>B1</t>
  </si>
  <si>
    <t>NA</t>
  </si>
  <si>
    <t>GT</t>
  </si>
  <si>
    <t>Total</t>
  </si>
  <si>
    <t>Note: 1. In case exposure to a group where more than one entity is involved, report all the entities.</t>
  </si>
  <si>
    <t>2. * Resident and Non Resident as reported in BRF 1</t>
  </si>
  <si>
    <t>3.  Only those exposures should be reported which exceed the threshold limit</t>
  </si>
  <si>
    <t>FORM NO: BSD/BRF 81 -SINGLEBORR/ NOV23</t>
  </si>
  <si>
    <t>Borrower Type</t>
  </si>
  <si>
    <t>Resident / Non Resident</t>
  </si>
  <si>
    <t>Economic Sector</t>
  </si>
  <si>
    <t>Credit Risk Mitigation</t>
  </si>
  <si>
    <t>Code</t>
  </si>
  <si>
    <t>Description</t>
  </si>
  <si>
    <t>Country Name</t>
  </si>
  <si>
    <t>S&amp;P</t>
  </si>
  <si>
    <t>Moody’s</t>
  </si>
  <si>
    <t>Fitch</t>
  </si>
  <si>
    <t>S</t>
  </si>
  <si>
    <t>Single</t>
  </si>
  <si>
    <t>R</t>
  </si>
  <si>
    <t>Resident</t>
  </si>
  <si>
    <t>AD</t>
  </si>
  <si>
    <t>Andorra</t>
  </si>
  <si>
    <t>AAA</t>
  </si>
  <si>
    <t>Aaa</t>
  </si>
  <si>
    <t>External Rating - S&amp;P</t>
  </si>
  <si>
    <t>AG01</t>
  </si>
  <si>
    <t>Agriculture and allied activities - Cultivation of crops</t>
  </si>
  <si>
    <t>AED</t>
  </si>
  <si>
    <t>UAE Dirham</t>
  </si>
  <si>
    <t>A</t>
  </si>
  <si>
    <t xml:space="preserve">Cash (as well as certificates of deposit or comparable instruments issued </t>
  </si>
  <si>
    <t>G</t>
  </si>
  <si>
    <t>Group</t>
  </si>
  <si>
    <t>NR</t>
  </si>
  <si>
    <t>Non Resident</t>
  </si>
  <si>
    <t>AE</t>
  </si>
  <si>
    <t>United Arab Emirates</t>
  </si>
  <si>
    <t>AA+</t>
  </si>
  <si>
    <t>Aa1</t>
  </si>
  <si>
    <t>Moody's</t>
  </si>
  <si>
    <t>External Rating - Moody's</t>
  </si>
  <si>
    <t>AG02</t>
  </si>
  <si>
    <t>Agriculture and allied activities - Poultry farming</t>
  </si>
  <si>
    <t>AFN</t>
  </si>
  <si>
    <t>Afghani</t>
  </si>
  <si>
    <t>by the lending bank) on deposit with the bank which is incurring the</t>
  </si>
  <si>
    <t>C</t>
  </si>
  <si>
    <t>Group Company</t>
  </si>
  <si>
    <t>AF</t>
  </si>
  <si>
    <t>Afghanistan</t>
  </si>
  <si>
    <t>AA</t>
  </si>
  <si>
    <t>Aa2</t>
  </si>
  <si>
    <t>External Rating - Fitch</t>
  </si>
  <si>
    <t>AG03</t>
  </si>
  <si>
    <t>Agriculture and allied activities - Fishing</t>
  </si>
  <si>
    <t>ALL</t>
  </si>
  <si>
    <t>Lek</t>
  </si>
  <si>
    <t xml:space="preserve"> counterparty exposure.</t>
  </si>
  <si>
    <t>AG</t>
  </si>
  <si>
    <t>Antigua and Barbuda</t>
  </si>
  <si>
    <t>AA-</t>
  </si>
  <si>
    <t>Aa3</t>
  </si>
  <si>
    <t>Internal</t>
  </si>
  <si>
    <t>Internal Rating</t>
  </si>
  <si>
    <t>AG04</t>
  </si>
  <si>
    <t>Agriculture and allied activities - Others</t>
  </si>
  <si>
    <t>AMD</t>
  </si>
  <si>
    <t>Armenian Dram</t>
  </si>
  <si>
    <t>Note 1: Cash funded credit linked notes issued by the bank against</t>
  </si>
  <si>
    <t>AI</t>
  </si>
  <si>
    <t>Anguilla</t>
  </si>
  <si>
    <t>A+</t>
  </si>
  <si>
    <t>A1</t>
  </si>
  <si>
    <t>MQ01</t>
  </si>
  <si>
    <t>Mining and quarrying - Extraction of crude petroleum</t>
  </si>
  <si>
    <t>ANG</t>
  </si>
  <si>
    <t>Netherlands Antillean Guilder</t>
  </si>
  <si>
    <t>exposures in the banking book which fulfil the criteria for credit</t>
  </si>
  <si>
    <t>AL</t>
  </si>
  <si>
    <t>Albania</t>
  </si>
  <si>
    <t>A2</t>
  </si>
  <si>
    <t>MQ02</t>
  </si>
  <si>
    <t>Mining and quarrying - Extraction of natural gas</t>
  </si>
  <si>
    <t>AOA</t>
  </si>
  <si>
    <t>Kwanza</t>
  </si>
  <si>
    <t>derivatives will be treated as cash collateralised transactions.</t>
  </si>
  <si>
    <t>AM</t>
  </si>
  <si>
    <t>Armenia</t>
  </si>
  <si>
    <t>A-</t>
  </si>
  <si>
    <t>A3</t>
  </si>
  <si>
    <t>MQ03</t>
  </si>
  <si>
    <t>Mining and quarrying - Others</t>
  </si>
  <si>
    <t>ARS</t>
  </si>
  <si>
    <t>Argentine Peso</t>
  </si>
  <si>
    <t>Note 2: When cash on deposit, certificates of deposit or comparable</t>
  </si>
  <si>
    <t>AO</t>
  </si>
  <si>
    <t>Angola</t>
  </si>
  <si>
    <t>BBB+</t>
  </si>
  <si>
    <t>Baa1</t>
  </si>
  <si>
    <t>MF01</t>
  </si>
  <si>
    <t>Manufacturing - Food products</t>
  </si>
  <si>
    <t>AUD</t>
  </si>
  <si>
    <t>Australian Dollar</t>
  </si>
  <si>
    <t>instruments issued by the lending bank are held as collateral at a</t>
  </si>
  <si>
    <t>AQ</t>
  </si>
  <si>
    <t>Antarctica</t>
  </si>
  <si>
    <t>BBB</t>
  </si>
  <si>
    <t>Baa2</t>
  </si>
  <si>
    <t>MF02</t>
  </si>
  <si>
    <t>Manufacturing - Beverages &amp; tobacco</t>
  </si>
  <si>
    <t>AWG</t>
  </si>
  <si>
    <t>Aruban Florin</t>
  </si>
  <si>
    <t>third-party bank in a noncustodial arrangement, if they are openly</t>
  </si>
  <si>
    <t>AR</t>
  </si>
  <si>
    <t>Argentina</t>
  </si>
  <si>
    <t>BBB-</t>
  </si>
  <si>
    <t>Baa3</t>
  </si>
  <si>
    <t>MF03</t>
  </si>
  <si>
    <t>Manufacturing - Textile, leather, footwear and clothing</t>
  </si>
  <si>
    <t>AZN</t>
  </si>
  <si>
    <t>Azerbaijan Manat</t>
  </si>
  <si>
    <t>pledged/assigned to the lending bank and if the pledge/assignment is</t>
  </si>
  <si>
    <t>AS</t>
  </si>
  <si>
    <t>American Samoa</t>
  </si>
  <si>
    <t>BB+</t>
  </si>
  <si>
    <t>Ba1</t>
  </si>
  <si>
    <t>MF04</t>
  </si>
  <si>
    <t>Manufacturing - wearing apparel</t>
  </si>
  <si>
    <t>BAM</t>
  </si>
  <si>
    <t>Convertible Mark</t>
  </si>
  <si>
    <t>unconditional and irrevocable, the exposure amount covered by the</t>
  </si>
  <si>
    <t>AT</t>
  </si>
  <si>
    <t>Austria</t>
  </si>
  <si>
    <t>BB</t>
  </si>
  <si>
    <t>Ba2</t>
  </si>
  <si>
    <t>MF05</t>
  </si>
  <si>
    <t>Manufacturing - wood &amp; other wood products</t>
  </si>
  <si>
    <t>BBD</t>
  </si>
  <si>
    <t>Barbados Dollar</t>
  </si>
  <si>
    <t>collateral (after any necessary haircuts for currency risk) will receive the</t>
  </si>
  <si>
    <t>AU</t>
  </si>
  <si>
    <t>Australia</t>
  </si>
  <si>
    <t>BB-</t>
  </si>
  <si>
    <t>Ba3</t>
  </si>
  <si>
    <t>MF06</t>
  </si>
  <si>
    <t>Manufacturing - furniture</t>
  </si>
  <si>
    <t>BDT</t>
  </si>
  <si>
    <t>Taka</t>
  </si>
  <si>
    <t>risk weight of the third-party bank);</t>
  </si>
  <si>
    <t>AW</t>
  </si>
  <si>
    <t>Aruba</t>
  </si>
  <si>
    <t>B+</t>
  </si>
  <si>
    <t>MF07</t>
  </si>
  <si>
    <t>Manufacturing - paper &amp; paper products</t>
  </si>
  <si>
    <t>BGN</t>
  </si>
  <si>
    <t>Bulgarian Lev</t>
  </si>
  <si>
    <t>B</t>
  </si>
  <si>
    <t>Gold</t>
  </si>
  <si>
    <t>AX</t>
  </si>
  <si>
    <t>Aland Islands+C3</t>
  </si>
  <si>
    <t>B2</t>
  </si>
  <si>
    <t>MF08</t>
  </si>
  <si>
    <t>Printing and reproduction of recorded media</t>
  </si>
  <si>
    <t>BHD</t>
  </si>
  <si>
    <t>Bahraini Dinar</t>
  </si>
  <si>
    <t>Debt securities rated by a recognised external credit assessment</t>
  </si>
  <si>
    <t>AZ</t>
  </si>
  <si>
    <t>Azerbaijan</t>
  </si>
  <si>
    <t>B-</t>
  </si>
  <si>
    <t>B3</t>
  </si>
  <si>
    <t>MF09</t>
  </si>
  <si>
    <t>Chemical &amp; chemical products except petroleum - Manufacture of basic industrial chemical except fertilizers</t>
  </si>
  <si>
    <t>BIF</t>
  </si>
  <si>
    <t>Burundi Franc</t>
  </si>
  <si>
    <t>institution where these are either:</t>
  </si>
  <si>
    <t>BA</t>
  </si>
  <si>
    <t>Bosnia and Herzegovina</t>
  </si>
  <si>
    <t>CCC+</t>
  </si>
  <si>
    <t>Caa1</t>
  </si>
  <si>
    <t>MF10</t>
  </si>
  <si>
    <t>Chemical &amp; chemical products except petroleum - Fertilizers and pesticides</t>
  </si>
  <si>
    <t>BMD</t>
  </si>
  <si>
    <t>Bermudian Dollar</t>
  </si>
  <si>
    <t>Rated at least BB- when issued by sovereigns or PSEs that are treated as</t>
  </si>
  <si>
    <t>Barbados</t>
  </si>
  <si>
    <t>CCC</t>
  </si>
  <si>
    <t>Caa2</t>
  </si>
  <si>
    <t>MF11</t>
  </si>
  <si>
    <t>Chemical &amp; chemical products except petroleum - Paints, varnishes and lacquers</t>
  </si>
  <si>
    <t>BND</t>
  </si>
  <si>
    <t>Brunei Dollar</t>
  </si>
  <si>
    <t>sovereigns by the Central Bank; or</t>
  </si>
  <si>
    <t>BD</t>
  </si>
  <si>
    <t>Bangladesh</t>
  </si>
  <si>
    <t>CCC-</t>
  </si>
  <si>
    <t>Caa3</t>
  </si>
  <si>
    <t>MF12</t>
  </si>
  <si>
    <t>Chemical &amp; chemical products except petroleum - Drugs and medicines</t>
  </si>
  <si>
    <t>BOB</t>
  </si>
  <si>
    <t>Boliviano</t>
  </si>
  <si>
    <t>At least BBB- when issued by other entities (including banks and</t>
  </si>
  <si>
    <t>BE</t>
  </si>
  <si>
    <t>Belgium</t>
  </si>
  <si>
    <t>CC</t>
  </si>
  <si>
    <t>Ca</t>
  </si>
  <si>
    <t>MF13</t>
  </si>
  <si>
    <t>Chemical &amp; chemical products except petroleum - Soap, cleaning preparations, perfumes, cosmetics etc</t>
  </si>
  <si>
    <t>BOV</t>
  </si>
  <si>
    <t>Mvdol</t>
  </si>
  <si>
    <t xml:space="preserve"> securities firms); or </t>
  </si>
  <si>
    <t>BF</t>
  </si>
  <si>
    <t>Burkina Faso</t>
  </si>
  <si>
    <t>MF15</t>
  </si>
  <si>
    <t>Chemical &amp; chemical products except petroleum - Other chemical products not classified elsewhere</t>
  </si>
  <si>
    <t>BRL</t>
  </si>
  <si>
    <t>Brazilian Real</t>
  </si>
  <si>
    <t>At least A-3/P-3 for short-term debt instruments.</t>
  </si>
  <si>
    <t>BG</t>
  </si>
  <si>
    <t>Bulgaria</t>
  </si>
  <si>
    <t>D</t>
  </si>
  <si>
    <t>-</t>
  </si>
  <si>
    <t>MF16</t>
  </si>
  <si>
    <t>Petroleum refining and petroleum products - Petroleum refinery</t>
  </si>
  <si>
    <t>BSD</t>
  </si>
  <si>
    <t>Bahamian Dollar</t>
  </si>
  <si>
    <t>Debt securities not rated by a recognised external credit assessment</t>
  </si>
  <si>
    <t>BH</t>
  </si>
  <si>
    <t>Bahrain</t>
  </si>
  <si>
    <t>MF17</t>
  </si>
  <si>
    <t>Petroleum refining and petroleum products - Manufacture of miscellaneous products of petroleum</t>
  </si>
  <si>
    <t>BTN</t>
  </si>
  <si>
    <t>Ngultrum</t>
  </si>
  <si>
    <t>institution where these are:</t>
  </si>
  <si>
    <t>BI</t>
  </si>
  <si>
    <t>Burundi</t>
  </si>
  <si>
    <t>MF18</t>
  </si>
  <si>
    <t>Petroleum refining and petroleum products - Any other petroleum product not included elsewhere</t>
  </si>
  <si>
    <t>BWP</t>
  </si>
  <si>
    <t>Pula</t>
  </si>
  <si>
    <t>Issued by a bank; and</t>
  </si>
  <si>
    <t>BJ</t>
  </si>
  <si>
    <t>Benin</t>
  </si>
  <si>
    <t>MF19</t>
  </si>
  <si>
    <t>Basic metal industry - Iron and steel basic industries</t>
  </si>
  <si>
    <t>BYN</t>
  </si>
  <si>
    <t>Belarusian Ruble</t>
  </si>
  <si>
    <t>Listed on a recognised exchange; and</t>
  </si>
  <si>
    <t>BL</t>
  </si>
  <si>
    <t>Saint Barthélemy</t>
  </si>
  <si>
    <t>MF20</t>
  </si>
  <si>
    <t>Basic metal industry - Non-ferrous metal basic industries</t>
  </si>
  <si>
    <t>BZD</t>
  </si>
  <si>
    <t>Belize Dollar</t>
  </si>
  <si>
    <t>Classified as senior debt; and</t>
  </si>
  <si>
    <t>BM</t>
  </si>
  <si>
    <t>Bermuda</t>
  </si>
  <si>
    <t>MF21</t>
  </si>
  <si>
    <t>Basic metal industry - Casting of metals</t>
  </si>
  <si>
    <t>CAD</t>
  </si>
  <si>
    <t>Canadian Dollar</t>
  </si>
  <si>
    <t>All rated issues of the same seniority by the issuing bank must be rated at</t>
  </si>
  <si>
    <t>BN</t>
  </si>
  <si>
    <t>Brunei Darussalam</t>
  </si>
  <si>
    <t>MF22</t>
  </si>
  <si>
    <t>Manufacturing of rubber and plastics products</t>
  </si>
  <si>
    <t>CDF</t>
  </si>
  <si>
    <t>Congolese Franc</t>
  </si>
  <si>
    <t>least BBB- or A-3/P-3 by a recognised external credit assessment</t>
  </si>
  <si>
    <t>BO</t>
  </si>
  <si>
    <t>Bolivia, Plurinational State of</t>
  </si>
  <si>
    <t>MF23</t>
  </si>
  <si>
    <t>Manufacturing of fabricated metal products, except machinery and equipment</t>
  </si>
  <si>
    <t>CHE</t>
  </si>
  <si>
    <t>WIR Euro</t>
  </si>
  <si>
    <t>institution; and</t>
  </si>
  <si>
    <t>BQ</t>
  </si>
  <si>
    <t>Bonaire, Sint Eustatius and Saba</t>
  </si>
  <si>
    <t>MF24</t>
  </si>
  <si>
    <t>Manufacturing of pharmaceuticals, medical chemical and botanical products</t>
  </si>
  <si>
    <t>CHF</t>
  </si>
  <si>
    <t>Swiss Franc</t>
  </si>
  <si>
    <t>The bank holding the securities as collateral has no information to</t>
  </si>
  <si>
    <t>Brazil</t>
  </si>
  <si>
    <t>MF25</t>
  </si>
  <si>
    <t>Manufacturing of computers, electronic and optical products</t>
  </si>
  <si>
    <t>CHW</t>
  </si>
  <si>
    <t>WIR Franc</t>
  </si>
  <si>
    <t>suggest that the issue justifies a rating below BBB- or A-3/P-3 (as</t>
  </si>
  <si>
    <t>BS</t>
  </si>
  <si>
    <t>Bahamas</t>
  </si>
  <si>
    <t>MF26</t>
  </si>
  <si>
    <t>Manufacturing of electrical equipment</t>
  </si>
  <si>
    <t>CLF</t>
  </si>
  <si>
    <t>Unidad de Fomento</t>
  </si>
  <si>
    <t>applicable); and</t>
  </si>
  <si>
    <t>BT</t>
  </si>
  <si>
    <t>Bhutan</t>
  </si>
  <si>
    <t>MF27</t>
  </si>
  <si>
    <t>Manufacturing of machinery and equipment</t>
  </si>
  <si>
    <t>CLP</t>
  </si>
  <si>
    <t>Chilean Peso</t>
  </si>
  <si>
    <t>The Central Bank is sufficiently confident about the market liquidity of</t>
  </si>
  <si>
    <t>BV</t>
  </si>
  <si>
    <t>Bouvet Island</t>
  </si>
  <si>
    <t>MF28</t>
  </si>
  <si>
    <t>Manufacturing of motor vehicles, trailers and semi-trailers</t>
  </si>
  <si>
    <t>CNY</t>
  </si>
  <si>
    <t>Yuan Renminbi</t>
  </si>
  <si>
    <t>the security.</t>
  </si>
  <si>
    <t>BW</t>
  </si>
  <si>
    <t>Botswana</t>
  </si>
  <si>
    <t>MF29</t>
  </si>
  <si>
    <t>Manufacturing of other transport equipment</t>
  </si>
  <si>
    <t>COP</t>
  </si>
  <si>
    <t>Colombian Peso</t>
  </si>
  <si>
    <t>E</t>
  </si>
  <si>
    <t>Equities (including convertible bonds) as per paragraph 95 of the CBUAE</t>
  </si>
  <si>
    <t>BY</t>
  </si>
  <si>
    <t>Belarus</t>
  </si>
  <si>
    <t>MF30</t>
  </si>
  <si>
    <t>Manufacturing of other manufacturing (jewellery, musical instrument, sports, toys etc.)</t>
  </si>
  <si>
    <t>COU</t>
  </si>
  <si>
    <t>Unidad de Valor Real</t>
  </si>
  <si>
    <t>Standards re Capital Adequacy of Banks in the UAE</t>
  </si>
  <si>
    <t>BZ</t>
  </si>
  <si>
    <t>Belize</t>
  </si>
  <si>
    <t>MF31</t>
  </si>
  <si>
    <t>Manufacturing - Repair and installation of machinery and equipment</t>
  </si>
  <si>
    <t>CRC</t>
  </si>
  <si>
    <t>Costa Rican Colon</t>
  </si>
  <si>
    <t>F</t>
  </si>
  <si>
    <t>Equities (including convertible bonds) as per paragraph 96 of the CBUAE</t>
  </si>
  <si>
    <t>CA</t>
  </si>
  <si>
    <t>Canada</t>
  </si>
  <si>
    <t>MF32</t>
  </si>
  <si>
    <t>Manufacturing of other non-metallic mineral products - Cement, lime and plaster manufacturing</t>
  </si>
  <si>
    <t>CUC</t>
  </si>
  <si>
    <t>Peso Convertible</t>
  </si>
  <si>
    <t>Cocos (Keeling) Islands</t>
  </si>
  <si>
    <t>MF33</t>
  </si>
  <si>
    <t>Manufacturing of other non-metallic mineral products - Tiles and other structural clay products</t>
  </si>
  <si>
    <t>CUP</t>
  </si>
  <si>
    <t>Cuban Peso</t>
  </si>
  <si>
    <t>UCITS and mutual funds as per paragraph 95 of the CBUAE Standards re</t>
  </si>
  <si>
    <t>CD</t>
  </si>
  <si>
    <t>Congo, the Democratic Republic of the</t>
  </si>
  <si>
    <t>MF34</t>
  </si>
  <si>
    <t>Manufacturing of other non-metallic mineral products - Glass and glass products</t>
  </si>
  <si>
    <t>CVE</t>
  </si>
  <si>
    <t>Cabo Verde Escudo</t>
  </si>
  <si>
    <t>Capital Adequacy in the UAE</t>
  </si>
  <si>
    <t>CF</t>
  </si>
  <si>
    <t>Central African Republic</t>
  </si>
  <si>
    <t>MF35</t>
  </si>
  <si>
    <t>Other manufacturing non-metallic mineral product not shown elsewhere</t>
  </si>
  <si>
    <t>CZK</t>
  </si>
  <si>
    <t>Czech Koruna</t>
  </si>
  <si>
    <t>H</t>
  </si>
  <si>
    <t>UCITS and mutual funds as per paragraph 96 of the CBUAE Standards re</t>
  </si>
  <si>
    <t>CG</t>
  </si>
  <si>
    <t>Congo</t>
  </si>
  <si>
    <t>ES01</t>
  </si>
  <si>
    <t>Electricity, gas &amp; air-conditioning supply - Electric power generation, transmission and distribution</t>
  </si>
  <si>
    <t>DJF</t>
  </si>
  <si>
    <t>Djibouti Franc</t>
  </si>
  <si>
    <t>CH</t>
  </si>
  <si>
    <t>Switzerland</t>
  </si>
  <si>
    <t>ES02</t>
  </si>
  <si>
    <t>Electricity, gas &amp; air-conditioning supply - Industrial and consumer gas, CNG</t>
  </si>
  <si>
    <t>DKK</t>
  </si>
  <si>
    <t>Danish Krone</t>
  </si>
  <si>
    <t>I</t>
  </si>
  <si>
    <t>Eligible Guarantees as prescribed in CBUAE Standards re Capital Adequacy in</t>
  </si>
  <si>
    <t>CI</t>
  </si>
  <si>
    <t>Côte d'Ivoire</t>
  </si>
  <si>
    <t>ES03</t>
  </si>
  <si>
    <t>Electricity, gas &amp; air-conditioning supply – Air-conditioning and steam supply</t>
  </si>
  <si>
    <t>DOP</t>
  </si>
  <si>
    <t>Dominican Peso</t>
  </si>
  <si>
    <t>the UAE</t>
  </si>
  <si>
    <t>CK</t>
  </si>
  <si>
    <t>Cook Islands</t>
  </si>
  <si>
    <t>WS01</t>
  </si>
  <si>
    <t>Water supply; sewerage, waste management and remediation activities -Water collection, treatment and supply</t>
  </si>
  <si>
    <t>DZD</t>
  </si>
  <si>
    <t>Algerian Dinar</t>
  </si>
  <si>
    <t>CL</t>
  </si>
  <si>
    <t>Chile</t>
  </si>
  <si>
    <t>WS02</t>
  </si>
  <si>
    <t>Water supply; sewerage, waste management and remediation activities -Sewerage</t>
  </si>
  <si>
    <t>EGP</t>
  </si>
  <si>
    <t>Egyptian Pound</t>
  </si>
  <si>
    <t>CM</t>
  </si>
  <si>
    <t>Cameroon</t>
  </si>
  <si>
    <t>WS03</t>
  </si>
  <si>
    <t>Water supply; sewerage, waste management and remediation activities -Waste collection, treatment and disposal activities; materials recovery</t>
  </si>
  <si>
    <t>ERN</t>
  </si>
  <si>
    <t>Nakfa</t>
  </si>
  <si>
    <t>CN</t>
  </si>
  <si>
    <t>China</t>
  </si>
  <si>
    <t>WS04</t>
  </si>
  <si>
    <t>Water supply; sewerage, waste management and remediation activities -Remediation activities and other waste management services</t>
  </si>
  <si>
    <t>ETB</t>
  </si>
  <si>
    <t>Ethiopian Birr</t>
  </si>
  <si>
    <t>CO</t>
  </si>
  <si>
    <t>Colombia</t>
  </si>
  <si>
    <t>CR01</t>
  </si>
  <si>
    <t>Construction and real estate - Construction of buildings</t>
  </si>
  <si>
    <t>EUR</t>
  </si>
  <si>
    <t>Euro</t>
  </si>
  <si>
    <t>CR</t>
  </si>
  <si>
    <t>Costa Rica</t>
  </si>
  <si>
    <t>CR02</t>
  </si>
  <si>
    <t>Construction and real estate - Civil engineering</t>
  </si>
  <si>
    <t>FJD</t>
  </si>
  <si>
    <t>Fiji Dollar</t>
  </si>
  <si>
    <t>CU</t>
  </si>
  <si>
    <t>Cuba</t>
  </si>
  <si>
    <t>CR03</t>
  </si>
  <si>
    <t>Construction and real estate - Specialized construction activities</t>
  </si>
  <si>
    <t>FKP</t>
  </si>
  <si>
    <t>Falkland Islands Pound</t>
  </si>
  <si>
    <t>CV</t>
  </si>
  <si>
    <t>Cape Verde</t>
  </si>
  <si>
    <t>CR04</t>
  </si>
  <si>
    <t>Construction and real estate - Real estate activities with own or leased property</t>
  </si>
  <si>
    <t>GBP</t>
  </si>
  <si>
    <t>Pound Sterling</t>
  </si>
  <si>
    <t>CW</t>
  </si>
  <si>
    <t>Curaçao</t>
  </si>
  <si>
    <t>CR05</t>
  </si>
  <si>
    <t>Construction and real estate - Real estate activities on a free or contract basis</t>
  </si>
  <si>
    <t>GEL</t>
  </si>
  <si>
    <t>Lari</t>
  </si>
  <si>
    <t>CX</t>
  </si>
  <si>
    <t>Christmas Island</t>
  </si>
  <si>
    <t>WR01</t>
  </si>
  <si>
    <t>Wholesale and retail trade; repair of motor vehicles and motorcycles - Sale of motor vehicles, parts and accessories</t>
  </si>
  <si>
    <t>GHS</t>
  </si>
  <si>
    <t>Ghana Cedi</t>
  </si>
  <si>
    <t>CY</t>
  </si>
  <si>
    <t>Cyprus</t>
  </si>
  <si>
    <t>WR02</t>
  </si>
  <si>
    <t>Wholesale and retail trade; repair of motor vehicles and motorcycles – Sale, maintenance and repair of motor vehicles, parts and accessories</t>
  </si>
  <si>
    <t>GIP</t>
  </si>
  <si>
    <t>Gibraltar Pound</t>
  </si>
  <si>
    <t>CZ</t>
  </si>
  <si>
    <t>Czech Republic</t>
  </si>
  <si>
    <t>WR03</t>
  </si>
  <si>
    <t>Wholesale and retail trade; repair of motor vehicles and motorcycles – Wholesale of construction materials, hardware, plumbing and heating equipment and supplies</t>
  </si>
  <si>
    <t>GMD</t>
  </si>
  <si>
    <t>Dalasi</t>
  </si>
  <si>
    <t>DE</t>
  </si>
  <si>
    <t>Germany</t>
  </si>
  <si>
    <t>WR04</t>
  </si>
  <si>
    <t>Wholesale and retail trade; repair of motor vehicles and motorcycles – Textiles, clothing and leather products</t>
  </si>
  <si>
    <t>GNF</t>
  </si>
  <si>
    <t>Guinean Franc</t>
  </si>
  <si>
    <t>DJ</t>
  </si>
  <si>
    <t>Djibouti</t>
  </si>
  <si>
    <t>WR05</t>
  </si>
  <si>
    <t>Wholesale and retail trade; repair of motor vehicles and motorcycles – Wholesale of machinery, equipment and supplies</t>
  </si>
  <si>
    <t>GTQ</t>
  </si>
  <si>
    <t>Quetzal</t>
  </si>
  <si>
    <t>DK</t>
  </si>
  <si>
    <t>Denmark</t>
  </si>
  <si>
    <t>WR06</t>
  </si>
  <si>
    <t>Wholesale and retail trade; repair of motor vehicles and motorcycles – wholesale of food, beverages and tobacco</t>
  </si>
  <si>
    <t>GYD</t>
  </si>
  <si>
    <t>Guyana Dollar</t>
  </si>
  <si>
    <t>DM</t>
  </si>
  <si>
    <t>Dominica</t>
  </si>
  <si>
    <t>WR07</t>
  </si>
  <si>
    <t>Wholesale and retail trade; repair of motor vehicles and motorcycles – wholesale of solid, liquid and gaseous fuels and related products</t>
  </si>
  <si>
    <t>HKD</t>
  </si>
  <si>
    <t>Hong Kong Dollar</t>
  </si>
  <si>
    <t>DO</t>
  </si>
  <si>
    <t>Dominican Republic</t>
  </si>
  <si>
    <t>WR08</t>
  </si>
  <si>
    <t>Wholesale and retail trade; repair of motor vehicles and motorcycles – wholesales of metals and metal ores</t>
  </si>
  <si>
    <t>HNL</t>
  </si>
  <si>
    <t>Lempira</t>
  </si>
  <si>
    <t>DZ</t>
  </si>
  <si>
    <t>Algeria</t>
  </si>
  <si>
    <t>WR09</t>
  </si>
  <si>
    <t>Wholesale and retail trade; repair of motor vehicles and motorcycles – wholesale of wasted and scrap and other products</t>
  </si>
  <si>
    <t>HRK</t>
  </si>
  <si>
    <t>Kuna</t>
  </si>
  <si>
    <t>EC</t>
  </si>
  <si>
    <t>Ecuador</t>
  </si>
  <si>
    <t>WR10</t>
  </si>
  <si>
    <t>Wholesale and retail trade; repair of motor vehicles and motorcycles – wholesale of agricultural raw materials and live animals</t>
  </si>
  <si>
    <t>HTG</t>
  </si>
  <si>
    <t>Gourde</t>
  </si>
  <si>
    <t>EE</t>
  </si>
  <si>
    <t>Estonia</t>
  </si>
  <si>
    <t>WR11</t>
  </si>
  <si>
    <t>Wholesale and retail trade; repair of motor vehicles and motorcycles – non-specialised wholesale trade</t>
  </si>
  <si>
    <t>HUF</t>
  </si>
  <si>
    <t>Forint</t>
  </si>
  <si>
    <t>EG</t>
  </si>
  <si>
    <t>Egypt</t>
  </si>
  <si>
    <t>WR12</t>
  </si>
  <si>
    <t>Wholesale and retail trade; repair of motor vehicles and motorcycles – Retail sale in non-specialised stores</t>
  </si>
  <si>
    <t>IDR</t>
  </si>
  <si>
    <t>Rupiah</t>
  </si>
  <si>
    <t>EH</t>
  </si>
  <si>
    <t>Western Sahara</t>
  </si>
  <si>
    <t>WR13</t>
  </si>
  <si>
    <t>Wholesale and retail trade; repair of motor vehicles and motorcycles – Retail sale of food, beverages and tobacco in specialized stores</t>
  </si>
  <si>
    <t>ILS</t>
  </si>
  <si>
    <t>New Israeli Sheqel</t>
  </si>
  <si>
    <t>ER</t>
  </si>
  <si>
    <t>Eritrea</t>
  </si>
  <si>
    <t>WR14</t>
  </si>
  <si>
    <t>Wholesale and retail trade; repair of motor vehicles and motorcycles – Retail sale of information and communication equipment in specialized stores</t>
  </si>
  <si>
    <t>INR</t>
  </si>
  <si>
    <t>Indian Rupee</t>
  </si>
  <si>
    <t>ES</t>
  </si>
  <si>
    <t>Spain</t>
  </si>
  <si>
    <t>WR15</t>
  </si>
  <si>
    <t>Wholesale and retail trade; repair of motor vehicles and motorcycles – Retail sale of cultural and recreation goods in specialized stores</t>
  </si>
  <si>
    <t>IQD</t>
  </si>
  <si>
    <t>Iraqi Dinar</t>
  </si>
  <si>
    <t>ET</t>
  </si>
  <si>
    <t>Ethiopia</t>
  </si>
  <si>
    <t>WR16</t>
  </si>
  <si>
    <t>Wholesale and retail trade; repair of motor vehicles and motorcycles – Retail sale of other household equipment in specialized stores</t>
  </si>
  <si>
    <t>IRR</t>
  </si>
  <si>
    <t>Iranian Rial</t>
  </si>
  <si>
    <t>FI</t>
  </si>
  <si>
    <t>Finland</t>
  </si>
  <si>
    <t>WR17</t>
  </si>
  <si>
    <t>Wholesale and retail trade; repair of motor vehicles and motorcycles – Retail sale via stalls and markets other goods in specialized stores</t>
  </si>
  <si>
    <t>ISK</t>
  </si>
  <si>
    <t>Iceland Krona</t>
  </si>
  <si>
    <t>FJ</t>
  </si>
  <si>
    <t>Fiji</t>
  </si>
  <si>
    <t>WR18</t>
  </si>
  <si>
    <t>Wholesale and retail trade; repair of motor vehicles and motorcycles – Retail sale of other goods in specialized stores</t>
  </si>
  <si>
    <t>JMD</t>
  </si>
  <si>
    <t>Jamaican Dollar</t>
  </si>
  <si>
    <t>FK</t>
  </si>
  <si>
    <t>Falkland Islands (Malvinas)</t>
  </si>
  <si>
    <t>TS01</t>
  </si>
  <si>
    <t>Transportation and storage - Land transport and transport via pipelines</t>
  </si>
  <si>
    <t>JOD</t>
  </si>
  <si>
    <t>Jordanian Dinar</t>
  </si>
  <si>
    <t>FM</t>
  </si>
  <si>
    <t>Micronesia, Federated States of</t>
  </si>
  <si>
    <t>TS02</t>
  </si>
  <si>
    <t>Transportation and storage - Taxies, buses, railways and other land transport</t>
  </si>
  <si>
    <t>JPY</t>
  </si>
  <si>
    <t>Yen</t>
  </si>
  <si>
    <t>FO</t>
  </si>
  <si>
    <t>Faroe Islands</t>
  </si>
  <si>
    <t>TS03</t>
  </si>
  <si>
    <t>Transportation and storage - Transport via pipelines</t>
  </si>
  <si>
    <t>KES</t>
  </si>
  <si>
    <t>Kenyan Shilling</t>
  </si>
  <si>
    <t>FR</t>
  </si>
  <si>
    <t>France</t>
  </si>
  <si>
    <t>TS04</t>
  </si>
  <si>
    <t>Transportation and storage - Water Transport</t>
  </si>
  <si>
    <t>KGS</t>
  </si>
  <si>
    <t>Som</t>
  </si>
  <si>
    <t>GA</t>
  </si>
  <si>
    <t>Gabon</t>
  </si>
  <si>
    <t>TS05</t>
  </si>
  <si>
    <t>Transportation and storage - Air lines and air transport</t>
  </si>
  <si>
    <t>KHR</t>
  </si>
  <si>
    <t>Riel</t>
  </si>
  <si>
    <t>GB</t>
  </si>
  <si>
    <t>United Kingdom</t>
  </si>
  <si>
    <t>TS06</t>
  </si>
  <si>
    <t>Transportation and storage - Warehousing and support activities for transportation</t>
  </si>
  <si>
    <t>KMF</t>
  </si>
  <si>
    <t>Comorian Franc</t>
  </si>
  <si>
    <t>GD</t>
  </si>
  <si>
    <t>Grenada</t>
  </si>
  <si>
    <t>TS07</t>
  </si>
  <si>
    <t>Transportation and storage - Postal and courier activities</t>
  </si>
  <si>
    <t>KPW</t>
  </si>
  <si>
    <t>North Korean Won</t>
  </si>
  <si>
    <t>GE</t>
  </si>
  <si>
    <t>Georgia</t>
  </si>
  <si>
    <t>HS01</t>
  </si>
  <si>
    <t>Hospitality - Accommodation</t>
  </si>
  <si>
    <t>KRW</t>
  </si>
  <si>
    <t>Won</t>
  </si>
  <si>
    <t>GF</t>
  </si>
  <si>
    <t>French Guiana</t>
  </si>
  <si>
    <t>HS02</t>
  </si>
  <si>
    <t>Hospitality - Food and beverage service activities</t>
  </si>
  <si>
    <t>KWD</t>
  </si>
  <si>
    <t>Kuwaiti Dinar</t>
  </si>
  <si>
    <t>GG</t>
  </si>
  <si>
    <t>Guernsey</t>
  </si>
  <si>
    <t>IC01</t>
  </si>
  <si>
    <t>Information and communication - Publishing activities</t>
  </si>
  <si>
    <t>KYD</t>
  </si>
  <si>
    <t>Cayman Islands Dollar</t>
  </si>
  <si>
    <t>GH</t>
  </si>
  <si>
    <t>Ghana</t>
  </si>
  <si>
    <t>IC02</t>
  </si>
  <si>
    <t>Information and communication - Motion picture, video and television programme production, sound recording</t>
  </si>
  <si>
    <t>KZT</t>
  </si>
  <si>
    <t>Tenge</t>
  </si>
  <si>
    <t>GI</t>
  </si>
  <si>
    <t>Gibraltar</t>
  </si>
  <si>
    <t>IC03</t>
  </si>
  <si>
    <t>and music publishing activities</t>
  </si>
  <si>
    <t>LAK</t>
  </si>
  <si>
    <t>Lao Kip</t>
  </si>
  <si>
    <t>GL</t>
  </si>
  <si>
    <t>Greenland</t>
  </si>
  <si>
    <t>IC04</t>
  </si>
  <si>
    <t>Information and communication - Programming and broadcasting activities</t>
  </si>
  <si>
    <t>LBP</t>
  </si>
  <si>
    <t>Lebanese Pound</t>
  </si>
  <si>
    <t>GM</t>
  </si>
  <si>
    <t>Gambia</t>
  </si>
  <si>
    <t>IC05</t>
  </si>
  <si>
    <t>Information and communication - Telecommunications</t>
  </si>
  <si>
    <t>LKR</t>
  </si>
  <si>
    <t>Sri Lanka Rupee</t>
  </si>
  <si>
    <t>GN</t>
  </si>
  <si>
    <t>Guinea</t>
  </si>
  <si>
    <t>IC06</t>
  </si>
  <si>
    <t>Information and communication - Computer programming, consultancy and related activities</t>
  </si>
  <si>
    <t>LRD</t>
  </si>
  <si>
    <t>Liberian Dollar</t>
  </si>
  <si>
    <t>GP</t>
  </si>
  <si>
    <t>Guadeloupe</t>
  </si>
  <si>
    <t>IC07</t>
  </si>
  <si>
    <t>Information and communication - Information service activities</t>
  </si>
  <si>
    <t>LSL</t>
  </si>
  <si>
    <t>Loti</t>
  </si>
  <si>
    <t>GQ</t>
  </si>
  <si>
    <t>Equatorial Guinea</t>
  </si>
  <si>
    <t>FI01</t>
  </si>
  <si>
    <t>Financial and Insurance activities - Financial service activities, except insurance and pension funding - Central Banking</t>
  </si>
  <si>
    <t>LYD</t>
  </si>
  <si>
    <t>Libyan Dinar</t>
  </si>
  <si>
    <t>GR</t>
  </si>
  <si>
    <t>Greece</t>
  </si>
  <si>
    <t>FI02</t>
  </si>
  <si>
    <t>Financial and Insurance activities - Financial service activities, except insurance and pension funding - Commercial banks</t>
  </si>
  <si>
    <t>MAD</t>
  </si>
  <si>
    <t>Moroccan Dirham</t>
  </si>
  <si>
    <t>GS</t>
  </si>
  <si>
    <t>South Georgia and the South Sandwich Islands</t>
  </si>
  <si>
    <t>FI03</t>
  </si>
  <si>
    <t>Financial and Insurance activities - Financial service activities, except insurance and pension funding - Real Estate Finance companies</t>
  </si>
  <si>
    <t>MDL</t>
  </si>
  <si>
    <t>Moldovan Leu</t>
  </si>
  <si>
    <t>Guatemala</t>
  </si>
  <si>
    <t>FI04</t>
  </si>
  <si>
    <t>Financial and Insurance activities - Financial service activities, except insurance and pension funding - Non Real Estate Finance Companies</t>
  </si>
  <si>
    <t>MGA</t>
  </si>
  <si>
    <t>Malagasy Ariary</t>
  </si>
  <si>
    <t>GU</t>
  </si>
  <si>
    <t>Guam</t>
  </si>
  <si>
    <t>FI05</t>
  </si>
  <si>
    <t>Financial and Insurance activities - Financial service activities, except insurance and pension funding - Investment Companies</t>
  </si>
  <si>
    <t>MKD</t>
  </si>
  <si>
    <t>Denar</t>
  </si>
  <si>
    <t>GW</t>
  </si>
  <si>
    <t>Guinea-Bissau</t>
  </si>
  <si>
    <t>FI06</t>
  </si>
  <si>
    <t>Financial and Insurance activities - Financial service activities, except insurance and pension funding - Brokerage Companies</t>
  </si>
  <si>
    <t>MMK</t>
  </si>
  <si>
    <t>Kyat</t>
  </si>
  <si>
    <t>GY</t>
  </si>
  <si>
    <t>Guyana</t>
  </si>
  <si>
    <t>FI07</t>
  </si>
  <si>
    <t>Financial and Insurance activities - Financial service activities, except insurance and pension funding - Activities of holding companies</t>
  </si>
  <si>
    <t>MNT</t>
  </si>
  <si>
    <t>Tugrik</t>
  </si>
  <si>
    <t>HK</t>
  </si>
  <si>
    <t>Hong Kong</t>
  </si>
  <si>
    <t>FI08</t>
  </si>
  <si>
    <t>Financial and Insurance activities - Financial service activities, except insurance and pension funding - Trusts, funds and similar financial entities</t>
  </si>
  <si>
    <t>MOP</t>
  </si>
  <si>
    <t>Pataca</t>
  </si>
  <si>
    <t>HM</t>
  </si>
  <si>
    <t>Heard Island and McDonald Islands</t>
  </si>
  <si>
    <t>FI09</t>
  </si>
  <si>
    <t>Financial and Insurance activities - Financial service activities, except insurance and pension funding - Financial leasing</t>
  </si>
  <si>
    <t>MRU</t>
  </si>
  <si>
    <t>Ouguiya</t>
  </si>
  <si>
    <t>HN</t>
  </si>
  <si>
    <t>Honduras</t>
  </si>
  <si>
    <t>FI10</t>
  </si>
  <si>
    <t>Financial and Insurance activities - Others financial activities, such as insurance &amp; pension funding - Insurance, reinsurance and pension funding</t>
  </si>
  <si>
    <t>MUR</t>
  </si>
  <si>
    <t>Mauritius Rupee</t>
  </si>
  <si>
    <t>HR</t>
  </si>
  <si>
    <t>Croatia</t>
  </si>
  <si>
    <t>FI11</t>
  </si>
  <si>
    <t>Financial and Insurance activities - Others financial activities, such as insurance &amp; pension funding – Activities auxiliary to financial service and insurance activities</t>
  </si>
  <si>
    <t>MVR</t>
  </si>
  <si>
    <t>Rufiyaa</t>
  </si>
  <si>
    <t>HT</t>
  </si>
  <si>
    <t>Haiti</t>
  </si>
  <si>
    <t>PT01</t>
  </si>
  <si>
    <t>Professional, scientific and technical activities</t>
  </si>
  <si>
    <t>MWK</t>
  </si>
  <si>
    <t>Malawi Kwacha</t>
  </si>
  <si>
    <t>HU</t>
  </si>
  <si>
    <t>Hungary</t>
  </si>
  <si>
    <t>AS01</t>
  </si>
  <si>
    <t>Administrative and support service activities</t>
  </si>
  <si>
    <t>MYR</t>
  </si>
  <si>
    <t>Malaysian Ringgit</t>
  </si>
  <si>
    <t>ID</t>
  </si>
  <si>
    <t>Indonesia</t>
  </si>
  <si>
    <t>PA01</t>
  </si>
  <si>
    <t>Public administration and defence and social security</t>
  </si>
  <si>
    <t>MXN</t>
  </si>
  <si>
    <t>Mexican Peso</t>
  </si>
  <si>
    <t>IE</t>
  </si>
  <si>
    <t>Ireland</t>
  </si>
  <si>
    <t>ED01</t>
  </si>
  <si>
    <t>Education</t>
  </si>
  <si>
    <t>MXV</t>
  </si>
  <si>
    <t>Mexican Unidad de Inversion (UDI)</t>
  </si>
  <si>
    <t>IL</t>
  </si>
  <si>
    <t>Israel</t>
  </si>
  <si>
    <t>HH01</t>
  </si>
  <si>
    <t>Human health and social work activities</t>
  </si>
  <si>
    <t>MZN</t>
  </si>
  <si>
    <t>Mozambique Metical</t>
  </si>
  <si>
    <t>IM</t>
  </si>
  <si>
    <t>Isle of Man</t>
  </si>
  <si>
    <t>AR01</t>
  </si>
  <si>
    <t>Arts, entertainment and recreation</t>
  </si>
  <si>
    <t>NAD</t>
  </si>
  <si>
    <t>Namibia Dollar</t>
  </si>
  <si>
    <t>IN</t>
  </si>
  <si>
    <t>India</t>
  </si>
  <si>
    <t>OS01</t>
  </si>
  <si>
    <t>Other service activities</t>
  </si>
  <si>
    <t>NGN</t>
  </si>
  <si>
    <t>Naira</t>
  </si>
  <si>
    <t>IO</t>
  </si>
  <si>
    <t>British Indian Ocean Territory</t>
  </si>
  <si>
    <t>AE01</t>
  </si>
  <si>
    <t>Activities of extraterritorial organisations and bodies (supranational)</t>
  </si>
  <si>
    <t>NIO</t>
  </si>
  <si>
    <t>Cordoba Oro</t>
  </si>
  <si>
    <t>IQ</t>
  </si>
  <si>
    <t>Iraq</t>
  </si>
  <si>
    <t>GV01</t>
  </si>
  <si>
    <t>Federal Government</t>
  </si>
  <si>
    <t>NOK</t>
  </si>
  <si>
    <t>Norwegian Krone</t>
  </si>
  <si>
    <t>IR</t>
  </si>
  <si>
    <t>Iran, Islamic Republic of</t>
  </si>
  <si>
    <t>GV02</t>
  </si>
  <si>
    <t>Emirate Government</t>
  </si>
  <si>
    <t>NPR</t>
  </si>
  <si>
    <t>Nepalese Rupee</t>
  </si>
  <si>
    <t>IS</t>
  </si>
  <si>
    <t>Iceland</t>
  </si>
  <si>
    <t>GV03</t>
  </si>
  <si>
    <t>Foreign Government</t>
  </si>
  <si>
    <t>NZD</t>
  </si>
  <si>
    <t>New Zealand Dollar</t>
  </si>
  <si>
    <t>IT</t>
  </si>
  <si>
    <t>Italy</t>
  </si>
  <si>
    <t>IL01</t>
  </si>
  <si>
    <t>Individual loans for consumption - Personal instalment loans, Overdrafts &amp; Car Loan</t>
  </si>
  <si>
    <t>OMR</t>
  </si>
  <si>
    <t>Rial Omani</t>
  </si>
  <si>
    <t>JE</t>
  </si>
  <si>
    <t>Jersey</t>
  </si>
  <si>
    <t>IL02</t>
  </si>
  <si>
    <t>Individual loans for consumption  - Credit Cards</t>
  </si>
  <si>
    <t>PAB</t>
  </si>
  <si>
    <t>Balboa</t>
  </si>
  <si>
    <t>JM</t>
  </si>
  <si>
    <t>Jamaica</t>
  </si>
  <si>
    <t>IL03</t>
  </si>
  <si>
    <t>Individual loans for consumption - Housing Loans</t>
  </si>
  <si>
    <t>PEN</t>
  </si>
  <si>
    <t>Sol</t>
  </si>
  <si>
    <t>JO</t>
  </si>
  <si>
    <t>Jordan</t>
  </si>
  <si>
    <t>IB01</t>
  </si>
  <si>
    <t>Individual loans for business – Term loans and overdraft</t>
  </si>
  <si>
    <t>PGK</t>
  </si>
  <si>
    <t>Kina</t>
  </si>
  <si>
    <t>JP</t>
  </si>
  <si>
    <t>Japan</t>
  </si>
  <si>
    <t>IB02</t>
  </si>
  <si>
    <t>Individual loans for business – loans against shares or other investments</t>
  </si>
  <si>
    <t>PHP</t>
  </si>
  <si>
    <t>Philippine Peso</t>
  </si>
  <si>
    <t>KE</t>
  </si>
  <si>
    <t>Kenya</t>
  </si>
  <si>
    <t>PKR</t>
  </si>
  <si>
    <t>Pakistan Rupee</t>
  </si>
  <si>
    <t>KG</t>
  </si>
  <si>
    <t>Kyrgyzstan</t>
  </si>
  <si>
    <t>PLN</t>
  </si>
  <si>
    <t>Zloty</t>
  </si>
  <si>
    <t>KH</t>
  </si>
  <si>
    <t>Cambodia</t>
  </si>
  <si>
    <t>PYG</t>
  </si>
  <si>
    <t>Guarani</t>
  </si>
  <si>
    <t>KI</t>
  </si>
  <si>
    <t>Kiribati</t>
  </si>
  <si>
    <t>QAR</t>
  </si>
  <si>
    <t>Qatari Rial</t>
  </si>
  <si>
    <t>KM</t>
  </si>
  <si>
    <t>Comoros</t>
  </si>
  <si>
    <t>RON</t>
  </si>
  <si>
    <t>Romanian Leu</t>
  </si>
  <si>
    <t>KN</t>
  </si>
  <si>
    <t>Saint Kitts and Nevis</t>
  </si>
  <si>
    <t>RSD</t>
  </si>
  <si>
    <t>Serbian Dinar</t>
  </si>
  <si>
    <t>KP</t>
  </si>
  <si>
    <t>Korea, Democratic People's Republic of</t>
  </si>
  <si>
    <t>RUB</t>
  </si>
  <si>
    <t>Russian Ruble</t>
  </si>
  <si>
    <t>KR</t>
  </si>
  <si>
    <t>Korea, Republic of</t>
  </si>
  <si>
    <t>RWF</t>
  </si>
  <si>
    <t>Rwanda Franc</t>
  </si>
  <si>
    <t>KW</t>
  </si>
  <si>
    <t>Kuwait</t>
  </si>
  <si>
    <t>SAR</t>
  </si>
  <si>
    <t>Saudi Riyal</t>
  </si>
  <si>
    <t>KY</t>
  </si>
  <si>
    <t>Cayman Islands</t>
  </si>
  <si>
    <t>SBD</t>
  </si>
  <si>
    <t>Solomon Islands Dollar</t>
  </si>
  <si>
    <t>KZ</t>
  </si>
  <si>
    <t>Kazakhstan</t>
  </si>
  <si>
    <t>SCR</t>
  </si>
  <si>
    <t>Seychelles Rupee</t>
  </si>
  <si>
    <t>LA</t>
  </si>
  <si>
    <t>Lao People's Democratic Republic</t>
  </si>
  <si>
    <t>SDG</t>
  </si>
  <si>
    <t>Sudanese Pound</t>
  </si>
  <si>
    <t>LB</t>
  </si>
  <si>
    <t>Lebanon</t>
  </si>
  <si>
    <t>SEK</t>
  </si>
  <si>
    <t>Swedish Krona</t>
  </si>
  <si>
    <t>LC</t>
  </si>
  <si>
    <t>Saint Lucia</t>
  </si>
  <si>
    <t>SGD</t>
  </si>
  <si>
    <t>Singapore Dollar</t>
  </si>
  <si>
    <t>LI</t>
  </si>
  <si>
    <t>Liechtenstein</t>
  </si>
  <si>
    <t>SHP</t>
  </si>
  <si>
    <t>Saint Helena Pound</t>
  </si>
  <si>
    <t>LK</t>
  </si>
  <si>
    <t>Sri Lanka</t>
  </si>
  <si>
    <t>SLL</t>
  </si>
  <si>
    <t>Leone</t>
  </si>
  <si>
    <t>Liberia</t>
  </si>
  <si>
    <t>SOS</t>
  </si>
  <si>
    <t>Somali Shilling</t>
  </si>
  <si>
    <t>LS</t>
  </si>
  <si>
    <t>Lesotho</t>
  </si>
  <si>
    <t>SRD</t>
  </si>
  <si>
    <t>Surinam Dollar</t>
  </si>
  <si>
    <t>LT</t>
  </si>
  <si>
    <t>Lithuania</t>
  </si>
  <si>
    <t>SSP</t>
  </si>
  <si>
    <t>South Sudanese Pound</t>
  </si>
  <si>
    <t>LU</t>
  </si>
  <si>
    <t>Luxembourg</t>
  </si>
  <si>
    <t>STN</t>
  </si>
  <si>
    <t>Dobra</t>
  </si>
  <si>
    <t>LV</t>
  </si>
  <si>
    <t>Latvia</t>
  </si>
  <si>
    <t>SVC</t>
  </si>
  <si>
    <t>El Salvador Colon</t>
  </si>
  <si>
    <t>LY</t>
  </si>
  <si>
    <t>Libya</t>
  </si>
  <si>
    <t>SYP</t>
  </si>
  <si>
    <t>Syrian Pound</t>
  </si>
  <si>
    <t>MA</t>
  </si>
  <si>
    <t>Morocco</t>
  </si>
  <si>
    <t>SZL</t>
  </si>
  <si>
    <t>Lilangeni</t>
  </si>
  <si>
    <t>MC</t>
  </si>
  <si>
    <t>Monaco</t>
  </si>
  <si>
    <t>THB</t>
  </si>
  <si>
    <t>Baht</t>
  </si>
  <si>
    <t>MD</t>
  </si>
  <si>
    <t>Moldova, Republic of</t>
  </si>
  <si>
    <t>TJS</t>
  </si>
  <si>
    <t>Somoni</t>
  </si>
  <si>
    <t>ME</t>
  </si>
  <si>
    <t>Montenegro</t>
  </si>
  <si>
    <t>TMT</t>
  </si>
  <si>
    <t>Turkmenistan New Manat</t>
  </si>
  <si>
    <t>MF</t>
  </si>
  <si>
    <t>Saint Martin (French part)</t>
  </si>
  <si>
    <t>TND</t>
  </si>
  <si>
    <t>Tunisian Dinar</t>
  </si>
  <si>
    <t>MG</t>
  </si>
  <si>
    <t>Madagascar</t>
  </si>
  <si>
    <t>TOP</t>
  </si>
  <si>
    <t>Pa’anga</t>
  </si>
  <si>
    <t>MH</t>
  </si>
  <si>
    <t>Marshall Islands</t>
  </si>
  <si>
    <t>TRY</t>
  </si>
  <si>
    <t>Turkish Lira</t>
  </si>
  <si>
    <t>MK</t>
  </si>
  <si>
    <t>Macedonia, the former Yugoslav Republic of</t>
  </si>
  <si>
    <t>TTD</t>
  </si>
  <si>
    <t>Trinidad and Tobago Dollar</t>
  </si>
  <si>
    <t>ML</t>
  </si>
  <si>
    <t>Mali</t>
  </si>
  <si>
    <t>TWD</t>
  </si>
  <si>
    <t>New Taiwan Dollar</t>
  </si>
  <si>
    <t>MM</t>
  </si>
  <si>
    <t>Myanmar</t>
  </si>
  <si>
    <t>TZS</t>
  </si>
  <si>
    <t>Tanzanian Shilling</t>
  </si>
  <si>
    <t>MN</t>
  </si>
  <si>
    <t>Mongolia</t>
  </si>
  <si>
    <t>UAH</t>
  </si>
  <si>
    <t>Hryvnia</t>
  </si>
  <si>
    <t>MO</t>
  </si>
  <si>
    <t>Macao</t>
  </si>
  <si>
    <t>UGX</t>
  </si>
  <si>
    <t>Uganda Shilling</t>
  </si>
  <si>
    <t>MP</t>
  </si>
  <si>
    <t>Northern Mariana Islands</t>
  </si>
  <si>
    <t>USD</t>
  </si>
  <si>
    <t>US Dollar</t>
  </si>
  <si>
    <t>MQ</t>
  </si>
  <si>
    <t>Martinique</t>
  </si>
  <si>
    <t>USN</t>
  </si>
  <si>
    <t>US Dollar (Next day)</t>
  </si>
  <si>
    <t>MR</t>
  </si>
  <si>
    <t>Mauritania</t>
  </si>
  <si>
    <t>UYI</t>
  </si>
  <si>
    <t>Uruguay Peso en Unidades Indexadas (UI)</t>
  </si>
  <si>
    <t>MS</t>
  </si>
  <si>
    <t>Montserrat</t>
  </si>
  <si>
    <t>UYU</t>
  </si>
  <si>
    <t>Peso Uruguayo</t>
  </si>
  <si>
    <t>MT</t>
  </si>
  <si>
    <t>Malta</t>
  </si>
  <si>
    <t>UYW</t>
  </si>
  <si>
    <t>Unidad Previsional</t>
  </si>
  <si>
    <t>MU</t>
  </si>
  <si>
    <t>Mauritius</t>
  </si>
  <si>
    <t>UZS</t>
  </si>
  <si>
    <t>Uzbekistan Sum</t>
  </si>
  <si>
    <t>MV</t>
  </si>
  <si>
    <t>Maldives</t>
  </si>
  <si>
    <t>VES</t>
  </si>
  <si>
    <t>Bol?var Soberano</t>
  </si>
  <si>
    <t>MW</t>
  </si>
  <si>
    <t>Malawi</t>
  </si>
  <si>
    <t>VND</t>
  </si>
  <si>
    <t>Dong</t>
  </si>
  <si>
    <t>MX</t>
  </si>
  <si>
    <t>Mexico</t>
  </si>
  <si>
    <t>VUV</t>
  </si>
  <si>
    <t>Vatu</t>
  </si>
  <si>
    <t>MY</t>
  </si>
  <si>
    <t>Malaysia</t>
  </si>
  <si>
    <t>WST</t>
  </si>
  <si>
    <t>Tala</t>
  </si>
  <si>
    <t>MZ</t>
  </si>
  <si>
    <t>Mozambique</t>
  </si>
  <si>
    <t>XAF</t>
  </si>
  <si>
    <t>CFA Franc BEAC</t>
  </si>
  <si>
    <t>NB</t>
  </si>
  <si>
    <t>Namibia</t>
  </si>
  <si>
    <t>XCD</t>
  </si>
  <si>
    <t>East Caribbean Dollar</t>
  </si>
  <si>
    <t>NC</t>
  </si>
  <si>
    <t>New Caledonia</t>
  </si>
  <si>
    <t>XDR</t>
  </si>
  <si>
    <t>SDR (Special Drawing Right)</t>
  </si>
  <si>
    <t>NE</t>
  </si>
  <si>
    <t>Niger</t>
  </si>
  <si>
    <t>XOF</t>
  </si>
  <si>
    <t>CFA Franc BCEAO</t>
  </si>
  <si>
    <t>NF</t>
  </si>
  <si>
    <t>Norfolk Island</t>
  </si>
  <si>
    <t>XPF</t>
  </si>
  <si>
    <t>CFP Franc</t>
  </si>
  <si>
    <t>NG</t>
  </si>
  <si>
    <t>Nigeria</t>
  </si>
  <si>
    <t>XSU</t>
  </si>
  <si>
    <t>Sucre</t>
  </si>
  <si>
    <t>NI</t>
  </si>
  <si>
    <t>Nicaragua</t>
  </si>
  <si>
    <t>XUA</t>
  </si>
  <si>
    <t>ADB Unit of Account</t>
  </si>
  <si>
    <t>NL</t>
  </si>
  <si>
    <t>Netherlands</t>
  </si>
  <si>
    <t>YER</t>
  </si>
  <si>
    <t>Yemeni Rial</t>
  </si>
  <si>
    <t>NO</t>
  </si>
  <si>
    <t>Norway</t>
  </si>
  <si>
    <t>ZAR</t>
  </si>
  <si>
    <t>Rand</t>
  </si>
  <si>
    <t>NP</t>
  </si>
  <si>
    <t>Nepal</t>
  </si>
  <si>
    <t>ZMW</t>
  </si>
  <si>
    <t>Zambian Kwacha</t>
  </si>
  <si>
    <t>Nauru</t>
  </si>
  <si>
    <t>ZWL</t>
  </si>
  <si>
    <t>Zimbabwe Dollar</t>
  </si>
  <si>
    <t>NU</t>
  </si>
  <si>
    <t>Niue</t>
  </si>
  <si>
    <t>XAU</t>
  </si>
  <si>
    <t>NZ</t>
  </si>
  <si>
    <t>New Zealand</t>
  </si>
  <si>
    <t>XAG</t>
  </si>
  <si>
    <t>Silver</t>
  </si>
  <si>
    <t>OM</t>
  </si>
  <si>
    <t>Oman</t>
  </si>
  <si>
    <t>XPD</t>
  </si>
  <si>
    <t>Palladium</t>
  </si>
  <si>
    <t>PA</t>
  </si>
  <si>
    <t>Panama</t>
  </si>
  <si>
    <t>XPT</t>
  </si>
  <si>
    <t>Platinum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</si>
  <si>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</si>
  <si>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</si>
  <si>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</si>
  <si>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</si>
  <si>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</si>
  <si>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</si>
  <si>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</si>
  <si>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</si>
  <si>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</si>
  <si>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</si>
  <si>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</si>
  <si>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</si>
  <si>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</si>
  <si>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</si>
  <si>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</si>
  <si>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</si>
  <si>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</si>
  <si>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</si>
  <si>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</si>
  <si>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</si>
  <si>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</si>
  <si>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</si>
  <si>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</si>
  <si>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</si>
  <si>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</si>
  <si>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</si>
  <si>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</si>
  <si>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</si>
  <si>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</si>
  <si>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</si>
  <si>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</si>
  <si>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</si>
  <si>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</si>
  <si>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</si>
  <si>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</si>
  <si>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</si>
  <si>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</si>
  <si>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</si>
  <si>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</si>
  <si>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</si>
  <si>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</si>
  <si>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</si>
  <si>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</si>
  <si>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</si>
  <si>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</si>
  <si>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</si>
  <si>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</si>
  <si>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</si>
  <si>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</si>
  <si>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</si>
  <si>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</si>
  <si>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</si>
  <si>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</si>
  <si>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</si>
  <si>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</si>
  <si>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</si>
  <si>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</si>
  <si>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</si>
  <si>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</si>
  <si>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</si>
  <si>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</si>
  <si>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</si>
  <si>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</si>
  <si>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</si>
  <si>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</si>
  <si>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</si>
  <si>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</si>
  <si>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</si>
  <si>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</si>
  <si>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</si>
  <si>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</si>
  <si>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</si>
  <si>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</si>
  <si>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</si>
  <si>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</si>
  <si>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</si>
  <si>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</si>
  <si>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</si>
  <si>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</si>
  <si>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</si>
  <si>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</si>
  <si>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</si>
  <si>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</si>
  <si>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</si>
  <si>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</si>
  <si>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</si>
  <si>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</si>
  <si>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</si>
  <si>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</si>
  <si>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</si>
  <si>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</si>
  <si>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</si>
  <si>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</si>
  <si>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</si>
  <si>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</si>
  <si>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</si>
  <si>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</si>
  <si>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</si>
  <si>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</si>
  <si>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</si>
  <si>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</si>
  <si>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</si>
  <si>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</si>
  <si>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</si>
  <si>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</si>
  <si>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</si>
  <si>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</si>
  <si>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</si>
  <si>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</si>
  <si>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</si>
  <si>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</si>
  <si>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</si>
  <si>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</si>
  <si>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</si>
  <si>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</si>
  <si>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</si>
  <si>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</si>
  <si>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</si>
  <si>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</si>
  <si>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</si>
  <si>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</si>
  <si>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</si>
  <si>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</si>
  <si>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</si>
  <si>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</si>
  <si>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</si>
  <si>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</si>
  <si>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</si>
  <si>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VE</t>
  </si>
  <si>
    <t>Venezuela, Bolivarian Republic of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</si>
  <si>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</si>
  <si>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</si>
  <si>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</si>
  <si>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</si>
  <si>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</si>
  <si>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</si>
  <si>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</si>
  <si>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</si>
  <si>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</si>
  <si>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</si>
  <si>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</si>
  <si>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</si>
  <si>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XX1</t>
  </si>
  <si>
    <t>UAE - Abu Dhabi</t>
  </si>
  <si>
    <t>XX2</t>
  </si>
  <si>
    <t>UAE - Dubai</t>
  </si>
  <si>
    <t>XX3</t>
  </si>
  <si>
    <t>UAE - Sharjah</t>
  </si>
  <si>
    <t>XX4</t>
  </si>
  <si>
    <t>UAE - Ajman</t>
  </si>
  <si>
    <t>XX5</t>
  </si>
  <si>
    <t>UAE - Fujairah</t>
  </si>
  <si>
    <t>XX6</t>
  </si>
  <si>
    <t>UAE - Ras Al Khaimah</t>
  </si>
  <si>
    <t>XX7</t>
  </si>
  <si>
    <t>UAE - Umm Al Qaiwain</t>
  </si>
  <si>
    <t>XX8</t>
  </si>
  <si>
    <t>UAE - ADGM</t>
  </si>
  <si>
    <t>XX9</t>
  </si>
  <si>
    <t>UAE - DIFC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</si>
  <si>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</si>
  <si>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</si>
  <si>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</si>
  <si>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</si>
  <si>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</si>
  <si>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</si>
  <si>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</si>
  <si>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</si>
  <si>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</si>
  <si>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</si>
  <si>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RCT</t>
  </si>
  <si>
    <t>Remaining Countries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</si>
</sst>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-* #,##0_-;\-* #,##0_-;_-* &quot;-&quot;??_-;_-@_-"/>
  </numFmts>
  <fonts count="34">
    <font>
      <sz val="11"/>
      <color theme="1"/>
      <name val="Calibri"/>
      <family val="2"/>
      <charset val="0"/>
      <scheme val="minor"/>
    </font>
    <font>
      <b/>
      <sz val="10"/>
      <color theme="1"/>
      <name val="Arial"/>
      <family val="2"/>
      <charset val="0"/>
    </font>
    <font>
      <sz val="10"/>
      <color theme="1"/>
      <name val="Arial"/>
      <family val="2"/>
      <charset val="0"/>
    </font>
    <font>
      <sz val="10"/>
      <color rgb="FFFF0000"/>
      <name val="Arial"/>
      <family val="2"/>
      <charset val="0"/>
    </font>
    <font>
      <sz val="10"/>
      <color theme="1"/>
      <name val="Calibri"/>
      <family val="2"/>
      <charset val="0"/>
      <scheme val="minor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0"/>
      <scheme val="minor"/>
    </font>
    <font>
      <b/>
      <sz val="8"/>
      <color theme="0"/>
      <name val="Arial"/>
      <family val="2"/>
      <charset val="0"/>
    </font>
    <font>
      <b/>
      <sz val="10"/>
      <name val="Arial"/>
      <family val="2"/>
      <charset val="0"/>
    </font>
    <font>
      <b/>
      <sz val="8"/>
      <color rgb="FF000000"/>
      <name val="Arial"/>
      <family val="2"/>
      <charset val="0"/>
    </font>
    <font>
      <b/>
      <sz val="8"/>
      <name val="Arial"/>
      <family val="2"/>
      <charset val="0"/>
    </font>
    <font>
      <sz val="8"/>
      <color indexed="8"/>
      <name val="Arial"/>
      <family val="2"/>
      <charset val="0"/>
    </font>
    <font>
      <sz val="8"/>
      <color theme="0"/>
      <name val="Arial"/>
      <family val="2"/>
      <charset val="0"/>
    </font>
    <font>
      <sz val="8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11"/>
      <color theme="0"/>
      <name val="Calibri"/>
      <family val="2"/>
      <charset val="0"/>
      <scheme val="minor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0" fillId="7" borderId="16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3" fillId="0" borderId="19" applyNumberFormat="0" applyFill="0" applyAlignment="0" applyProtection="0"/>
    <xf numFmtId="0" fontId="23" fillId="0" borderId="0" applyNumberFormat="0" applyFill="0" applyBorder="0" applyAlignment="0" applyProtection="0"/>
    <xf numFmtId="0" fontId="24" fillId="8" borderId="20" applyNumberFormat="0" applyAlignment="0" applyProtection="0"/>
    <xf numFmtId="0" fontId="25" fillId="9" borderId="21" applyNumberFormat="0" applyAlignment="0" applyProtection="0"/>
    <xf numFmtId="0" fontId="26" fillId="9" borderId="20" applyNumberFormat="0" applyAlignment="0" applyProtection="0"/>
    <xf numFmtId="0" fontId="15" fillId="10" borderId="22" applyNumberFormat="0" applyAlignment="0" applyProtection="0"/>
    <xf numFmtId="0" fontId="27" fillId="0" borderId="23" applyNumberFormat="0" applyFill="0" applyAlignment="0" applyProtection="0"/>
    <xf numFmtId="0" fontId="28" fillId="0" borderId="24" applyNumberFormat="0" applyFill="0" applyAlignment="0" applyProtection="0"/>
    <xf numFmtId="0" fontId="29" fillId="11" borderId="0" applyNumberFormat="0" applyBorder="0" applyAlignment="0" applyProtection="0"/>
    <xf numFmtId="0" fontId="30" fillId="12" borderId="0" applyNumberFormat="0" applyBorder="0" applyAlignment="0" applyProtection="0"/>
    <xf numFmtId="0" fontId="31" fillId="13" borderId="0" applyNumberFormat="0" applyBorder="0" applyAlignment="0" applyProtection="0"/>
    <xf numFmtId="0" fontId="6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6" fillId="37" borderId="0" applyNumberFormat="0" applyBorder="0" applyAlignment="0" applyProtection="0"/>
    <xf numFmtId="0" fontId="32" fillId="0" borderId="0"/>
    <xf numFmtId="0" fontId="32" fillId="0" borderId="0"/>
    <xf numFmtId="0" fontId="33" fillId="0" borderId="0">
      <alignment vertical="center"/>
    </xf>
    <xf numFmtId="0" fontId="5" fillId="0" borderId="0"/>
  </cellStyleXfs>
  <cellXfs count="128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0" borderId="0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Border="1"/>
    <xf numFmtId="0" fontId="2" fillId="0" borderId="0" xfId="0" applyFont="1" applyFill="1" applyBorder="1"/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0" fillId="0" borderId="0" xfId="0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3" borderId="6" xfId="0" applyFont="1" applyFill="1" applyBorder="1"/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4" borderId="1" xfId="52" applyFill="1" applyBorder="1"/>
    <xf numFmtId="0" fontId="6" fillId="0" borderId="0" xfId="0" applyFont="1"/>
    <xf numFmtId="0" fontId="0" fillId="0" borderId="0" xfId="0" applyAlignment="1">
      <alignment horizontal="center" vertical="center"/>
    </xf>
    <xf numFmtId="0" fontId="7" fillId="0" borderId="0" xfId="0" applyFont="1" applyFill="1" applyBorder="1"/>
    <xf numFmtId="0" fontId="8" fillId="3" borderId="2" xfId="51" applyFont="1" applyFill="1" applyBorder="1" applyAlignment="1">
      <alignment horizontal="center" vertical="center"/>
    </xf>
    <xf numFmtId="0" fontId="8" fillId="3" borderId="12" xfId="51" applyFont="1" applyFill="1" applyBorder="1" applyAlignment="1">
      <alignment horizontal="center" vertical="center"/>
    </xf>
    <xf numFmtId="0" fontId="9" fillId="5" borderId="11" xfId="49" applyFont="1" applyFill="1" applyBorder="1" applyAlignment="1" applyProtection="1"/>
    <xf numFmtId="15" fontId="10" fillId="0" borderId="2" xfId="50" applyNumberFormat="1" applyFont="1" applyFill="1" applyBorder="1" applyAlignment="1" applyProtection="1">
      <alignment horizontal="center"/>
    </xf>
    <xf numFmtId="15" fontId="10" fillId="0" borderId="3" xfId="50" applyNumberFormat="1" applyFont="1" applyFill="1" applyBorder="1" applyAlignment="1" applyProtection="1">
      <alignment horizontal="center"/>
    </xf>
    <xf numFmtId="15" fontId="10" fillId="0" borderId="13" xfId="50" applyNumberFormat="1" applyFont="1" applyFill="1" applyBorder="1" applyAlignment="1" applyProtection="1">
      <alignment horizontal="left"/>
    </xf>
    <xf numFmtId="15" fontId="10" fillId="0" borderId="13" xfId="50" applyNumberFormat="1" applyFont="1" applyFill="1" applyBorder="1" applyAlignment="1" applyProtection="1">
      <alignment horizontal="center"/>
    </xf>
    <xf numFmtId="15" fontId="10" fillId="5" borderId="2" xfId="50" applyNumberFormat="1" applyFont="1" applyFill="1" applyBorder="1" applyAlignment="1" applyProtection="1">
      <alignment horizontal="left"/>
    </xf>
    <xf numFmtId="15" fontId="10" fillId="0" borderId="0" xfId="50" applyNumberFormat="1" applyFont="1" applyFill="1" applyBorder="1" applyAlignment="1" applyProtection="1">
      <alignment horizontal="left"/>
    </xf>
    <xf numFmtId="15" fontId="10" fillId="0" borderId="0" xfId="50" applyNumberFormat="1" applyFont="1" applyFill="1" applyBorder="1" applyAlignment="1" applyProtection="1">
      <alignment horizontal="center"/>
    </xf>
    <xf numFmtId="0" fontId="10" fillId="5" borderId="9" xfId="50" applyFont="1" applyFill="1" applyBorder="1" applyProtection="1"/>
    <xf numFmtId="0" fontId="10" fillId="0" borderId="2" xfId="50" applyFont="1" applyFill="1" applyBorder="1" applyAlignment="1" applyProtection="1">
      <alignment horizontal="center"/>
    </xf>
    <xf numFmtId="0" fontId="10" fillId="0" borderId="3" xfId="50" applyFont="1" applyFill="1" applyBorder="1" applyAlignment="1" applyProtection="1">
      <alignment horizontal="center"/>
    </xf>
    <xf numFmtId="0" fontId="10" fillId="0" borderId="4" xfId="50" applyFont="1" applyFill="1" applyBorder="1" applyAlignment="1" applyProtection="1">
      <alignment horizontal="left"/>
    </xf>
    <xf numFmtId="15" fontId="10" fillId="0" borderId="4" xfId="50" applyNumberFormat="1" applyFont="1" applyFill="1" applyBorder="1" applyAlignment="1" applyProtection="1">
      <alignment horizontal="center"/>
    </xf>
    <xf numFmtId="0" fontId="11" fillId="0" borderId="1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2" fillId="0" borderId="8" xfId="51" applyFont="1" applyBorder="1">
      <alignment vertical="center"/>
    </xf>
    <xf numFmtId="0" fontId="0" fillId="0" borderId="2" xfId="0" applyBorder="1" applyAlignment="1"/>
    <xf numFmtId="0" fontId="0" fillId="0" borderId="12" xfId="0" applyBorder="1" applyAlignment="1"/>
    <xf numFmtId="0" fontId="10" fillId="3" borderId="8" xfId="51" applyFont="1" applyFill="1" applyBorder="1" applyAlignment="1"/>
    <xf numFmtId="0" fontId="10" fillId="4" borderId="8" xfId="51" applyFont="1" applyFill="1" applyBorder="1" applyAlignment="1">
      <alignment horizontal="left" vertical="center"/>
    </xf>
    <xf numFmtId="3" fontId="10" fillId="0" borderId="11" xfId="1" applyNumberFormat="1" applyFont="1" applyBorder="1" applyAlignment="1" applyProtection="1">
      <alignment vertical="center"/>
      <protection locked="0"/>
    </xf>
    <xf numFmtId="0" fontId="13" fillId="3" borderId="11" xfId="1" applyNumberFormat="1" applyFont="1" applyFill="1" applyBorder="1" applyAlignment="1" applyProtection="1">
      <alignment vertical="center"/>
    </xf>
    <xf numFmtId="0" fontId="10" fillId="4" borderId="8" xfId="1" applyNumberFormat="1" applyFont="1" applyFill="1" applyBorder="1" applyAlignment="1" applyProtection="1">
      <alignment vertical="center"/>
      <protection locked="0"/>
    </xf>
    <xf numFmtId="3" fontId="10" fillId="0" borderId="8" xfId="51" applyNumberFormat="1" applyFont="1" applyFill="1" applyBorder="1" applyAlignment="1" applyProtection="1">
      <alignment horizontal="right" vertical="center"/>
      <protection locked="0"/>
    </xf>
    <xf numFmtId="0" fontId="13" fillId="3" borderId="2" xfId="51" applyFont="1" applyFill="1" applyBorder="1">
      <alignment vertical="center"/>
    </xf>
    <xf numFmtId="0" fontId="10" fillId="3" borderId="1" xfId="51" applyFont="1" applyFill="1" applyBorder="1" applyAlignment="1">
      <alignment horizontal="center" vertical="center"/>
    </xf>
    <xf numFmtId="0" fontId="10" fillId="3" borderId="1" xfId="51" applyFont="1" applyFill="1" applyBorder="1" applyAlignment="1">
      <alignment horizontal="center" vertical="center" wrapText="1"/>
    </xf>
    <xf numFmtId="0" fontId="10" fillId="4" borderId="1" xfId="51" applyFont="1" applyFill="1" applyBorder="1" applyAlignment="1">
      <alignment horizontal="center" vertical="center" wrapText="1"/>
    </xf>
    <xf numFmtId="0" fontId="10" fillId="4" borderId="8" xfId="51" applyFont="1" applyFill="1" applyBorder="1" applyAlignment="1">
      <alignment horizontal="center" vertical="center" wrapText="1"/>
    </xf>
    <xf numFmtId="0" fontId="13" fillId="0" borderId="1" xfId="51" applyFont="1" applyFill="1" applyBorder="1" applyAlignment="1">
      <alignment horizontal="center" vertical="center"/>
    </xf>
    <xf numFmtId="0" fontId="13" fillId="0" borderId="1" xfId="51" applyFont="1" applyBorder="1" applyProtection="1">
      <alignment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11" fillId="3" borderId="12" xfId="0" applyFont="1" applyFill="1" applyBorder="1" applyAlignment="1">
      <alignment horizontal="left" vertical="center"/>
    </xf>
    <xf numFmtId="0" fontId="13" fillId="0" borderId="6" xfId="51" applyFont="1" applyFill="1" applyBorder="1" applyAlignment="1">
      <alignment horizontal="center" vertical="center"/>
    </xf>
    <xf numFmtId="3" fontId="13" fillId="4" borderId="2" xfId="0" applyNumberFormat="1" applyFont="1" applyFill="1" applyBorder="1" applyAlignment="1">
      <alignment vertical="center"/>
    </xf>
    <xf numFmtId="3" fontId="13" fillId="0" borderId="12" xfId="0" applyNumberFormat="1" applyFont="1" applyFill="1" applyBorder="1" applyAlignment="1">
      <alignment vertical="center"/>
    </xf>
    <xf numFmtId="0" fontId="13" fillId="0" borderId="7" xfId="5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vertical="center" wrapText="1"/>
    </xf>
    <xf numFmtId="0" fontId="13" fillId="0" borderId="8" xfId="51" applyFont="1" applyFill="1" applyBorder="1" applyAlignment="1">
      <alignment horizontal="center" vertical="center"/>
    </xf>
    <xf numFmtId="0" fontId="13" fillId="0" borderId="8" xfId="51" applyFont="1" applyFill="1" applyBorder="1" applyAlignment="1">
      <alignment vertical="center"/>
    </xf>
    <xf numFmtId="0" fontId="13" fillId="0" borderId="2" xfId="51" applyFont="1" applyFill="1" applyBorder="1" applyAlignment="1">
      <alignment vertical="center"/>
    </xf>
    <xf numFmtId="0" fontId="13" fillId="0" borderId="12" xfId="5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3" fillId="3" borderId="12" xfId="51" applyFont="1" applyFill="1" applyBorder="1">
      <alignment vertical="center"/>
    </xf>
    <xf numFmtId="176" fontId="10" fillId="3" borderId="12" xfId="1" applyNumberFormat="1" applyFont="1" applyFill="1" applyBorder="1" applyAlignment="1" applyProtection="1">
      <alignment vertical="top" wrapText="1"/>
    </xf>
    <xf numFmtId="0" fontId="10" fillId="3" borderId="12" xfId="51" applyFont="1" applyFill="1" applyBorder="1" applyAlignment="1" applyProtection="1">
      <alignment vertical="top" wrapText="1"/>
    </xf>
    <xf numFmtId="0" fontId="10" fillId="3" borderId="12" xfId="51" applyFont="1" applyFill="1" applyBorder="1" applyAlignment="1">
      <alignment vertical="top" wrapText="1"/>
    </xf>
    <xf numFmtId="0" fontId="10" fillId="3" borderId="8" xfId="51" applyFont="1" applyFill="1" applyBorder="1" applyAlignment="1">
      <alignment horizontal="center" vertical="center" wrapText="1"/>
    </xf>
    <xf numFmtId="0" fontId="13" fillId="6" borderId="1" xfId="51" applyFont="1" applyFill="1" applyBorder="1" applyProtection="1">
      <alignment vertical="center"/>
      <protection locked="0"/>
    </xf>
    <xf numFmtId="3" fontId="13" fillId="6" borderId="1" xfId="51" applyNumberFormat="1" applyFont="1" applyFill="1" applyBorder="1" applyProtection="1">
      <alignment vertical="center"/>
      <protection locked="0"/>
    </xf>
    <xf numFmtId="3" fontId="13" fillId="0" borderId="1" xfId="1" applyNumberFormat="1" applyFont="1" applyBorder="1" applyAlignment="1" applyProtection="1">
      <alignment vertical="center"/>
      <protection locked="0"/>
    </xf>
    <xf numFmtId="3" fontId="10" fillId="3" borderId="1" xfId="1" applyNumberFormat="1" applyFont="1" applyFill="1" applyBorder="1" applyAlignment="1">
      <alignment vertical="center"/>
    </xf>
    <xf numFmtId="0" fontId="11" fillId="3" borderId="12" xfId="0" applyFont="1" applyFill="1" applyBorder="1" applyAlignment="1">
      <alignment horizontal="center" vertical="center"/>
    </xf>
    <xf numFmtId="3" fontId="13" fillId="3" borderId="12" xfId="1" applyNumberFormat="1" applyFont="1" applyFill="1" applyBorder="1" applyAlignment="1">
      <alignment vertical="center"/>
    </xf>
    <xf numFmtId="0" fontId="15" fillId="0" borderId="0" xfId="0" applyFont="1"/>
    <xf numFmtId="0" fontId="7" fillId="0" borderId="0" xfId="51" applyFont="1">
      <alignment vertical="center"/>
    </xf>
    <xf numFmtId="0" fontId="13" fillId="0" borderId="12" xfId="51" applyFont="1" applyBorder="1">
      <alignment vertical="center"/>
    </xf>
    <xf numFmtId="3" fontId="13" fillId="3" borderId="1" xfId="1" applyNumberFormat="1" applyFont="1" applyFill="1" applyBorder="1" applyAlignment="1">
      <alignment vertical="center"/>
    </xf>
    <xf numFmtId="10" fontId="13" fillId="3" borderId="1" xfId="51" applyNumberFormat="1" applyFont="1" applyFill="1" applyBorder="1">
      <alignment vertical="center"/>
    </xf>
    <xf numFmtId="2" fontId="13" fillId="0" borderId="1" xfId="1" applyNumberFormat="1" applyFont="1" applyBorder="1" applyAlignment="1" applyProtection="1">
      <alignment horizontal="right" vertical="center"/>
      <protection locked="0"/>
    </xf>
    <xf numFmtId="10" fontId="10" fillId="3" borderId="1" xfId="51" applyNumberFormat="1" applyFont="1" applyFill="1" applyBorder="1">
      <alignment vertical="center"/>
    </xf>
    <xf numFmtId="2" fontId="10" fillId="3" borderId="1" xfId="1" applyNumberFormat="1" applyFont="1" applyFill="1" applyBorder="1" applyAlignment="1">
      <alignment vertical="center"/>
    </xf>
    <xf numFmtId="10" fontId="13" fillId="3" borderId="12" xfId="51" applyNumberFormat="1" applyFont="1" applyFill="1" applyBorder="1">
      <alignment vertical="center"/>
    </xf>
    <xf numFmtId="2" fontId="13" fillId="3" borderId="12" xfId="1" applyNumberFormat="1" applyFont="1" applyFill="1" applyBorder="1" applyAlignment="1">
      <alignment vertical="center"/>
    </xf>
    <xf numFmtId="0" fontId="13" fillId="0" borderId="12" xfId="51" applyFont="1" applyFill="1" applyBorder="1">
      <alignment vertical="center"/>
    </xf>
    <xf numFmtId="0" fontId="8" fillId="3" borderId="3" xfId="51" applyFont="1" applyFill="1" applyBorder="1" applyAlignment="1">
      <alignment horizontal="center" vertical="center"/>
    </xf>
    <xf numFmtId="15" fontId="10" fillId="0" borderId="14" xfId="50" applyNumberFormat="1" applyFont="1" applyFill="1" applyBorder="1" applyAlignment="1" applyProtection="1">
      <alignment horizontal="center"/>
    </xf>
    <xf numFmtId="15" fontId="10" fillId="0" borderId="15" xfId="50" applyNumberFormat="1" applyFont="1" applyFill="1" applyBorder="1" applyAlignment="1" applyProtection="1">
      <alignment horizontal="center"/>
    </xf>
    <xf numFmtId="15" fontId="10" fillId="0" borderId="5" xfId="50" applyNumberFormat="1" applyFont="1" applyFill="1" applyBorder="1" applyAlignment="1" applyProtection="1">
      <alignment horizontal="center"/>
    </xf>
    <xf numFmtId="0" fontId="13" fillId="0" borderId="3" xfId="51" applyFont="1" applyBorder="1">
      <alignment vertical="center"/>
    </xf>
    <xf numFmtId="0" fontId="13" fillId="3" borderId="3" xfId="51" applyFont="1" applyFill="1" applyBorder="1">
      <alignment vertical="center"/>
    </xf>
    <xf numFmtId="3" fontId="10" fillId="3" borderId="3" xfId="1" applyNumberFormat="1" applyFont="1" applyFill="1" applyBorder="1" applyAlignment="1">
      <alignment vertical="center"/>
    </xf>
    <xf numFmtId="0" fontId="13" fillId="0" borderId="3" xfId="51" applyFont="1" applyFill="1" applyBorder="1">
      <alignment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6" xfId="51"/>
    <cellStyle name="Normal 8" xfId="52"/>
  </cellStyles>
  <tableStyles count="0" defaultTableStyle="TableStyleMedium2" defaultPivotStyle="PivotStyleLight16"/>
  <colors>
    <mruColors>
      <color rgb="00FF0000"/>
      <color rgb="00BFBFBF"/>
      <color rgb="00FFFFFF"/>
      <color rgb="00FFFF00"/>
      <color rgb="00D9D9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1273175</xdr:colOff>
          <xdr:row>3</xdr:row>
          <xdr:rowOff>45720</xdr:rowOff>
        </xdr:from>
        <xdr:to>
          <xdr:col>14</xdr:col>
          <xdr:colOff>1172210</xdr:colOff>
          <xdr:row>4</xdr:row>
          <xdr:rowOff>121920</xdr:rowOff>
        </xdr:to>
        <xdr:sp macro="[0]!InsertRow81">
          <xdr:nvSpPr>
            <xdr:cNvPr id="1047" name="Button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13367385" y="598170"/>
              <a:ext cx="1506220" cy="260350"/>
            </a:xfrm>
            <a:prstGeom prst="rect">
              <a:avLst/>
            </a:prstGeom>
          </xdr:spPr>
          <xdr:txBody>
            <a:bodyPr vert="horz" wrap="square" lIns="27432" tIns="27432" rIns="27432" bIns="27432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154940</xdr:colOff>
          <xdr:row>3</xdr:row>
          <xdr:rowOff>60960</xdr:rowOff>
        </xdr:from>
        <xdr:to>
          <xdr:col>16</xdr:col>
          <xdr:colOff>706755</xdr:colOff>
          <xdr:row>4</xdr:row>
          <xdr:rowOff>129540</xdr:rowOff>
        </xdr:to>
        <xdr:sp macro="[0]!DeleteRow81">
          <xdr:nvSpPr>
            <xdr:cNvPr id="1048" name="Button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15028545" y="613410"/>
              <a:ext cx="1304925" cy="252730"/>
            </a:xfrm>
            <a:prstGeom prst="rect">
              <a:avLst/>
            </a:prstGeom>
          </xdr:spPr>
          <xdr:txBody>
            <a:bodyPr vert="horz" wrap="square" lIns="27432" tIns="27432" rIns="27432" bIns="27432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Z18"/>
  <sheetViews>
    <sheetView showGridLines="0" tabSelected="1" zoomScale="80" zoomScaleNormal="80" zoomScaleSheetLayoutView="60" workbookViewId="0">
      <selection activeCell="M11" sqref="M11"/>
    </sheetView>
  </sheetViews>
  <sheetFormatPr defaultColWidth="0" defaultRowHeight="14.5"/>
  <cols>
    <col min="1" max="1" width="3.78181818181818" style="47" customWidth="1"/>
    <col min="2" max="2" width="14.8909090909091"/>
    <col min="3" max="3" width="38.1090909090909" customWidth="1"/>
    <col min="4" max="5" width="10.7818181818182" customWidth="1"/>
    <col min="6" max="6" width="37.5545454545455" customWidth="1"/>
    <col min="7" max="26" width="10.7818181818182" customWidth="1"/>
    <col min="27" max="27" width="8.89090909090909" customWidth="1"/>
    <col min="28" max="16384" width="8.89090909090909" hidden="1"/>
  </cols>
  <sheetData>
    <row r="1" s="47" customFormat="1" spans="1:20">
      <c r="A1" s="49" t="s">
        <v>0</v>
      </c>
      <c r="R1" s="109"/>
      <c r="S1" s="110" t="s">
        <v>1</v>
      </c>
      <c r="T1" s="110" t="s">
        <v>2</v>
      </c>
    </row>
    <row r="2" spans="1:26">
      <c r="A2" s="49" t="s">
        <v>0</v>
      </c>
      <c r="B2" s="50" t="s">
        <v>3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120"/>
    </row>
    <row r="3" spans="1:26">
      <c r="A3" s="49" t="s">
        <v>0</v>
      </c>
      <c r="B3" s="52" t="s">
        <v>4</v>
      </c>
      <c r="C3" s="53" t="s">
        <v>5</v>
      </c>
      <c r="D3" s="54"/>
      <c r="E3" s="55"/>
      <c r="F3" s="55"/>
      <c r="G3" s="55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121"/>
    </row>
    <row r="4" spans="1:26">
      <c r="A4" s="49" t="s">
        <v>0</v>
      </c>
      <c r="B4" s="57" t="s">
        <v>6</v>
      </c>
      <c r="C4" s="53" t="s">
        <v>7</v>
      </c>
      <c r="D4" s="54"/>
      <c r="E4" s="58"/>
      <c r="F4" s="58"/>
      <c r="G4" s="58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122"/>
    </row>
    <row r="5" spans="1:26">
      <c r="A5" s="49" t="s">
        <v>0</v>
      </c>
      <c r="B5" s="60" t="s">
        <v>8</v>
      </c>
      <c r="C5" s="61"/>
      <c r="D5" s="62"/>
      <c r="E5" s="63"/>
      <c r="F5" s="63"/>
      <c r="G5" s="63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123"/>
    </row>
    <row r="6" spans="1:26">
      <c r="A6" s="49" t="s">
        <v>0</v>
      </c>
      <c r="B6" s="65"/>
      <c r="C6" s="66"/>
      <c r="D6" s="67">
        <v>1</v>
      </c>
      <c r="E6" s="63"/>
      <c r="F6" s="63"/>
      <c r="G6" s="63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123"/>
    </row>
    <row r="7" spans="1:26">
      <c r="A7" s="49" t="s">
        <v>0</v>
      </c>
      <c r="B7" s="68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111"/>
      <c r="V7" s="111"/>
      <c r="W7" s="111"/>
      <c r="X7" s="111"/>
      <c r="Y7" s="111"/>
      <c r="Z7" s="124"/>
    </row>
    <row r="8" spans="1:26">
      <c r="A8" s="49" t="s">
        <v>9</v>
      </c>
      <c r="B8" s="70"/>
      <c r="C8" s="71" t="s">
        <v>10</v>
      </c>
      <c r="D8" s="72">
        <v>0</v>
      </c>
      <c r="E8" s="73"/>
      <c r="F8" s="74" t="s">
        <v>11</v>
      </c>
      <c r="G8" s="75">
        <v>0</v>
      </c>
      <c r="H8" s="76"/>
      <c r="I8" s="98"/>
      <c r="J8" s="99"/>
      <c r="K8" s="100"/>
      <c r="L8" s="100"/>
      <c r="M8" s="100"/>
      <c r="N8" s="100"/>
      <c r="O8" s="101"/>
      <c r="P8" s="101"/>
      <c r="Q8" s="101"/>
      <c r="R8" s="101"/>
      <c r="S8" s="101"/>
      <c r="T8" s="101"/>
      <c r="U8" s="98"/>
      <c r="V8" s="98"/>
      <c r="W8" s="98"/>
      <c r="X8" s="98"/>
      <c r="Y8" s="98"/>
      <c r="Z8" s="125"/>
    </row>
    <row r="9" ht="84" spans="1:26">
      <c r="A9" s="49" t="s">
        <v>9</v>
      </c>
      <c r="B9" s="77" t="s">
        <v>12</v>
      </c>
      <c r="C9" s="78" t="s">
        <v>13</v>
      </c>
      <c r="D9" s="79" t="s">
        <v>14</v>
      </c>
      <c r="E9" s="80" t="s">
        <v>15</v>
      </c>
      <c r="F9" s="80" t="s">
        <v>16</v>
      </c>
      <c r="G9" s="80" t="s">
        <v>17</v>
      </c>
      <c r="H9" s="80" t="s">
        <v>18</v>
      </c>
      <c r="I9" s="80" t="s">
        <v>19</v>
      </c>
      <c r="J9" s="80" t="s">
        <v>20</v>
      </c>
      <c r="K9" s="80" t="s">
        <v>21</v>
      </c>
      <c r="L9" s="80" t="s">
        <v>22</v>
      </c>
      <c r="M9" s="80" t="s">
        <v>23</v>
      </c>
      <c r="N9" s="102" t="s">
        <v>24</v>
      </c>
      <c r="O9" s="80" t="s">
        <v>25</v>
      </c>
      <c r="P9" s="102" t="s">
        <v>26</v>
      </c>
      <c r="Q9" s="102" t="s">
        <v>27</v>
      </c>
      <c r="R9" s="102" t="s">
        <v>28</v>
      </c>
      <c r="S9" s="80" t="s">
        <v>29</v>
      </c>
      <c r="T9" s="80" t="s">
        <v>30</v>
      </c>
      <c r="U9" s="80" t="s">
        <v>31</v>
      </c>
      <c r="V9" s="80" t="s">
        <v>32</v>
      </c>
      <c r="W9" s="80" t="s">
        <v>33</v>
      </c>
      <c r="X9" s="80" t="s">
        <v>34</v>
      </c>
      <c r="Y9" s="80" t="s">
        <v>35</v>
      </c>
      <c r="Z9" s="80" t="s">
        <v>36</v>
      </c>
    </row>
    <row r="10" spans="1:26">
      <c r="A10" s="49" t="s">
        <v>37</v>
      </c>
      <c r="B10" s="81">
        <v>1</v>
      </c>
      <c r="C10" s="82" t="s">
        <v>38</v>
      </c>
      <c r="D10" s="82" t="s">
        <v>38</v>
      </c>
      <c r="E10" s="82" t="s">
        <v>38</v>
      </c>
      <c r="F10" s="82" t="s">
        <v>38</v>
      </c>
      <c r="G10" s="82" t="s">
        <v>38</v>
      </c>
      <c r="H10" s="82" t="s">
        <v>38</v>
      </c>
      <c r="I10" s="103" t="s">
        <v>38</v>
      </c>
      <c r="J10" s="103" t="s">
        <v>38</v>
      </c>
      <c r="K10" s="103" t="s">
        <v>38</v>
      </c>
      <c r="L10" s="103" t="s">
        <v>38</v>
      </c>
      <c r="M10" s="104">
        <v>0</v>
      </c>
      <c r="N10" s="104">
        <v>0</v>
      </c>
      <c r="O10" s="105">
        <v>0</v>
      </c>
      <c r="P10" s="105">
        <v>0</v>
      </c>
      <c r="Q10" s="105">
        <v>0</v>
      </c>
      <c r="R10" s="105">
        <v>0</v>
      </c>
      <c r="S10" s="112">
        <f>+M10+N10+O10+Q10+R10</f>
        <v>0</v>
      </c>
      <c r="T10" s="113">
        <f>IF(D8=0,0,+S10/D8)</f>
        <v>0</v>
      </c>
      <c r="U10" s="114" t="s">
        <v>38</v>
      </c>
      <c r="V10" s="105">
        <v>0</v>
      </c>
      <c r="W10" s="105">
        <v>0</v>
      </c>
      <c r="X10" s="114" t="s">
        <v>38</v>
      </c>
      <c r="Y10" s="105">
        <v>0</v>
      </c>
      <c r="Z10" s="105" t="s">
        <v>38</v>
      </c>
    </row>
    <row r="11" spans="1:26">
      <c r="A11" s="49" t="s">
        <v>39</v>
      </c>
      <c r="B11" s="83"/>
      <c r="C11" s="84" t="s">
        <v>40</v>
      </c>
      <c r="D11" s="84"/>
      <c r="E11" s="84"/>
      <c r="F11" s="84"/>
      <c r="G11" s="84"/>
      <c r="H11" s="84"/>
      <c r="I11" s="83"/>
      <c r="J11" s="83"/>
      <c r="K11" s="83"/>
      <c r="L11" s="83"/>
      <c r="M11" s="106">
        <f>SUM(SUMIFS(M10:M50002,$E$10:$E$50002,{"s","g"}))</f>
        <v>0</v>
      </c>
      <c r="N11" s="106">
        <f>SUM(SUMIFS(N10:N50002,$E$10:$E$50002,{"s","g"}))</f>
        <v>0</v>
      </c>
      <c r="O11" s="106">
        <f>SUM(SUMIFS(O10:O50002,$E$10:$E$50002,{"s","g"}))</f>
        <v>0</v>
      </c>
      <c r="P11" s="106">
        <f>SUM(SUMIFS(P10:P50002,$E$10:$E$50002,{"s","g"}))</f>
        <v>0</v>
      </c>
      <c r="Q11" s="106">
        <f>SUM(SUMIFS(Q10:Q50002,$E$10:$E$50002,{"s","g"}))</f>
        <v>0</v>
      </c>
      <c r="R11" s="106">
        <f>SUM(SUMIFS(R10:R50002,$E$10:$E$50002,{"s","g"}))</f>
        <v>0</v>
      </c>
      <c r="S11" s="106">
        <f>+M11+N11+O11+Q11+R11</f>
        <v>0</v>
      </c>
      <c r="T11" s="115">
        <f>IF(D8=0,0,+S11/D8)</f>
        <v>0</v>
      </c>
      <c r="U11" s="116"/>
      <c r="V11" s="106">
        <f>SUM(SUMIFS(V10:V50002,$E$10:$E$50002,{"s","g"}))</f>
        <v>0</v>
      </c>
      <c r="W11" s="106">
        <f>SUM(SUMIFS(W10:W50002,$E$10:$E$50002,{"s","g"}))</f>
        <v>0</v>
      </c>
      <c r="X11" s="116"/>
      <c r="Y11" s="106">
        <f>SUM(SUMIFS(Y10:Y50002,$E$10:$E$50002,{"s","g"}))</f>
        <v>0</v>
      </c>
      <c r="Z11" s="106"/>
    </row>
    <row r="12" spans="1:26">
      <c r="A12" s="49" t="s">
        <v>0</v>
      </c>
      <c r="B12" s="85"/>
      <c r="C12" s="86"/>
      <c r="D12" s="87"/>
      <c r="E12" s="87"/>
      <c r="F12" s="87"/>
      <c r="G12" s="87"/>
      <c r="H12" s="87"/>
      <c r="I12" s="107"/>
      <c r="J12" s="107"/>
      <c r="K12" s="107"/>
      <c r="L12" s="107"/>
      <c r="M12" s="108"/>
      <c r="N12" s="108"/>
      <c r="O12" s="108"/>
      <c r="P12" s="108"/>
      <c r="Q12" s="108"/>
      <c r="R12" s="108"/>
      <c r="S12" s="108"/>
      <c r="T12" s="117"/>
      <c r="U12" s="118"/>
      <c r="V12" s="108"/>
      <c r="W12" s="108"/>
      <c r="X12" s="118"/>
      <c r="Y12" s="108"/>
      <c r="Z12" s="126"/>
    </row>
    <row r="13" spans="1:26">
      <c r="A13" s="49" t="s">
        <v>0</v>
      </c>
      <c r="B13" s="88"/>
      <c r="C13" s="89" t="s">
        <v>41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119"/>
      <c r="V13" s="119"/>
      <c r="W13" s="119"/>
      <c r="X13" s="119"/>
      <c r="Y13" s="119"/>
      <c r="Z13" s="127"/>
    </row>
    <row r="14" spans="1:26">
      <c r="A14" s="49" t="s">
        <v>0</v>
      </c>
      <c r="B14" s="91"/>
      <c r="C14" s="89" t="s">
        <v>42</v>
      </c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119"/>
      <c r="V14" s="119"/>
      <c r="W14" s="119"/>
      <c r="X14" s="119"/>
      <c r="Y14" s="119"/>
      <c r="Z14" s="127"/>
    </row>
    <row r="15" spans="1:26">
      <c r="A15" s="49" t="s">
        <v>0</v>
      </c>
      <c r="B15" s="91"/>
      <c r="C15" s="89" t="s">
        <v>43</v>
      </c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119"/>
      <c r="V15" s="119"/>
      <c r="W15" s="119"/>
      <c r="X15" s="119"/>
      <c r="Y15" s="119"/>
      <c r="Z15" s="127"/>
    </row>
    <row r="16" spans="1:26">
      <c r="A16" s="49" t="s">
        <v>0</v>
      </c>
      <c r="B16" s="93"/>
      <c r="C16" s="94" t="s">
        <v>44</v>
      </c>
      <c r="D16" s="95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119"/>
      <c r="V16" s="119"/>
      <c r="W16" s="119"/>
      <c r="X16" s="119"/>
      <c r="Y16" s="119"/>
      <c r="Z16" s="127"/>
    </row>
    <row r="17" s="48" customFormat="1" spans="1:1">
      <c r="A17" s="97"/>
    </row>
    <row r="18" s="48" customFormat="1" spans="1:1">
      <c r="A18" s="97"/>
    </row>
  </sheetData>
  <sheetProtection password="DE1B" sheet="1" objects="1" scenarios="1"/>
  <mergeCells count="6">
    <mergeCell ref="B2:Z2"/>
    <mergeCell ref="C3:D3"/>
    <mergeCell ref="C4:D4"/>
    <mergeCell ref="C5:D5"/>
    <mergeCell ref="B6:C6"/>
    <mergeCell ref="B13:B16"/>
  </mergeCells>
  <dataValidations count="12">
    <dataValidation type="whole" operator="greaterThanOrEqual" allowBlank="1" showInputMessage="1" showErrorMessage="1" error="Please input a valid data!" sqref="D8:E8 G8 J8:N8">
      <formula1>0</formula1>
    </dataValidation>
    <dataValidation allowBlank="1" showInputMessage="1" showErrorMessage="1" error="Please input a valid data!" sqref="F8"/>
    <dataValidation type="textLength" operator="lessThan" allowBlank="1" showInputMessage="1" showErrorMessage="1" error="Data Length is too long!" sqref="C10:D10 F10">
      <formula1>500</formula1>
    </dataValidation>
    <dataValidation type="list" allowBlank="1" showInputMessage="1" showErrorMessage="1" error="Data Length is too long!" sqref="E10">
      <formula1>BORCODE</formula1>
    </dataValidation>
    <dataValidation type="list" allowBlank="1" showInputMessage="1" showErrorMessage="1" error="Data Length is too long!" sqref="G10">
      <formula1>RESCODE</formula1>
    </dataValidation>
    <dataValidation type="list" allowBlank="1" showInputMessage="1" showErrorMessage="1" error="Data Length is too long!" sqref="H10">
      <formula1>COUNTRIES</formula1>
    </dataValidation>
    <dataValidation type="list" allowBlank="1" showInputMessage="1" showErrorMessage="1" error="Data Length is too long!" sqref="I10">
      <formula1>CREDITREP</formula1>
    </dataValidation>
    <dataValidation type="list" allowBlank="1" showInputMessage="1" showErrorMessage="1" error="Data Length is too long!" sqref="J10">
      <formula1>CREDITREPTY</formula1>
    </dataValidation>
    <dataValidation type="list" allowBlank="1" showInputMessage="1" showErrorMessage="1" error="Data Length is too long!" sqref="K10">
      <formula1>ECONOMIC</formula1>
    </dataValidation>
    <dataValidation type="list" allowBlank="1" showInputMessage="1" showErrorMessage="1" error="Data Length is too long!" sqref="L10">
      <formula1>CURRENCY</formula1>
    </dataValidation>
    <dataValidation type="whole" operator="greaterThanOrEqual" allowBlank="1" showInputMessage="1" showErrorMessage="1" sqref="M10:R10 T10 V10:W10 Y10">
      <formula1>0</formula1>
    </dataValidation>
    <dataValidation allowBlank="1" showInputMessage="1" showErrorMessage="1" sqref="U10 S10:S11 X10:X12"/>
  </dataValidations>
  <pageMargins left="0.7" right="0.7" top="0.75" bottom="0.75" header="0.3" footer="0.3"/>
  <pageSetup paperSize="9" scale="39" fitToHeight="0" orientation="landscape" horizont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7" name="Button 23" r:id="rId3">
              <controlPr print="0" defaultSize="0">
                <anchor moveWithCells="1" sizeWithCells="1">
                  <from>
                    <xdr:col>12</xdr:col>
                    <xdr:colOff>1273175</xdr:colOff>
                    <xdr:row>3</xdr:row>
                    <xdr:rowOff>45720</xdr:rowOff>
                  </from>
                  <to>
                    <xdr:col>14</xdr:col>
                    <xdr:colOff>1172210</xdr:colOff>
                    <xdr:row>4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name="Button 24" r:id="rId4">
              <controlPr print="0" defaultSize="0">
                <anchor moveWithCells="1" sizeWithCells="1">
                  <from>
                    <xdr:col>15</xdr:col>
                    <xdr:colOff>154940</xdr:colOff>
                    <xdr:row>3</xdr:row>
                    <xdr:rowOff>60960</xdr:rowOff>
                  </from>
                  <to>
                    <xdr:col>16</xdr:col>
                    <xdr:colOff>706755</xdr:colOff>
                    <xdr:row>4</xdr:row>
                    <xdr:rowOff>129540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Y261"/>
  <sheetViews>
    <sheetView zoomScaleSheetLayoutView="60" workbookViewId="0">
      <selection activeCell="L12" sqref="L12"/>
    </sheetView>
  </sheetViews>
  <sheetFormatPr defaultColWidth="8.72727272727273" defaultRowHeight="14.5"/>
  <cols>
    <col min="2" max="2" width="32.1090909090909" customWidth="1"/>
    <col min="3" max="3" width="5.66363636363636" customWidth="1"/>
    <col min="4" max="4" width="13.5545454545455" customWidth="1"/>
    <col min="5" max="5" width="16.6636363636364" customWidth="1"/>
    <col min="6" max="6" width="5.66363636363636" style="1" customWidth="1"/>
    <col min="7" max="7" width="16.6636363636364" style="2" customWidth="1"/>
    <col min="8" max="8" width="33.8909090909091" style="1" customWidth="1"/>
    <col min="9" max="9" width="5.66363636363636" customWidth="1"/>
    <col min="14" max="14" width="5.66363636363636" customWidth="1"/>
    <col min="15" max="15" width="8.10909090909091" style="3"/>
    <col min="16" max="16" width="23.5545454545455"/>
    <col min="17" max="17" width="5.66363636363636" customWidth="1"/>
    <col min="18" max="18" width="14.3363636363636" style="4" customWidth="1"/>
    <col min="19" max="19" width="69.5545454545454" customWidth="1"/>
    <col min="20" max="20" width="5.66363636363636" customWidth="1"/>
    <col min="22" max="22" width="38.6636363636364"/>
    <col min="23" max="23" width="5.66363636363636" customWidth="1"/>
    <col min="25" max="25" width="69.1090909090909" customWidth="1"/>
  </cols>
  <sheetData>
    <row r="1" spans="1:25">
      <c r="A1" s="5" t="s">
        <v>45</v>
      </c>
      <c r="B1" s="5"/>
      <c r="C1" s="6"/>
      <c r="D1" s="7" t="s">
        <v>46</v>
      </c>
      <c r="E1" s="7"/>
      <c r="F1" s="8"/>
      <c r="G1" s="9" t="s">
        <v>18</v>
      </c>
      <c r="H1" s="10"/>
      <c r="J1" s="22" t="s">
        <v>19</v>
      </c>
      <c r="K1" s="22"/>
      <c r="L1" s="22"/>
      <c r="M1" s="23"/>
      <c r="O1" s="24" t="s">
        <v>20</v>
      </c>
      <c r="P1" s="24"/>
      <c r="Q1" s="8"/>
      <c r="R1" s="9" t="s">
        <v>47</v>
      </c>
      <c r="S1" s="10"/>
      <c r="U1" s="7" t="s">
        <v>22</v>
      </c>
      <c r="V1" s="7"/>
      <c r="X1" s="7" t="s">
        <v>48</v>
      </c>
      <c r="Y1" s="7"/>
    </row>
    <row r="2" spans="1:25">
      <c r="A2" s="11" t="s">
        <v>49</v>
      </c>
      <c r="B2" s="12" t="s">
        <v>50</v>
      </c>
      <c r="C2" s="13"/>
      <c r="D2" s="11" t="s">
        <v>49</v>
      </c>
      <c r="E2" s="12" t="s">
        <v>50</v>
      </c>
      <c r="F2" s="13"/>
      <c r="G2" s="11" t="s">
        <v>49</v>
      </c>
      <c r="H2" s="12" t="s">
        <v>51</v>
      </c>
      <c r="J2" s="11" t="s">
        <v>49</v>
      </c>
      <c r="K2" s="11" t="s">
        <v>52</v>
      </c>
      <c r="L2" s="11" t="s">
        <v>53</v>
      </c>
      <c r="M2" s="11" t="s">
        <v>54</v>
      </c>
      <c r="O2" s="12" t="s">
        <v>49</v>
      </c>
      <c r="P2" s="12" t="s">
        <v>50</v>
      </c>
      <c r="Q2" s="13"/>
      <c r="R2" s="11" t="s">
        <v>49</v>
      </c>
      <c r="S2" s="12" t="s">
        <v>50</v>
      </c>
      <c r="U2" s="28" t="s">
        <v>49</v>
      </c>
      <c r="V2" s="11" t="s">
        <v>22</v>
      </c>
      <c r="X2" s="11" t="s">
        <v>49</v>
      </c>
      <c r="Y2" s="41" t="s">
        <v>50</v>
      </c>
    </row>
    <row r="3" spans="1:25">
      <c r="A3" s="14" t="s">
        <v>55</v>
      </c>
      <c r="B3" s="15" t="s">
        <v>56</v>
      </c>
      <c r="C3" s="16"/>
      <c r="D3" s="14" t="s">
        <v>57</v>
      </c>
      <c r="E3" s="15" t="s">
        <v>58</v>
      </c>
      <c r="F3" s="17"/>
      <c r="G3" s="14" t="s">
        <v>59</v>
      </c>
      <c r="H3" s="15" t="s">
        <v>60</v>
      </c>
      <c r="J3" s="14">
        <v>1</v>
      </c>
      <c r="K3" s="14" t="s">
        <v>61</v>
      </c>
      <c r="L3" s="14" t="s">
        <v>62</v>
      </c>
      <c r="M3" s="14" t="s">
        <v>61</v>
      </c>
      <c r="O3" s="25" t="s">
        <v>52</v>
      </c>
      <c r="P3" s="25" t="s">
        <v>63</v>
      </c>
      <c r="Q3" s="16"/>
      <c r="R3" s="14" t="s">
        <v>64</v>
      </c>
      <c r="S3" s="29" t="s">
        <v>65</v>
      </c>
      <c r="U3" s="30" t="s">
        <v>66</v>
      </c>
      <c r="V3" s="15" t="s">
        <v>67</v>
      </c>
      <c r="X3" s="31" t="s">
        <v>68</v>
      </c>
      <c r="Y3" s="42" t="s">
        <v>69</v>
      </c>
    </row>
    <row r="4" spans="1:25">
      <c r="A4" s="14" t="s">
        <v>70</v>
      </c>
      <c r="B4" s="15" t="s">
        <v>71</v>
      </c>
      <c r="C4" s="16"/>
      <c r="D4" s="14" t="s">
        <v>72</v>
      </c>
      <c r="E4" s="15" t="s">
        <v>73</v>
      </c>
      <c r="F4" s="17"/>
      <c r="G4" s="14" t="s">
        <v>74</v>
      </c>
      <c r="H4" s="15" t="s">
        <v>75</v>
      </c>
      <c r="J4" s="14">
        <v>2</v>
      </c>
      <c r="K4" s="14" t="s">
        <v>76</v>
      </c>
      <c r="L4" s="14" t="s">
        <v>77</v>
      </c>
      <c r="M4" s="14" t="s">
        <v>76</v>
      </c>
      <c r="O4" s="25" t="s">
        <v>78</v>
      </c>
      <c r="P4" s="25" t="s">
        <v>79</v>
      </c>
      <c r="Q4" s="16"/>
      <c r="R4" s="14" t="s">
        <v>80</v>
      </c>
      <c r="S4" s="29" t="s">
        <v>81</v>
      </c>
      <c r="U4" s="30" t="s">
        <v>82</v>
      </c>
      <c r="V4" s="15" t="s">
        <v>83</v>
      </c>
      <c r="X4" s="32"/>
      <c r="Y4" s="43" t="s">
        <v>84</v>
      </c>
    </row>
    <row r="5" spans="1:25">
      <c r="A5" s="14" t="s">
        <v>85</v>
      </c>
      <c r="B5" s="15" t="s">
        <v>86</v>
      </c>
      <c r="C5" s="16"/>
      <c r="D5" s="16"/>
      <c r="E5" s="16"/>
      <c r="F5" s="17"/>
      <c r="G5" s="14" t="s">
        <v>87</v>
      </c>
      <c r="H5" s="15" t="s">
        <v>88</v>
      </c>
      <c r="J5" s="14">
        <v>3</v>
      </c>
      <c r="K5" s="14" t="s">
        <v>89</v>
      </c>
      <c r="L5" s="14" t="s">
        <v>90</v>
      </c>
      <c r="M5" s="14" t="s">
        <v>89</v>
      </c>
      <c r="O5" s="15" t="s">
        <v>54</v>
      </c>
      <c r="P5" s="25" t="s">
        <v>91</v>
      </c>
      <c r="R5" s="14" t="s">
        <v>92</v>
      </c>
      <c r="S5" s="29" t="s">
        <v>93</v>
      </c>
      <c r="U5" s="30" t="s">
        <v>94</v>
      </c>
      <c r="V5" s="15" t="s">
        <v>95</v>
      </c>
      <c r="X5" s="32"/>
      <c r="Y5" s="43" t="s">
        <v>96</v>
      </c>
    </row>
    <row r="6" spans="1:25">
      <c r="A6" s="18"/>
      <c r="B6" s="19"/>
      <c r="C6" s="20"/>
      <c r="D6" s="20"/>
      <c r="E6" s="20"/>
      <c r="F6" s="20"/>
      <c r="G6" s="14" t="s">
        <v>97</v>
      </c>
      <c r="H6" s="15" t="s">
        <v>98</v>
      </c>
      <c r="J6" s="14">
        <v>4</v>
      </c>
      <c r="K6" s="14" t="s">
        <v>99</v>
      </c>
      <c r="L6" s="14" t="s">
        <v>100</v>
      </c>
      <c r="M6" s="14" t="s">
        <v>99</v>
      </c>
      <c r="O6" s="26" t="s">
        <v>101</v>
      </c>
      <c r="P6" s="27" t="s">
        <v>102</v>
      </c>
      <c r="R6" s="14" t="s">
        <v>103</v>
      </c>
      <c r="S6" s="29" t="s">
        <v>104</v>
      </c>
      <c r="U6" s="30" t="s">
        <v>105</v>
      </c>
      <c r="V6" s="15" t="s">
        <v>106</v>
      </c>
      <c r="X6" s="32"/>
      <c r="Y6" s="43" t="s">
        <v>107</v>
      </c>
    </row>
    <row r="7" spans="1:25">
      <c r="A7" s="21"/>
      <c r="B7" s="21"/>
      <c r="G7" s="14" t="s">
        <v>108</v>
      </c>
      <c r="H7" s="15" t="s">
        <v>109</v>
      </c>
      <c r="J7" s="14">
        <v>5</v>
      </c>
      <c r="K7" s="14" t="s">
        <v>110</v>
      </c>
      <c r="L7" s="14" t="s">
        <v>111</v>
      </c>
      <c r="M7" s="14" t="s">
        <v>110</v>
      </c>
      <c r="R7" s="14" t="s">
        <v>112</v>
      </c>
      <c r="S7" s="29" t="s">
        <v>113</v>
      </c>
      <c r="U7" s="30" t="s">
        <v>114</v>
      </c>
      <c r="V7" s="15" t="s">
        <v>115</v>
      </c>
      <c r="X7" s="32"/>
      <c r="Y7" s="43" t="s">
        <v>116</v>
      </c>
    </row>
    <row r="8" spans="7:25">
      <c r="G8" s="14" t="s">
        <v>117</v>
      </c>
      <c r="H8" s="15" t="s">
        <v>118</v>
      </c>
      <c r="J8" s="14">
        <v>6</v>
      </c>
      <c r="K8" s="14" t="s">
        <v>68</v>
      </c>
      <c r="L8" s="14" t="s">
        <v>119</v>
      </c>
      <c r="M8" s="14" t="s">
        <v>68</v>
      </c>
      <c r="R8" s="14" t="s">
        <v>120</v>
      </c>
      <c r="S8" s="29" t="s">
        <v>121</v>
      </c>
      <c r="U8" s="30" t="s">
        <v>122</v>
      </c>
      <c r="V8" s="15" t="s">
        <v>123</v>
      </c>
      <c r="X8" s="32"/>
      <c r="Y8" s="43" t="s">
        <v>124</v>
      </c>
    </row>
    <row r="9" spans="7:25">
      <c r="G9" s="14" t="s">
        <v>125</v>
      </c>
      <c r="H9" s="15" t="s">
        <v>126</v>
      </c>
      <c r="J9" s="14">
        <v>7</v>
      </c>
      <c r="K9" s="14" t="s">
        <v>127</v>
      </c>
      <c r="L9" s="14" t="s">
        <v>128</v>
      </c>
      <c r="M9" s="14" t="s">
        <v>127</v>
      </c>
      <c r="R9" s="14" t="s">
        <v>129</v>
      </c>
      <c r="S9" s="29" t="s">
        <v>130</v>
      </c>
      <c r="U9" s="30" t="s">
        <v>131</v>
      </c>
      <c r="V9" s="15" t="s">
        <v>132</v>
      </c>
      <c r="X9" s="32"/>
      <c r="Y9" s="43" t="s">
        <v>133</v>
      </c>
    </row>
    <row r="10" spans="7:25">
      <c r="G10" s="14" t="s">
        <v>134</v>
      </c>
      <c r="H10" s="15" t="s">
        <v>135</v>
      </c>
      <c r="J10" s="14">
        <v>8</v>
      </c>
      <c r="K10" s="14" t="s">
        <v>136</v>
      </c>
      <c r="L10" s="14" t="s">
        <v>137</v>
      </c>
      <c r="M10" s="14" t="s">
        <v>136</v>
      </c>
      <c r="R10" s="14" t="s">
        <v>138</v>
      </c>
      <c r="S10" s="29" t="s">
        <v>139</v>
      </c>
      <c r="U10" s="30" t="s">
        <v>140</v>
      </c>
      <c r="V10" s="15" t="s">
        <v>141</v>
      </c>
      <c r="X10" s="32"/>
      <c r="Y10" s="43" t="s">
        <v>142</v>
      </c>
    </row>
    <row r="11" spans="7:25">
      <c r="G11" s="14" t="s">
        <v>143</v>
      </c>
      <c r="H11" s="15" t="s">
        <v>144</v>
      </c>
      <c r="J11" s="14">
        <v>9</v>
      </c>
      <c r="K11" s="14" t="s">
        <v>145</v>
      </c>
      <c r="L11" s="14" t="s">
        <v>146</v>
      </c>
      <c r="M11" s="14" t="s">
        <v>145</v>
      </c>
      <c r="R11" s="14" t="s">
        <v>147</v>
      </c>
      <c r="S11" s="29" t="s">
        <v>148</v>
      </c>
      <c r="U11" s="30" t="s">
        <v>149</v>
      </c>
      <c r="V11" s="15" t="s">
        <v>150</v>
      </c>
      <c r="X11" s="32"/>
      <c r="Y11" s="43" t="s">
        <v>151</v>
      </c>
    </row>
    <row r="12" spans="7:25">
      <c r="G12" s="14" t="s">
        <v>152</v>
      </c>
      <c r="H12" s="15" t="s">
        <v>153</v>
      </c>
      <c r="J12" s="14">
        <v>10</v>
      </c>
      <c r="K12" s="14" t="s">
        <v>154</v>
      </c>
      <c r="L12" s="14" t="s">
        <v>155</v>
      </c>
      <c r="M12" s="14" t="s">
        <v>154</v>
      </c>
      <c r="R12" s="14" t="s">
        <v>156</v>
      </c>
      <c r="S12" s="29" t="s">
        <v>157</v>
      </c>
      <c r="U12" s="30" t="s">
        <v>158</v>
      </c>
      <c r="V12" s="15" t="s">
        <v>159</v>
      </c>
      <c r="X12" s="32"/>
      <c r="Y12" s="43" t="s">
        <v>160</v>
      </c>
    </row>
    <row r="13" spans="7:25">
      <c r="G13" s="14" t="s">
        <v>161</v>
      </c>
      <c r="H13" s="15" t="s">
        <v>162</v>
      </c>
      <c r="J13" s="14">
        <v>11</v>
      </c>
      <c r="K13" s="14" t="s">
        <v>163</v>
      </c>
      <c r="L13" s="14" t="s">
        <v>164</v>
      </c>
      <c r="M13" s="14" t="s">
        <v>163</v>
      </c>
      <c r="R13" s="14" t="s">
        <v>165</v>
      </c>
      <c r="S13" s="29" t="s">
        <v>166</v>
      </c>
      <c r="U13" s="30" t="s">
        <v>167</v>
      </c>
      <c r="V13" s="15" t="s">
        <v>168</v>
      </c>
      <c r="X13" s="32"/>
      <c r="Y13" s="43" t="s">
        <v>169</v>
      </c>
    </row>
    <row r="14" spans="7:25">
      <c r="G14" s="14" t="s">
        <v>170</v>
      </c>
      <c r="H14" s="15" t="s">
        <v>171</v>
      </c>
      <c r="J14" s="14">
        <v>12</v>
      </c>
      <c r="K14" s="14" t="s">
        <v>172</v>
      </c>
      <c r="L14" s="14" t="s">
        <v>173</v>
      </c>
      <c r="M14" s="14" t="s">
        <v>172</v>
      </c>
      <c r="R14" s="14" t="s">
        <v>174</v>
      </c>
      <c r="S14" s="29" t="s">
        <v>175</v>
      </c>
      <c r="U14" s="30" t="s">
        <v>176</v>
      </c>
      <c r="V14" s="15" t="s">
        <v>177</v>
      </c>
      <c r="X14" s="32"/>
      <c r="Y14" s="43" t="s">
        <v>178</v>
      </c>
    </row>
    <row r="15" spans="7:25">
      <c r="G15" s="14" t="s">
        <v>179</v>
      </c>
      <c r="H15" s="15" t="s">
        <v>180</v>
      </c>
      <c r="J15" s="14">
        <v>13</v>
      </c>
      <c r="K15" s="14" t="s">
        <v>181</v>
      </c>
      <c r="L15" s="14" t="s">
        <v>182</v>
      </c>
      <c r="M15" s="14" t="s">
        <v>181</v>
      </c>
      <c r="R15" s="14" t="s">
        <v>183</v>
      </c>
      <c r="S15" s="29" t="s">
        <v>184</v>
      </c>
      <c r="U15" s="30" t="s">
        <v>185</v>
      </c>
      <c r="V15" s="15" t="s">
        <v>186</v>
      </c>
      <c r="X15" s="33"/>
      <c r="Y15" s="44" t="s">
        <v>187</v>
      </c>
    </row>
    <row r="16" spans="7:25">
      <c r="G16" s="14" t="s">
        <v>188</v>
      </c>
      <c r="H16" s="15" t="s">
        <v>189</v>
      </c>
      <c r="J16" s="14">
        <v>14</v>
      </c>
      <c r="K16" s="14" t="s">
        <v>190</v>
      </c>
      <c r="L16" s="14" t="s">
        <v>37</v>
      </c>
      <c r="M16" s="14" t="s">
        <v>190</v>
      </c>
      <c r="R16" s="14" t="s">
        <v>191</v>
      </c>
      <c r="S16" s="29" t="s">
        <v>192</v>
      </c>
      <c r="U16" s="30" t="s">
        <v>193</v>
      </c>
      <c r="V16" s="15" t="s">
        <v>194</v>
      </c>
      <c r="X16" s="34" t="s">
        <v>195</v>
      </c>
      <c r="Y16" s="45" t="s">
        <v>196</v>
      </c>
    </row>
    <row r="17" spans="7:25">
      <c r="G17" s="14" t="s">
        <v>197</v>
      </c>
      <c r="H17" s="15" t="s">
        <v>198</v>
      </c>
      <c r="J17" s="14">
        <v>15</v>
      </c>
      <c r="K17" s="14" t="s">
        <v>195</v>
      </c>
      <c r="L17" s="14" t="s">
        <v>199</v>
      </c>
      <c r="M17" s="14" t="s">
        <v>195</v>
      </c>
      <c r="R17" s="14" t="s">
        <v>200</v>
      </c>
      <c r="S17" s="29" t="s">
        <v>201</v>
      </c>
      <c r="U17" s="30" t="s">
        <v>202</v>
      </c>
      <c r="V17" s="15" t="s">
        <v>203</v>
      </c>
      <c r="X17" s="35" t="s">
        <v>85</v>
      </c>
      <c r="Y17" s="42" t="s">
        <v>204</v>
      </c>
    </row>
    <row r="18" ht="25" spans="7:25">
      <c r="G18" s="14" t="s">
        <v>205</v>
      </c>
      <c r="H18" s="15" t="s">
        <v>206</v>
      </c>
      <c r="J18" s="14">
        <v>16</v>
      </c>
      <c r="K18" s="14" t="s">
        <v>207</v>
      </c>
      <c r="L18" s="14" t="s">
        <v>208</v>
      </c>
      <c r="M18" s="14" t="s">
        <v>207</v>
      </c>
      <c r="R18" s="14" t="s">
        <v>209</v>
      </c>
      <c r="S18" s="29" t="s">
        <v>210</v>
      </c>
      <c r="U18" s="30" t="s">
        <v>211</v>
      </c>
      <c r="V18" s="15" t="s">
        <v>212</v>
      </c>
      <c r="X18" s="36"/>
      <c r="Y18" s="43" t="s">
        <v>213</v>
      </c>
    </row>
    <row r="19" spans="7:25">
      <c r="G19" s="14" t="s">
        <v>214</v>
      </c>
      <c r="H19" s="15" t="s">
        <v>215</v>
      </c>
      <c r="J19" s="14">
        <v>17</v>
      </c>
      <c r="K19" s="14" t="s">
        <v>216</v>
      </c>
      <c r="L19" s="14" t="s">
        <v>217</v>
      </c>
      <c r="M19" s="14" t="s">
        <v>216</v>
      </c>
      <c r="R19" s="14" t="s">
        <v>218</v>
      </c>
      <c r="S19" s="29" t="s">
        <v>219</v>
      </c>
      <c r="U19" s="30" t="s">
        <v>220</v>
      </c>
      <c r="V19" s="15" t="s">
        <v>221</v>
      </c>
      <c r="X19" s="36"/>
      <c r="Y19" s="43" t="s">
        <v>222</v>
      </c>
    </row>
    <row r="20" spans="7:25">
      <c r="G20" s="14" t="s">
        <v>172</v>
      </c>
      <c r="H20" s="15" t="s">
        <v>223</v>
      </c>
      <c r="J20" s="14">
        <v>18</v>
      </c>
      <c r="K20" s="14" t="s">
        <v>224</v>
      </c>
      <c r="L20" s="14" t="s">
        <v>225</v>
      </c>
      <c r="M20" s="14" t="s">
        <v>224</v>
      </c>
      <c r="R20" s="14" t="s">
        <v>226</v>
      </c>
      <c r="S20" s="29" t="s">
        <v>227</v>
      </c>
      <c r="U20" s="30" t="s">
        <v>228</v>
      </c>
      <c r="V20" s="15" t="s">
        <v>229</v>
      </c>
      <c r="X20" s="36"/>
      <c r="Y20" s="43" t="s">
        <v>230</v>
      </c>
    </row>
    <row r="21" spans="7:25">
      <c r="G21" s="14" t="s">
        <v>231</v>
      </c>
      <c r="H21" s="15" t="s">
        <v>232</v>
      </c>
      <c r="J21" s="14">
        <v>19</v>
      </c>
      <c r="K21" s="14" t="s">
        <v>233</v>
      </c>
      <c r="L21" s="14" t="s">
        <v>234</v>
      </c>
      <c r="M21" s="14" t="s">
        <v>233</v>
      </c>
      <c r="R21" s="14" t="s">
        <v>235</v>
      </c>
      <c r="S21" s="29" t="s">
        <v>236</v>
      </c>
      <c r="U21" s="30" t="s">
        <v>237</v>
      </c>
      <c r="V21" s="15" t="s">
        <v>238</v>
      </c>
      <c r="X21" s="36"/>
      <c r="Y21" s="43" t="s">
        <v>239</v>
      </c>
    </row>
    <row r="22" ht="25" spans="7:25">
      <c r="G22" s="14" t="s">
        <v>240</v>
      </c>
      <c r="H22" s="15" t="s">
        <v>241</v>
      </c>
      <c r="J22" s="14">
        <v>20</v>
      </c>
      <c r="K22" s="14" t="s">
        <v>242</v>
      </c>
      <c r="L22" s="14" t="s">
        <v>243</v>
      </c>
      <c r="M22" s="14" t="s">
        <v>242</v>
      </c>
      <c r="R22" s="14" t="s">
        <v>244</v>
      </c>
      <c r="S22" s="29" t="s">
        <v>245</v>
      </c>
      <c r="U22" s="30" t="s">
        <v>246</v>
      </c>
      <c r="V22" s="15" t="s">
        <v>247</v>
      </c>
      <c r="X22" s="36"/>
      <c r="Y22" s="43" t="s">
        <v>248</v>
      </c>
    </row>
    <row r="23" ht="25" spans="7:25">
      <c r="G23" s="14" t="s">
        <v>249</v>
      </c>
      <c r="H23" s="15" t="s">
        <v>250</v>
      </c>
      <c r="J23" s="14">
        <v>21</v>
      </c>
      <c r="K23" s="14" t="s">
        <v>85</v>
      </c>
      <c r="L23" s="14" t="s">
        <v>85</v>
      </c>
      <c r="M23" s="14" t="s">
        <v>85</v>
      </c>
      <c r="R23" s="14" t="s">
        <v>251</v>
      </c>
      <c r="S23" s="29" t="s">
        <v>252</v>
      </c>
      <c r="U23" s="30" t="s">
        <v>253</v>
      </c>
      <c r="V23" s="15" t="s">
        <v>254</v>
      </c>
      <c r="X23" s="37"/>
      <c r="Y23" s="43" t="s">
        <v>255</v>
      </c>
    </row>
    <row r="24" spans="7:25">
      <c r="G24" s="14" t="s">
        <v>256</v>
      </c>
      <c r="H24" s="15" t="s">
        <v>257</v>
      </c>
      <c r="J24" s="14">
        <v>22</v>
      </c>
      <c r="K24" s="14" t="s">
        <v>258</v>
      </c>
      <c r="L24" s="14" t="s">
        <v>259</v>
      </c>
      <c r="M24" s="14" t="s">
        <v>258</v>
      </c>
      <c r="R24" s="14" t="s">
        <v>260</v>
      </c>
      <c r="S24" s="29" t="s">
        <v>261</v>
      </c>
      <c r="U24" s="30" t="s">
        <v>262</v>
      </c>
      <c r="V24" s="15" t="s">
        <v>263</v>
      </c>
      <c r="X24" s="38" t="s">
        <v>258</v>
      </c>
      <c r="Y24" s="42" t="s">
        <v>264</v>
      </c>
    </row>
    <row r="25" ht="25" spans="7:25">
      <c r="G25" s="14" t="s">
        <v>265</v>
      </c>
      <c r="H25" s="15" t="s">
        <v>266</v>
      </c>
      <c r="R25" s="14" t="s">
        <v>267</v>
      </c>
      <c r="S25" s="29" t="s">
        <v>268</v>
      </c>
      <c r="U25" s="30" t="s">
        <v>269</v>
      </c>
      <c r="V25" s="15" t="s">
        <v>270</v>
      </c>
      <c r="X25" s="39"/>
      <c r="Y25" s="43" t="s">
        <v>271</v>
      </c>
    </row>
    <row r="26" ht="25" spans="7:25">
      <c r="G26" s="14" t="s">
        <v>272</v>
      </c>
      <c r="H26" s="15" t="s">
        <v>273</v>
      </c>
      <c r="R26" s="14" t="s">
        <v>274</v>
      </c>
      <c r="S26" s="29" t="s">
        <v>275</v>
      </c>
      <c r="U26" s="30" t="s">
        <v>276</v>
      </c>
      <c r="V26" s="15" t="s">
        <v>277</v>
      </c>
      <c r="X26" s="39"/>
      <c r="Y26" s="43" t="s">
        <v>278</v>
      </c>
    </row>
    <row r="27" spans="7:25">
      <c r="G27" s="14" t="s">
        <v>279</v>
      </c>
      <c r="H27" s="15" t="s">
        <v>280</v>
      </c>
      <c r="R27" s="14" t="s">
        <v>281</v>
      </c>
      <c r="S27" s="29" t="s">
        <v>282</v>
      </c>
      <c r="U27" s="30" t="s">
        <v>283</v>
      </c>
      <c r="V27" s="15" t="s">
        <v>284</v>
      </c>
      <c r="X27" s="39"/>
      <c r="Y27" s="43" t="s">
        <v>285</v>
      </c>
    </row>
    <row r="28" spans="7:25">
      <c r="G28" s="14" t="s">
        <v>286</v>
      </c>
      <c r="H28" s="15" t="s">
        <v>287</v>
      </c>
      <c r="R28" s="14" t="s">
        <v>288</v>
      </c>
      <c r="S28" s="29" t="s">
        <v>289</v>
      </c>
      <c r="U28" s="30" t="s">
        <v>290</v>
      </c>
      <c r="V28" s="15" t="s">
        <v>291</v>
      </c>
      <c r="X28" s="39"/>
      <c r="Y28" s="43" t="s">
        <v>292</v>
      </c>
    </row>
    <row r="29" spans="7:25">
      <c r="G29" s="14" t="s">
        <v>293</v>
      </c>
      <c r="H29" s="15" t="s">
        <v>294</v>
      </c>
      <c r="R29" s="14" t="s">
        <v>295</v>
      </c>
      <c r="S29" s="29" t="s">
        <v>296</v>
      </c>
      <c r="U29" s="30" t="s">
        <v>297</v>
      </c>
      <c r="V29" s="15" t="s">
        <v>298</v>
      </c>
      <c r="X29" s="39"/>
      <c r="Y29" s="43" t="s">
        <v>299</v>
      </c>
    </row>
    <row r="30" spans="7:25">
      <c r="G30" s="14" t="s">
        <v>300</v>
      </c>
      <c r="H30" s="15" t="s">
        <v>301</v>
      </c>
      <c r="R30" s="14" t="s">
        <v>302</v>
      </c>
      <c r="S30" s="29" t="s">
        <v>303</v>
      </c>
      <c r="U30" s="30" t="s">
        <v>304</v>
      </c>
      <c r="V30" s="15" t="s">
        <v>305</v>
      </c>
      <c r="X30" s="39"/>
      <c r="Y30" s="43" t="s">
        <v>306</v>
      </c>
    </row>
    <row r="31" spans="7:25">
      <c r="G31" s="14" t="s">
        <v>307</v>
      </c>
      <c r="H31" s="15" t="s">
        <v>308</v>
      </c>
      <c r="R31" s="14" t="s">
        <v>309</v>
      </c>
      <c r="S31" s="29" t="s">
        <v>310</v>
      </c>
      <c r="U31" s="30" t="s">
        <v>311</v>
      </c>
      <c r="V31" s="15" t="s">
        <v>312</v>
      </c>
      <c r="X31" s="39"/>
      <c r="Y31" s="43" t="s">
        <v>313</v>
      </c>
    </row>
    <row r="32" spans="7:25">
      <c r="G32" s="14" t="s">
        <v>314</v>
      </c>
      <c r="H32" s="15" t="s">
        <v>315</v>
      </c>
      <c r="R32" s="14" t="s">
        <v>316</v>
      </c>
      <c r="S32" s="29" t="s">
        <v>317</v>
      </c>
      <c r="U32" s="30" t="s">
        <v>318</v>
      </c>
      <c r="V32" s="15" t="s">
        <v>319</v>
      </c>
      <c r="X32" s="39"/>
      <c r="Y32" s="43" t="s">
        <v>320</v>
      </c>
    </row>
    <row r="33" spans="7:25">
      <c r="G33" s="14" t="s">
        <v>9</v>
      </c>
      <c r="H33" s="15" t="s">
        <v>321</v>
      </c>
      <c r="R33" s="14" t="s">
        <v>322</v>
      </c>
      <c r="S33" s="29" t="s">
        <v>323</v>
      </c>
      <c r="U33" s="30" t="s">
        <v>324</v>
      </c>
      <c r="V33" s="15" t="s">
        <v>325</v>
      </c>
      <c r="X33" s="39"/>
      <c r="Y33" s="43" t="s">
        <v>326</v>
      </c>
    </row>
    <row r="34" spans="7:25">
      <c r="G34" s="14" t="s">
        <v>327</v>
      </c>
      <c r="H34" s="15" t="s">
        <v>328</v>
      </c>
      <c r="R34" s="14" t="s">
        <v>329</v>
      </c>
      <c r="S34" s="29" t="s">
        <v>330</v>
      </c>
      <c r="U34" s="30" t="s">
        <v>331</v>
      </c>
      <c r="V34" s="15" t="s">
        <v>332</v>
      </c>
      <c r="X34" s="39"/>
      <c r="Y34" s="43" t="s">
        <v>333</v>
      </c>
    </row>
    <row r="35" spans="7:25">
      <c r="G35" s="14" t="s">
        <v>334</v>
      </c>
      <c r="H35" s="15" t="s">
        <v>335</v>
      </c>
      <c r="R35" s="14" t="s">
        <v>336</v>
      </c>
      <c r="S35" s="29" t="s">
        <v>337</v>
      </c>
      <c r="U35" s="30" t="s">
        <v>338</v>
      </c>
      <c r="V35" s="15" t="s">
        <v>339</v>
      </c>
      <c r="X35" s="39"/>
      <c r="Y35" s="43" t="s">
        <v>340</v>
      </c>
    </row>
    <row r="36" spans="7:25">
      <c r="G36" s="14" t="s">
        <v>341</v>
      </c>
      <c r="H36" s="15" t="s">
        <v>342</v>
      </c>
      <c r="R36" s="14" t="s">
        <v>343</v>
      </c>
      <c r="S36" s="29" t="s">
        <v>344</v>
      </c>
      <c r="U36" s="30" t="s">
        <v>345</v>
      </c>
      <c r="V36" s="15" t="s">
        <v>346</v>
      </c>
      <c r="X36" s="40"/>
      <c r="Y36" s="44" t="s">
        <v>347</v>
      </c>
    </row>
    <row r="37" spans="7:25">
      <c r="G37" s="14" t="s">
        <v>348</v>
      </c>
      <c r="H37" s="15" t="s">
        <v>349</v>
      </c>
      <c r="R37" s="14" t="s">
        <v>350</v>
      </c>
      <c r="S37" s="29" t="s">
        <v>351</v>
      </c>
      <c r="U37" s="30" t="s">
        <v>352</v>
      </c>
      <c r="V37" s="15" t="s">
        <v>353</v>
      </c>
      <c r="X37" s="35" t="s">
        <v>354</v>
      </c>
      <c r="Y37" s="42" t="s">
        <v>355</v>
      </c>
    </row>
    <row r="38" spans="7:25">
      <c r="G38" s="14" t="s">
        <v>356</v>
      </c>
      <c r="H38" s="15" t="s">
        <v>357</v>
      </c>
      <c r="R38" s="14" t="s">
        <v>358</v>
      </c>
      <c r="S38" s="29" t="s">
        <v>359</v>
      </c>
      <c r="U38" s="30" t="s">
        <v>360</v>
      </c>
      <c r="V38" s="15" t="s">
        <v>361</v>
      </c>
      <c r="X38" s="37"/>
      <c r="Y38" s="44" t="s">
        <v>362</v>
      </c>
    </row>
    <row r="39" spans="7:25">
      <c r="G39" s="14" t="s">
        <v>363</v>
      </c>
      <c r="H39" s="15" t="s">
        <v>364</v>
      </c>
      <c r="R39" s="14" t="s">
        <v>365</v>
      </c>
      <c r="S39" s="29" t="s">
        <v>366</v>
      </c>
      <c r="U39" s="30" t="s">
        <v>367</v>
      </c>
      <c r="V39" s="15" t="s">
        <v>368</v>
      </c>
      <c r="X39" s="35" t="s">
        <v>369</v>
      </c>
      <c r="Y39" s="42" t="s">
        <v>370</v>
      </c>
    </row>
    <row r="40" ht="25" spans="7:25">
      <c r="G40" s="14" t="s">
        <v>371</v>
      </c>
      <c r="H40" s="15" t="s">
        <v>372</v>
      </c>
      <c r="R40" s="14" t="s">
        <v>373</v>
      </c>
      <c r="S40" s="29" t="s">
        <v>374</v>
      </c>
      <c r="U40" s="30" t="s">
        <v>375</v>
      </c>
      <c r="V40" s="15" t="s">
        <v>376</v>
      </c>
      <c r="X40" s="37"/>
      <c r="Y40" s="44" t="s">
        <v>362</v>
      </c>
    </row>
    <row r="41" ht="25" spans="7:25">
      <c r="G41" s="14" t="s">
        <v>242</v>
      </c>
      <c r="H41" s="15" t="s">
        <v>377</v>
      </c>
      <c r="R41" s="14" t="s">
        <v>378</v>
      </c>
      <c r="S41" s="29" t="s">
        <v>379</v>
      </c>
      <c r="U41" s="30" t="s">
        <v>380</v>
      </c>
      <c r="V41" s="15" t="s">
        <v>381</v>
      </c>
      <c r="X41" s="35" t="s">
        <v>70</v>
      </c>
      <c r="Y41" s="42" t="s">
        <v>382</v>
      </c>
    </row>
    <row r="42" spans="7:25">
      <c r="G42" s="14" t="s">
        <v>383</v>
      </c>
      <c r="H42" s="15" t="s">
        <v>384</v>
      </c>
      <c r="R42" s="14" t="s">
        <v>385</v>
      </c>
      <c r="S42" s="29" t="s">
        <v>386</v>
      </c>
      <c r="U42" s="30" t="s">
        <v>387</v>
      </c>
      <c r="V42" s="15" t="s">
        <v>388</v>
      </c>
      <c r="X42" s="37"/>
      <c r="Y42" s="44" t="s">
        <v>389</v>
      </c>
    </row>
    <row r="43" spans="7:25">
      <c r="G43" s="14" t="s">
        <v>390</v>
      </c>
      <c r="H43" s="15" t="s">
        <v>391</v>
      </c>
      <c r="R43" s="14" t="s">
        <v>392</v>
      </c>
      <c r="S43" s="29" t="s">
        <v>393</v>
      </c>
      <c r="U43" s="30" t="s">
        <v>394</v>
      </c>
      <c r="V43" s="15" t="s">
        <v>395</v>
      </c>
      <c r="X43" s="35" t="s">
        <v>396</v>
      </c>
      <c r="Y43" s="42" t="s">
        <v>397</v>
      </c>
    </row>
    <row r="44" ht="25" spans="7:25">
      <c r="G44" s="14" t="s">
        <v>398</v>
      </c>
      <c r="H44" s="15" t="s">
        <v>399</v>
      </c>
      <c r="R44" s="14" t="s">
        <v>400</v>
      </c>
      <c r="S44" s="29" t="s">
        <v>401</v>
      </c>
      <c r="U44" s="30" t="s">
        <v>402</v>
      </c>
      <c r="V44" s="15" t="s">
        <v>403</v>
      </c>
      <c r="X44" s="37"/>
      <c r="Y44" s="44" t="s">
        <v>389</v>
      </c>
    </row>
    <row r="45" spans="7:25">
      <c r="G45" s="14" t="s">
        <v>404</v>
      </c>
      <c r="H45" s="15" t="s">
        <v>405</v>
      </c>
      <c r="R45" s="14" t="s">
        <v>406</v>
      </c>
      <c r="S45" s="29" t="s">
        <v>407</v>
      </c>
      <c r="U45" s="30" t="s">
        <v>408</v>
      </c>
      <c r="V45" s="15" t="s">
        <v>409</v>
      </c>
      <c r="X45" s="35" t="s">
        <v>410</v>
      </c>
      <c r="Y45" s="42" t="s">
        <v>411</v>
      </c>
    </row>
    <row r="46" spans="7:25">
      <c r="G46" s="14" t="s">
        <v>412</v>
      </c>
      <c r="H46" s="15" t="s">
        <v>413</v>
      </c>
      <c r="R46" s="14" t="s">
        <v>414</v>
      </c>
      <c r="S46" s="29" t="s">
        <v>415</v>
      </c>
      <c r="U46" s="30" t="s">
        <v>416</v>
      </c>
      <c r="V46" s="15" t="s">
        <v>417</v>
      </c>
      <c r="X46" s="37"/>
      <c r="Y46" s="44" t="s">
        <v>418</v>
      </c>
    </row>
    <row r="47" ht="25" spans="7:22">
      <c r="G47" s="14" t="s">
        <v>419</v>
      </c>
      <c r="H47" s="15" t="s">
        <v>420</v>
      </c>
      <c r="R47" s="14" t="s">
        <v>421</v>
      </c>
      <c r="S47" s="29" t="s">
        <v>422</v>
      </c>
      <c r="U47" s="30" t="s">
        <v>423</v>
      </c>
      <c r="V47" s="15" t="s">
        <v>424</v>
      </c>
    </row>
    <row r="48" spans="7:22">
      <c r="G48" s="14" t="s">
        <v>425</v>
      </c>
      <c r="H48" s="15" t="s">
        <v>426</v>
      </c>
      <c r="R48" s="14" t="s">
        <v>427</v>
      </c>
      <c r="S48" s="29" t="s">
        <v>428</v>
      </c>
      <c r="U48" s="30" t="s">
        <v>429</v>
      </c>
      <c r="V48" s="15" t="s">
        <v>430</v>
      </c>
    </row>
    <row r="49" ht="25" spans="7:22">
      <c r="G49" s="14" t="s">
        <v>431</v>
      </c>
      <c r="H49" s="15" t="s">
        <v>432</v>
      </c>
      <c r="R49" s="14" t="s">
        <v>433</v>
      </c>
      <c r="S49" s="29" t="s">
        <v>434</v>
      </c>
      <c r="U49" s="30" t="s">
        <v>435</v>
      </c>
      <c r="V49" s="15" t="s">
        <v>436</v>
      </c>
    </row>
    <row r="50" ht="25" spans="7:22">
      <c r="G50" s="14" t="s">
        <v>437</v>
      </c>
      <c r="H50" s="15" t="s">
        <v>438</v>
      </c>
      <c r="R50" s="14" t="s">
        <v>439</v>
      </c>
      <c r="S50" s="29" t="s">
        <v>440</v>
      </c>
      <c r="U50" s="30" t="s">
        <v>441</v>
      </c>
      <c r="V50" s="15" t="s">
        <v>442</v>
      </c>
    </row>
    <row r="51" spans="7:22">
      <c r="G51" s="14" t="s">
        <v>443</v>
      </c>
      <c r="H51" s="15" t="s">
        <v>444</v>
      </c>
      <c r="R51" s="14" t="s">
        <v>445</v>
      </c>
      <c r="S51" s="29" t="s">
        <v>446</v>
      </c>
      <c r="U51" s="30" t="s">
        <v>447</v>
      </c>
      <c r="V51" s="15" t="s">
        <v>448</v>
      </c>
    </row>
    <row r="52" spans="7:22">
      <c r="G52" s="14" t="s">
        <v>449</v>
      </c>
      <c r="H52" s="15" t="s">
        <v>450</v>
      </c>
      <c r="R52" s="14" t="s">
        <v>451</v>
      </c>
      <c r="S52" s="29" t="s">
        <v>452</v>
      </c>
      <c r="U52" s="30" t="s">
        <v>453</v>
      </c>
      <c r="V52" s="15" t="s">
        <v>454</v>
      </c>
    </row>
    <row r="53" spans="7:22">
      <c r="G53" s="14" t="s">
        <v>455</v>
      </c>
      <c r="H53" s="15" t="s">
        <v>456</v>
      </c>
      <c r="R53" s="14" t="s">
        <v>457</v>
      </c>
      <c r="S53" s="29" t="s">
        <v>458</v>
      </c>
      <c r="U53" s="30" t="s">
        <v>459</v>
      </c>
      <c r="V53" s="15" t="s">
        <v>460</v>
      </c>
    </row>
    <row r="54" spans="7:22">
      <c r="G54" s="14" t="s">
        <v>461</v>
      </c>
      <c r="H54" s="15" t="s">
        <v>462</v>
      </c>
      <c r="R54" s="14" t="s">
        <v>463</v>
      </c>
      <c r="S54" s="29" t="s">
        <v>464</v>
      </c>
      <c r="U54" s="30" t="s">
        <v>465</v>
      </c>
      <c r="V54" s="15" t="s">
        <v>466</v>
      </c>
    </row>
    <row r="55" spans="7:22">
      <c r="G55" s="14" t="s">
        <v>467</v>
      </c>
      <c r="H55" s="15" t="s">
        <v>468</v>
      </c>
      <c r="R55" s="14" t="s">
        <v>469</v>
      </c>
      <c r="S55" s="29" t="s">
        <v>470</v>
      </c>
      <c r="U55" s="30" t="s">
        <v>471</v>
      </c>
      <c r="V55" s="15" t="s">
        <v>472</v>
      </c>
    </row>
    <row r="56" ht="25" spans="7:22">
      <c r="G56" s="14" t="s">
        <v>473</v>
      </c>
      <c r="H56" s="15" t="s">
        <v>474</v>
      </c>
      <c r="R56" s="14" t="s">
        <v>475</v>
      </c>
      <c r="S56" s="29" t="s">
        <v>476</v>
      </c>
      <c r="U56" s="30" t="s">
        <v>477</v>
      </c>
      <c r="V56" s="15" t="s">
        <v>478</v>
      </c>
    </row>
    <row r="57" ht="25" spans="7:22">
      <c r="G57" s="14" t="s">
        <v>479</v>
      </c>
      <c r="H57" s="15" t="s">
        <v>480</v>
      </c>
      <c r="R57" s="14" t="s">
        <v>481</v>
      </c>
      <c r="S57" s="29" t="s">
        <v>482</v>
      </c>
      <c r="U57" s="30" t="s">
        <v>483</v>
      </c>
      <c r="V57" s="15" t="s">
        <v>484</v>
      </c>
    </row>
    <row r="58" ht="25" spans="7:22">
      <c r="G58" s="14" t="s">
        <v>485</v>
      </c>
      <c r="H58" s="15" t="s">
        <v>486</v>
      </c>
      <c r="R58" s="14" t="s">
        <v>487</v>
      </c>
      <c r="S58" s="29" t="s">
        <v>488</v>
      </c>
      <c r="U58" s="30" t="s">
        <v>489</v>
      </c>
      <c r="V58" s="15" t="s">
        <v>490</v>
      </c>
    </row>
    <row r="59" ht="25" spans="7:22">
      <c r="G59" s="14" t="s">
        <v>491</v>
      </c>
      <c r="H59" s="15" t="s">
        <v>492</v>
      </c>
      <c r="R59" s="14" t="s">
        <v>493</v>
      </c>
      <c r="S59" s="29" t="s">
        <v>494</v>
      </c>
      <c r="U59" s="30" t="s">
        <v>495</v>
      </c>
      <c r="V59" s="15" t="s">
        <v>496</v>
      </c>
    </row>
    <row r="60" ht="25" spans="7:22">
      <c r="G60" s="14" t="s">
        <v>497</v>
      </c>
      <c r="H60" s="15" t="s">
        <v>498</v>
      </c>
      <c r="R60" s="14" t="s">
        <v>499</v>
      </c>
      <c r="S60" s="29" t="s">
        <v>500</v>
      </c>
      <c r="U60" s="30" t="s">
        <v>501</v>
      </c>
      <c r="V60" s="15" t="s">
        <v>502</v>
      </c>
    </row>
    <row r="61" ht="25" spans="7:22">
      <c r="G61" s="14" t="s">
        <v>503</v>
      </c>
      <c r="H61" s="15" t="s">
        <v>504</v>
      </c>
      <c r="R61" s="14" t="s">
        <v>505</v>
      </c>
      <c r="S61" s="29" t="s">
        <v>506</v>
      </c>
      <c r="U61" s="30" t="s">
        <v>507</v>
      </c>
      <c r="V61" s="15" t="s">
        <v>508</v>
      </c>
    </row>
    <row r="62" ht="25" spans="7:22">
      <c r="G62" s="14" t="s">
        <v>509</v>
      </c>
      <c r="H62" s="15" t="s">
        <v>510</v>
      </c>
      <c r="R62" s="14" t="s">
        <v>511</v>
      </c>
      <c r="S62" s="29" t="s">
        <v>512</v>
      </c>
      <c r="U62" s="30" t="s">
        <v>513</v>
      </c>
      <c r="V62" s="15" t="s">
        <v>514</v>
      </c>
    </row>
    <row r="63" ht="25" spans="7:22">
      <c r="G63" s="14" t="s">
        <v>515</v>
      </c>
      <c r="H63" s="15" t="s">
        <v>516</v>
      </c>
      <c r="R63" s="14" t="s">
        <v>517</v>
      </c>
      <c r="S63" s="29" t="s">
        <v>518</v>
      </c>
      <c r="U63" s="30" t="s">
        <v>519</v>
      </c>
      <c r="V63" s="15" t="s">
        <v>520</v>
      </c>
    </row>
    <row r="64" ht="25" spans="7:22">
      <c r="G64" s="14" t="s">
        <v>521</v>
      </c>
      <c r="H64" s="15" t="s">
        <v>522</v>
      </c>
      <c r="R64" s="14" t="s">
        <v>523</v>
      </c>
      <c r="S64" s="29" t="s">
        <v>524</v>
      </c>
      <c r="U64" s="30" t="s">
        <v>525</v>
      </c>
      <c r="V64" s="15" t="s">
        <v>526</v>
      </c>
    </row>
    <row r="65" ht="25" spans="7:22">
      <c r="G65" s="14" t="s">
        <v>527</v>
      </c>
      <c r="H65" s="15" t="s">
        <v>528</v>
      </c>
      <c r="R65" s="14" t="s">
        <v>529</v>
      </c>
      <c r="S65" s="29" t="s">
        <v>530</v>
      </c>
      <c r="U65" s="30" t="s">
        <v>531</v>
      </c>
      <c r="V65" s="15" t="s">
        <v>532</v>
      </c>
    </row>
    <row r="66" ht="25" spans="7:22">
      <c r="G66" s="14" t="s">
        <v>533</v>
      </c>
      <c r="H66" s="15" t="s">
        <v>534</v>
      </c>
      <c r="R66" s="14" t="s">
        <v>535</v>
      </c>
      <c r="S66" s="29" t="s">
        <v>536</v>
      </c>
      <c r="U66" s="30" t="s">
        <v>537</v>
      </c>
      <c r="V66" s="15" t="s">
        <v>538</v>
      </c>
    </row>
    <row r="67" ht="25" spans="7:22">
      <c r="G67" s="14" t="s">
        <v>539</v>
      </c>
      <c r="H67" s="15" t="s">
        <v>540</v>
      </c>
      <c r="R67" s="14" t="s">
        <v>541</v>
      </c>
      <c r="S67" s="29" t="s">
        <v>542</v>
      </c>
      <c r="U67" s="30" t="s">
        <v>543</v>
      </c>
      <c r="V67" s="15" t="s">
        <v>544</v>
      </c>
    </row>
    <row r="68" ht="25" spans="7:22">
      <c r="G68" s="14" t="s">
        <v>545</v>
      </c>
      <c r="H68" s="15" t="s">
        <v>546</v>
      </c>
      <c r="R68" s="14" t="s">
        <v>547</v>
      </c>
      <c r="S68" s="29" t="s">
        <v>548</v>
      </c>
      <c r="U68" s="30" t="s">
        <v>549</v>
      </c>
      <c r="V68" s="15" t="s">
        <v>550</v>
      </c>
    </row>
    <row r="69" ht="25" spans="7:22">
      <c r="G69" s="14" t="s">
        <v>551</v>
      </c>
      <c r="H69" s="15" t="s">
        <v>552</v>
      </c>
      <c r="R69" s="14" t="s">
        <v>553</v>
      </c>
      <c r="S69" s="29" t="s">
        <v>554</v>
      </c>
      <c r="U69" s="30" t="s">
        <v>555</v>
      </c>
      <c r="V69" s="15" t="s">
        <v>556</v>
      </c>
    </row>
    <row r="70" ht="25" spans="7:22">
      <c r="G70" s="14" t="s">
        <v>557</v>
      </c>
      <c r="H70" s="15" t="s">
        <v>558</v>
      </c>
      <c r="R70" s="14" t="s">
        <v>559</v>
      </c>
      <c r="S70" s="29" t="s">
        <v>560</v>
      </c>
      <c r="U70" s="30" t="s">
        <v>561</v>
      </c>
      <c r="V70" s="15" t="s">
        <v>562</v>
      </c>
    </row>
    <row r="71" ht="25" spans="7:22">
      <c r="G71" s="14" t="s">
        <v>563</v>
      </c>
      <c r="H71" s="15" t="s">
        <v>564</v>
      </c>
      <c r="R71" s="14" t="s">
        <v>565</v>
      </c>
      <c r="S71" s="29" t="s">
        <v>566</v>
      </c>
      <c r="U71" s="30" t="s">
        <v>567</v>
      </c>
      <c r="V71" s="15" t="s">
        <v>568</v>
      </c>
    </row>
    <row r="72" ht="25" spans="7:22">
      <c r="G72" s="14" t="s">
        <v>569</v>
      </c>
      <c r="H72" s="15" t="s">
        <v>570</v>
      </c>
      <c r="R72" s="14" t="s">
        <v>571</v>
      </c>
      <c r="S72" s="29" t="s">
        <v>572</v>
      </c>
      <c r="U72" s="30" t="s">
        <v>573</v>
      </c>
      <c r="V72" s="15" t="s">
        <v>574</v>
      </c>
    </row>
    <row r="73" ht="25" spans="7:22">
      <c r="G73" s="14" t="s">
        <v>575</v>
      </c>
      <c r="H73" s="15" t="s">
        <v>576</v>
      </c>
      <c r="R73" s="14" t="s">
        <v>577</v>
      </c>
      <c r="S73" s="29" t="s">
        <v>578</v>
      </c>
      <c r="U73" s="30" t="s">
        <v>579</v>
      </c>
      <c r="V73" s="15" t="s">
        <v>580</v>
      </c>
    </row>
    <row r="74" spans="7:22">
      <c r="G74" s="14" t="s">
        <v>581</v>
      </c>
      <c r="H74" s="15" t="s">
        <v>582</v>
      </c>
      <c r="R74" s="14" t="s">
        <v>583</v>
      </c>
      <c r="S74" s="29" t="s">
        <v>584</v>
      </c>
      <c r="U74" s="30" t="s">
        <v>585</v>
      </c>
      <c r="V74" s="15" t="s">
        <v>586</v>
      </c>
    </row>
    <row r="75" spans="7:22">
      <c r="G75" s="14" t="s">
        <v>587</v>
      </c>
      <c r="H75" s="15" t="s">
        <v>588</v>
      </c>
      <c r="R75" s="14" t="s">
        <v>589</v>
      </c>
      <c r="S75" s="29" t="s">
        <v>590</v>
      </c>
      <c r="U75" s="30" t="s">
        <v>591</v>
      </c>
      <c r="V75" s="15" t="s">
        <v>592</v>
      </c>
    </row>
    <row r="76" spans="7:22">
      <c r="G76" s="14" t="s">
        <v>593</v>
      </c>
      <c r="H76" s="15" t="s">
        <v>594</v>
      </c>
      <c r="R76" s="14" t="s">
        <v>595</v>
      </c>
      <c r="S76" s="29" t="s">
        <v>596</v>
      </c>
      <c r="U76" s="30" t="s">
        <v>597</v>
      </c>
      <c r="V76" s="15" t="s">
        <v>598</v>
      </c>
    </row>
    <row r="77" spans="7:22">
      <c r="G77" s="14" t="s">
        <v>599</v>
      </c>
      <c r="H77" s="15" t="s">
        <v>600</v>
      </c>
      <c r="R77" s="14" t="s">
        <v>601</v>
      </c>
      <c r="S77" s="29" t="s">
        <v>602</v>
      </c>
      <c r="U77" s="30" t="s">
        <v>603</v>
      </c>
      <c r="V77" s="15" t="s">
        <v>604</v>
      </c>
    </row>
    <row r="78" spans="7:22">
      <c r="G78" s="14" t="s">
        <v>605</v>
      </c>
      <c r="H78" s="15" t="s">
        <v>606</v>
      </c>
      <c r="R78" s="14" t="s">
        <v>607</v>
      </c>
      <c r="S78" s="29" t="s">
        <v>608</v>
      </c>
      <c r="U78" s="30" t="s">
        <v>609</v>
      </c>
      <c r="V78" s="15" t="s">
        <v>610</v>
      </c>
    </row>
    <row r="79" spans="7:22">
      <c r="G79" s="14" t="s">
        <v>611</v>
      </c>
      <c r="H79" s="15" t="s">
        <v>612</v>
      </c>
      <c r="R79" s="14" t="s">
        <v>613</v>
      </c>
      <c r="S79" s="29" t="s">
        <v>614</v>
      </c>
      <c r="U79" s="30" t="s">
        <v>615</v>
      </c>
      <c r="V79" s="15" t="s">
        <v>616</v>
      </c>
    </row>
    <row r="80" spans="7:22">
      <c r="G80" s="14" t="s">
        <v>617</v>
      </c>
      <c r="H80" s="15" t="s">
        <v>618</v>
      </c>
      <c r="R80" s="14" t="s">
        <v>619</v>
      </c>
      <c r="S80" s="29" t="s">
        <v>620</v>
      </c>
      <c r="U80" s="30" t="s">
        <v>621</v>
      </c>
      <c r="V80" s="15" t="s">
        <v>622</v>
      </c>
    </row>
    <row r="81" spans="7:22">
      <c r="G81" s="14" t="s">
        <v>623</v>
      </c>
      <c r="H81" s="15" t="s">
        <v>624</v>
      </c>
      <c r="R81" s="14" t="s">
        <v>625</v>
      </c>
      <c r="S81" s="29" t="s">
        <v>626</v>
      </c>
      <c r="U81" s="30" t="s">
        <v>627</v>
      </c>
      <c r="V81" s="15" t="s">
        <v>628</v>
      </c>
    </row>
    <row r="82" spans="7:22">
      <c r="G82" s="14" t="s">
        <v>629</v>
      </c>
      <c r="H82" s="15" t="s">
        <v>630</v>
      </c>
      <c r="R82" s="14" t="s">
        <v>631</v>
      </c>
      <c r="S82" s="29" t="s">
        <v>632</v>
      </c>
      <c r="U82" s="30" t="s">
        <v>633</v>
      </c>
      <c r="V82" s="15" t="s">
        <v>634</v>
      </c>
    </row>
    <row r="83" spans="7:22">
      <c r="G83" s="14" t="s">
        <v>635</v>
      </c>
      <c r="H83" s="15" t="s">
        <v>636</v>
      </c>
      <c r="R83" s="14" t="s">
        <v>637</v>
      </c>
      <c r="S83" s="29" t="s">
        <v>638</v>
      </c>
      <c r="U83" s="30" t="s">
        <v>639</v>
      </c>
      <c r="V83" s="15" t="s">
        <v>640</v>
      </c>
    </row>
    <row r="84" ht="25" spans="7:22">
      <c r="G84" s="14" t="s">
        <v>641</v>
      </c>
      <c r="H84" s="15" t="s">
        <v>642</v>
      </c>
      <c r="R84" s="14" t="s">
        <v>643</v>
      </c>
      <c r="S84" s="29" t="s">
        <v>644</v>
      </c>
      <c r="U84" s="30" t="s">
        <v>645</v>
      </c>
      <c r="V84" s="15" t="s">
        <v>646</v>
      </c>
    </row>
    <row r="85" spans="7:22">
      <c r="G85" s="14" t="s">
        <v>647</v>
      </c>
      <c r="H85" s="15" t="s">
        <v>648</v>
      </c>
      <c r="R85" s="14" t="s">
        <v>649</v>
      </c>
      <c r="S85" s="29" t="s">
        <v>650</v>
      </c>
      <c r="U85" s="30" t="s">
        <v>651</v>
      </c>
      <c r="V85" s="15" t="s">
        <v>652</v>
      </c>
    </row>
    <row r="86" spans="7:22">
      <c r="G86" s="14" t="s">
        <v>653</v>
      </c>
      <c r="H86" s="15" t="s">
        <v>654</v>
      </c>
      <c r="R86" s="14" t="s">
        <v>655</v>
      </c>
      <c r="S86" s="29" t="s">
        <v>656</v>
      </c>
      <c r="U86" s="30" t="s">
        <v>657</v>
      </c>
      <c r="V86" s="15" t="s">
        <v>658</v>
      </c>
    </row>
    <row r="87" spans="7:22">
      <c r="G87" s="14" t="s">
        <v>659</v>
      </c>
      <c r="H87" s="15" t="s">
        <v>660</v>
      </c>
      <c r="R87" s="14" t="s">
        <v>661</v>
      </c>
      <c r="S87" s="29" t="s">
        <v>662</v>
      </c>
      <c r="U87" s="30" t="s">
        <v>663</v>
      </c>
      <c r="V87" s="15" t="s">
        <v>664</v>
      </c>
    </row>
    <row r="88" ht="25" spans="7:22">
      <c r="G88" s="14" t="s">
        <v>665</v>
      </c>
      <c r="H88" s="15" t="s">
        <v>666</v>
      </c>
      <c r="R88" s="14" t="s">
        <v>667</v>
      </c>
      <c r="S88" s="29" t="s">
        <v>668</v>
      </c>
      <c r="U88" s="30" t="s">
        <v>669</v>
      </c>
      <c r="V88" s="15" t="s">
        <v>670</v>
      </c>
    </row>
    <row r="89" spans="7:22">
      <c r="G89" s="14" t="s">
        <v>671</v>
      </c>
      <c r="H89" s="15" t="s">
        <v>672</v>
      </c>
      <c r="R89" s="14" t="s">
        <v>673</v>
      </c>
      <c r="S89" s="29" t="s">
        <v>674</v>
      </c>
      <c r="U89" s="30" t="s">
        <v>675</v>
      </c>
      <c r="V89" s="15" t="s">
        <v>676</v>
      </c>
    </row>
    <row r="90" ht="25" spans="7:22">
      <c r="G90" s="14" t="s">
        <v>677</v>
      </c>
      <c r="H90" s="15" t="s">
        <v>678</v>
      </c>
      <c r="R90" s="14" t="s">
        <v>679</v>
      </c>
      <c r="S90" s="29" t="s">
        <v>680</v>
      </c>
      <c r="U90" s="30" t="s">
        <v>681</v>
      </c>
      <c r="V90" s="15" t="s">
        <v>682</v>
      </c>
    </row>
    <row r="91" ht="25" spans="7:22">
      <c r="G91" s="14" t="s">
        <v>683</v>
      </c>
      <c r="H91" s="15" t="s">
        <v>684</v>
      </c>
      <c r="R91" s="14" t="s">
        <v>685</v>
      </c>
      <c r="S91" s="29" t="s">
        <v>686</v>
      </c>
      <c r="U91" s="30" t="s">
        <v>687</v>
      </c>
      <c r="V91" s="15" t="s">
        <v>688</v>
      </c>
    </row>
    <row r="92" ht="25" spans="7:22">
      <c r="G92" s="14" t="s">
        <v>689</v>
      </c>
      <c r="H92" s="15" t="s">
        <v>690</v>
      </c>
      <c r="R92" s="14" t="s">
        <v>691</v>
      </c>
      <c r="S92" s="29" t="s">
        <v>692</v>
      </c>
      <c r="U92" s="30" t="s">
        <v>693</v>
      </c>
      <c r="V92" s="15" t="s">
        <v>694</v>
      </c>
    </row>
    <row r="93" ht="25" spans="7:22">
      <c r="G93" s="14" t="s">
        <v>39</v>
      </c>
      <c r="H93" s="15" t="s">
        <v>695</v>
      </c>
      <c r="R93" s="14" t="s">
        <v>696</v>
      </c>
      <c r="S93" s="29" t="s">
        <v>697</v>
      </c>
      <c r="U93" s="30" t="s">
        <v>698</v>
      </c>
      <c r="V93" s="15" t="s">
        <v>699</v>
      </c>
    </row>
    <row r="94" ht="25" spans="7:22">
      <c r="G94" s="14" t="s">
        <v>700</v>
      </c>
      <c r="H94" s="15" t="s">
        <v>701</v>
      </c>
      <c r="R94" s="14" t="s">
        <v>702</v>
      </c>
      <c r="S94" s="29" t="s">
        <v>703</v>
      </c>
      <c r="U94" s="30" t="s">
        <v>704</v>
      </c>
      <c r="V94" s="15" t="s">
        <v>705</v>
      </c>
    </row>
    <row r="95" ht="25" spans="7:22">
      <c r="G95" s="14" t="s">
        <v>706</v>
      </c>
      <c r="H95" s="15" t="s">
        <v>707</v>
      </c>
      <c r="R95" s="14" t="s">
        <v>708</v>
      </c>
      <c r="S95" s="29" t="s">
        <v>709</v>
      </c>
      <c r="U95" s="30" t="s">
        <v>710</v>
      </c>
      <c r="V95" s="15" t="s">
        <v>711</v>
      </c>
    </row>
    <row r="96" ht="25" spans="7:22">
      <c r="G96" s="14" t="s">
        <v>712</v>
      </c>
      <c r="H96" s="15" t="s">
        <v>713</v>
      </c>
      <c r="R96" s="14" t="s">
        <v>714</v>
      </c>
      <c r="S96" s="29" t="s">
        <v>715</v>
      </c>
      <c r="U96" s="30" t="s">
        <v>716</v>
      </c>
      <c r="V96" s="15" t="s">
        <v>717</v>
      </c>
    </row>
    <row r="97" ht="25" spans="7:22">
      <c r="G97" s="14" t="s">
        <v>718</v>
      </c>
      <c r="H97" s="15" t="s">
        <v>719</v>
      </c>
      <c r="R97" s="14" t="s">
        <v>720</v>
      </c>
      <c r="S97" s="29" t="s">
        <v>721</v>
      </c>
      <c r="U97" s="30" t="s">
        <v>722</v>
      </c>
      <c r="V97" s="15" t="s">
        <v>723</v>
      </c>
    </row>
    <row r="98" ht="25" spans="7:22">
      <c r="G98" s="14" t="s">
        <v>724</v>
      </c>
      <c r="H98" s="15" t="s">
        <v>725</v>
      </c>
      <c r="R98" s="14" t="s">
        <v>726</v>
      </c>
      <c r="S98" s="29" t="s">
        <v>727</v>
      </c>
      <c r="U98" s="30" t="s">
        <v>728</v>
      </c>
      <c r="V98" s="15" t="s">
        <v>729</v>
      </c>
    </row>
    <row r="99" ht="25" spans="7:22">
      <c r="G99" s="14" t="s">
        <v>730</v>
      </c>
      <c r="H99" s="15" t="s">
        <v>731</v>
      </c>
      <c r="R99" s="14" t="s">
        <v>732</v>
      </c>
      <c r="S99" s="29" t="s">
        <v>733</v>
      </c>
      <c r="U99" s="30" t="s">
        <v>734</v>
      </c>
      <c r="V99" s="15" t="s">
        <v>735</v>
      </c>
    </row>
    <row r="100" ht="25" spans="7:22">
      <c r="G100" s="14" t="s">
        <v>736</v>
      </c>
      <c r="H100" s="15" t="s">
        <v>737</v>
      </c>
      <c r="R100" s="14" t="s">
        <v>738</v>
      </c>
      <c r="S100" s="29" t="s">
        <v>739</v>
      </c>
      <c r="U100" s="30" t="s">
        <v>740</v>
      </c>
      <c r="V100" s="15" t="s">
        <v>741</v>
      </c>
    </row>
    <row r="101" spans="7:22">
      <c r="G101" s="14" t="s">
        <v>742</v>
      </c>
      <c r="H101" s="15" t="s">
        <v>743</v>
      </c>
      <c r="R101" s="14" t="s">
        <v>744</v>
      </c>
      <c r="S101" s="29" t="s">
        <v>745</v>
      </c>
      <c r="U101" s="30" t="s">
        <v>746</v>
      </c>
      <c r="V101" s="15" t="s">
        <v>747</v>
      </c>
    </row>
    <row r="102" spans="7:22">
      <c r="G102" s="14" t="s">
        <v>748</v>
      </c>
      <c r="H102" s="15" t="s">
        <v>749</v>
      </c>
      <c r="R102" s="14" t="s">
        <v>750</v>
      </c>
      <c r="S102" s="29" t="s">
        <v>751</v>
      </c>
      <c r="U102" s="30" t="s">
        <v>752</v>
      </c>
      <c r="V102" s="15" t="s">
        <v>753</v>
      </c>
    </row>
    <row r="103" spans="7:22">
      <c r="G103" s="14" t="s">
        <v>754</v>
      </c>
      <c r="H103" s="15" t="s">
        <v>755</v>
      </c>
      <c r="R103" s="14" t="s">
        <v>756</v>
      </c>
      <c r="S103" s="29" t="s">
        <v>757</v>
      </c>
      <c r="U103" s="30" t="s">
        <v>758</v>
      </c>
      <c r="V103" s="15" t="s">
        <v>759</v>
      </c>
    </row>
    <row r="104" spans="7:22">
      <c r="G104" s="14" t="s">
        <v>760</v>
      </c>
      <c r="H104" s="15" t="s">
        <v>761</v>
      </c>
      <c r="R104" s="14" t="s">
        <v>762</v>
      </c>
      <c r="S104" s="29" t="s">
        <v>763</v>
      </c>
      <c r="U104" s="30" t="s">
        <v>764</v>
      </c>
      <c r="V104" s="15" t="s">
        <v>765</v>
      </c>
    </row>
    <row r="105" spans="7:22">
      <c r="G105" s="14" t="s">
        <v>766</v>
      </c>
      <c r="H105" s="15" t="s">
        <v>767</v>
      </c>
      <c r="R105" s="14" t="s">
        <v>768</v>
      </c>
      <c r="S105" s="29" t="s">
        <v>769</v>
      </c>
      <c r="U105" s="30" t="s">
        <v>770</v>
      </c>
      <c r="V105" s="15" t="s">
        <v>771</v>
      </c>
    </row>
    <row r="106" spans="7:22">
      <c r="G106" s="14" t="s">
        <v>772</v>
      </c>
      <c r="H106" s="15" t="s">
        <v>773</v>
      </c>
      <c r="R106" s="14" t="s">
        <v>774</v>
      </c>
      <c r="S106" s="29" t="s">
        <v>775</v>
      </c>
      <c r="U106" s="30" t="s">
        <v>776</v>
      </c>
      <c r="V106" s="15" t="s">
        <v>777</v>
      </c>
    </row>
    <row r="107" spans="7:22">
      <c r="G107" s="14" t="s">
        <v>778</v>
      </c>
      <c r="H107" s="15" t="s">
        <v>779</v>
      </c>
      <c r="R107" s="14" t="s">
        <v>780</v>
      </c>
      <c r="S107" s="29" t="s">
        <v>781</v>
      </c>
      <c r="U107" s="30" t="s">
        <v>782</v>
      </c>
      <c r="V107" s="15" t="s">
        <v>783</v>
      </c>
    </row>
    <row r="108" spans="7:22">
      <c r="G108" s="14" t="s">
        <v>784</v>
      </c>
      <c r="H108" s="15" t="s">
        <v>785</v>
      </c>
      <c r="R108" s="14" t="s">
        <v>786</v>
      </c>
      <c r="S108" s="29" t="s">
        <v>787</v>
      </c>
      <c r="U108" s="30" t="s">
        <v>788</v>
      </c>
      <c r="V108" s="15" t="s">
        <v>789</v>
      </c>
    </row>
    <row r="109" spans="7:22">
      <c r="G109" s="14" t="s">
        <v>790</v>
      </c>
      <c r="H109" s="15" t="s">
        <v>791</v>
      </c>
      <c r="R109" s="14" t="s">
        <v>792</v>
      </c>
      <c r="S109" s="29" t="s">
        <v>793</v>
      </c>
      <c r="U109" s="30" t="s">
        <v>794</v>
      </c>
      <c r="V109" s="15" t="s">
        <v>795</v>
      </c>
    </row>
    <row r="110" spans="7:22">
      <c r="G110" s="14" t="s">
        <v>796</v>
      </c>
      <c r="H110" s="15" t="s">
        <v>797</v>
      </c>
      <c r="R110" s="14" t="s">
        <v>798</v>
      </c>
      <c r="S110" s="29" t="s">
        <v>799</v>
      </c>
      <c r="U110" s="30" t="s">
        <v>800</v>
      </c>
      <c r="V110" s="15" t="s">
        <v>801</v>
      </c>
    </row>
    <row r="111" spans="7:22">
      <c r="G111" s="14" t="s">
        <v>802</v>
      </c>
      <c r="H111" s="15" t="s">
        <v>803</v>
      </c>
      <c r="R111" s="14" t="s">
        <v>804</v>
      </c>
      <c r="S111" s="29" t="s">
        <v>805</v>
      </c>
      <c r="U111" s="30" t="s">
        <v>806</v>
      </c>
      <c r="V111" s="15" t="s">
        <v>807</v>
      </c>
    </row>
    <row r="112" spans="7:22">
      <c r="G112" s="14" t="s">
        <v>808</v>
      </c>
      <c r="H112" s="15" t="s">
        <v>809</v>
      </c>
      <c r="R112" s="14" t="s">
        <v>810</v>
      </c>
      <c r="S112" s="29" t="s">
        <v>811</v>
      </c>
      <c r="U112" s="30" t="s">
        <v>812</v>
      </c>
      <c r="V112" s="15" t="s">
        <v>813</v>
      </c>
    </row>
    <row r="113" spans="7:22">
      <c r="G113" s="14" t="s">
        <v>814</v>
      </c>
      <c r="H113" s="15" t="s">
        <v>815</v>
      </c>
      <c r="R113" s="14" t="s">
        <v>816</v>
      </c>
      <c r="S113" s="29" t="s">
        <v>817</v>
      </c>
      <c r="U113" s="30" t="s">
        <v>818</v>
      </c>
      <c r="V113" s="15" t="s">
        <v>819</v>
      </c>
    </row>
    <row r="114" spans="7:22">
      <c r="G114" s="14" t="s">
        <v>820</v>
      </c>
      <c r="H114" s="15" t="s">
        <v>821</v>
      </c>
      <c r="R114" s="14" t="s">
        <v>822</v>
      </c>
      <c r="S114" s="29" t="s">
        <v>823</v>
      </c>
      <c r="U114" s="30" t="s">
        <v>824</v>
      </c>
      <c r="V114" s="15" t="s">
        <v>825</v>
      </c>
    </row>
    <row r="115" spans="7:22">
      <c r="G115" s="14" t="s">
        <v>826</v>
      </c>
      <c r="H115" s="15" t="s">
        <v>827</v>
      </c>
      <c r="R115" s="14" t="s">
        <v>828</v>
      </c>
      <c r="S115" s="29" t="s">
        <v>829</v>
      </c>
      <c r="U115" s="30" t="s">
        <v>830</v>
      </c>
      <c r="V115" s="15" t="s">
        <v>831</v>
      </c>
    </row>
    <row r="116" spans="7:22">
      <c r="G116" s="14" t="s">
        <v>832</v>
      </c>
      <c r="H116" s="15" t="s">
        <v>833</v>
      </c>
      <c r="R116" s="14" t="s">
        <v>834</v>
      </c>
      <c r="S116" s="29" t="s">
        <v>835</v>
      </c>
      <c r="U116" s="30" t="s">
        <v>836</v>
      </c>
      <c r="V116" s="15" t="s">
        <v>837</v>
      </c>
    </row>
    <row r="117" spans="7:22">
      <c r="G117" s="14" t="s">
        <v>838</v>
      </c>
      <c r="H117" s="15" t="s">
        <v>839</v>
      </c>
      <c r="U117" s="30" t="s">
        <v>840</v>
      </c>
      <c r="V117" s="15" t="s">
        <v>841</v>
      </c>
    </row>
    <row r="118" spans="7:22">
      <c r="G118" s="14" t="s">
        <v>842</v>
      </c>
      <c r="H118" s="15" t="s">
        <v>843</v>
      </c>
      <c r="U118" s="30" t="s">
        <v>844</v>
      </c>
      <c r="V118" s="15" t="s">
        <v>845</v>
      </c>
    </row>
    <row r="119" spans="7:22">
      <c r="G119" s="14" t="s">
        <v>846</v>
      </c>
      <c r="H119" s="15" t="s">
        <v>847</v>
      </c>
      <c r="U119" s="30" t="s">
        <v>848</v>
      </c>
      <c r="V119" s="15" t="s">
        <v>849</v>
      </c>
    </row>
    <row r="120" spans="7:22">
      <c r="G120" s="14" t="s">
        <v>850</v>
      </c>
      <c r="H120" s="15" t="s">
        <v>851</v>
      </c>
      <c r="U120" s="30" t="s">
        <v>852</v>
      </c>
      <c r="V120" s="15" t="s">
        <v>853</v>
      </c>
    </row>
    <row r="121" spans="7:22">
      <c r="G121" s="14" t="s">
        <v>854</v>
      </c>
      <c r="H121" s="15" t="s">
        <v>855</v>
      </c>
      <c r="U121" s="30" t="s">
        <v>856</v>
      </c>
      <c r="V121" s="15" t="s">
        <v>857</v>
      </c>
    </row>
    <row r="122" spans="7:22">
      <c r="G122" s="14" t="s">
        <v>858</v>
      </c>
      <c r="H122" s="15" t="s">
        <v>859</v>
      </c>
      <c r="U122" s="30" t="s">
        <v>860</v>
      </c>
      <c r="V122" s="15" t="s">
        <v>861</v>
      </c>
    </row>
    <row r="123" spans="7:22">
      <c r="G123" s="14" t="s">
        <v>862</v>
      </c>
      <c r="H123" s="15" t="s">
        <v>863</v>
      </c>
      <c r="U123" s="30" t="s">
        <v>864</v>
      </c>
      <c r="V123" s="15" t="s">
        <v>865</v>
      </c>
    </row>
    <row r="124" spans="7:22">
      <c r="G124" s="14" t="s">
        <v>866</v>
      </c>
      <c r="H124" s="15" t="s">
        <v>867</v>
      </c>
      <c r="U124" s="30" t="s">
        <v>868</v>
      </c>
      <c r="V124" s="15" t="s">
        <v>869</v>
      </c>
    </row>
    <row r="125" spans="7:22">
      <c r="G125" s="14" t="s">
        <v>870</v>
      </c>
      <c r="H125" s="15" t="s">
        <v>871</v>
      </c>
      <c r="U125" s="30" t="s">
        <v>872</v>
      </c>
      <c r="V125" s="15" t="s">
        <v>873</v>
      </c>
    </row>
    <row r="126" spans="7:22">
      <c r="G126" s="14" t="s">
        <v>874</v>
      </c>
      <c r="H126" s="15" t="s">
        <v>875</v>
      </c>
      <c r="U126" s="30" t="s">
        <v>876</v>
      </c>
      <c r="V126" s="15" t="s">
        <v>877</v>
      </c>
    </row>
    <row r="127" spans="7:22">
      <c r="G127" s="14" t="s">
        <v>878</v>
      </c>
      <c r="H127" s="15" t="s">
        <v>879</v>
      </c>
      <c r="U127" s="30" t="s">
        <v>880</v>
      </c>
      <c r="V127" s="15" t="s">
        <v>881</v>
      </c>
    </row>
    <row r="128" spans="7:22">
      <c r="G128" s="14" t="s">
        <v>882</v>
      </c>
      <c r="H128" s="15" t="s">
        <v>883</v>
      </c>
      <c r="U128" s="30" t="s">
        <v>884</v>
      </c>
      <c r="V128" s="15" t="s">
        <v>885</v>
      </c>
    </row>
    <row r="129" spans="7:22">
      <c r="G129" s="14" t="s">
        <v>886</v>
      </c>
      <c r="H129" s="15" t="s">
        <v>887</v>
      </c>
      <c r="U129" s="30" t="s">
        <v>888</v>
      </c>
      <c r="V129" s="15" t="s">
        <v>889</v>
      </c>
    </row>
    <row r="130" spans="7:22">
      <c r="G130" s="14" t="s">
        <v>890</v>
      </c>
      <c r="H130" s="15" t="s">
        <v>891</v>
      </c>
      <c r="U130" s="30" t="s">
        <v>892</v>
      </c>
      <c r="V130" s="15" t="s">
        <v>893</v>
      </c>
    </row>
    <row r="131" spans="7:22">
      <c r="G131" s="14" t="s">
        <v>894</v>
      </c>
      <c r="H131" s="15" t="s">
        <v>895</v>
      </c>
      <c r="U131" s="30" t="s">
        <v>896</v>
      </c>
      <c r="V131" s="15" t="s">
        <v>897</v>
      </c>
    </row>
    <row r="132" spans="7:22">
      <c r="G132" s="14" t="s">
        <v>898</v>
      </c>
      <c r="H132" s="15" t="s">
        <v>899</v>
      </c>
      <c r="U132" s="30" t="s">
        <v>900</v>
      </c>
      <c r="V132" s="15" t="s">
        <v>901</v>
      </c>
    </row>
    <row r="133" spans="7:22">
      <c r="G133" s="14" t="s">
        <v>0</v>
      </c>
      <c r="H133" s="15" t="s">
        <v>902</v>
      </c>
      <c r="U133" s="30" t="s">
        <v>903</v>
      </c>
      <c r="V133" s="15" t="s">
        <v>904</v>
      </c>
    </row>
    <row r="134" spans="7:22">
      <c r="G134" s="14" t="s">
        <v>905</v>
      </c>
      <c r="H134" s="15" t="s">
        <v>906</v>
      </c>
      <c r="U134" s="30" t="s">
        <v>907</v>
      </c>
      <c r="V134" s="15" t="s">
        <v>908</v>
      </c>
    </row>
    <row r="135" spans="7:22">
      <c r="G135" s="14" t="s">
        <v>909</v>
      </c>
      <c r="H135" s="15" t="s">
        <v>910</v>
      </c>
      <c r="U135" s="30" t="s">
        <v>911</v>
      </c>
      <c r="V135" s="15" t="s">
        <v>912</v>
      </c>
    </row>
    <row r="136" spans="7:22">
      <c r="G136" s="14" t="s">
        <v>913</v>
      </c>
      <c r="H136" s="15" t="s">
        <v>914</v>
      </c>
      <c r="U136" s="30" t="s">
        <v>915</v>
      </c>
      <c r="V136" s="15" t="s">
        <v>916</v>
      </c>
    </row>
    <row r="137" spans="7:22">
      <c r="G137" s="14" t="s">
        <v>917</v>
      </c>
      <c r="H137" s="15" t="s">
        <v>918</v>
      </c>
      <c r="U137" s="30" t="s">
        <v>919</v>
      </c>
      <c r="V137" s="15" t="s">
        <v>920</v>
      </c>
    </row>
    <row r="138" spans="7:22">
      <c r="G138" s="14" t="s">
        <v>921</v>
      </c>
      <c r="H138" s="15" t="s">
        <v>922</v>
      </c>
      <c r="U138" s="30" t="s">
        <v>923</v>
      </c>
      <c r="V138" s="15" t="s">
        <v>924</v>
      </c>
    </row>
    <row r="139" spans="7:22">
      <c r="G139" s="14" t="s">
        <v>925</v>
      </c>
      <c r="H139" s="15" t="s">
        <v>926</v>
      </c>
      <c r="U139" s="30" t="s">
        <v>927</v>
      </c>
      <c r="V139" s="15" t="s">
        <v>928</v>
      </c>
    </row>
    <row r="140" spans="7:22">
      <c r="G140" s="14" t="s">
        <v>929</v>
      </c>
      <c r="H140" s="15" t="s">
        <v>930</v>
      </c>
      <c r="U140" s="30" t="s">
        <v>931</v>
      </c>
      <c r="V140" s="15" t="s">
        <v>932</v>
      </c>
    </row>
    <row r="141" spans="7:22">
      <c r="G141" s="14" t="s">
        <v>933</v>
      </c>
      <c r="H141" s="15" t="s">
        <v>934</v>
      </c>
      <c r="U141" s="30" t="s">
        <v>935</v>
      </c>
      <c r="V141" s="15" t="s">
        <v>936</v>
      </c>
    </row>
    <row r="142" spans="7:22">
      <c r="G142" s="14" t="s">
        <v>937</v>
      </c>
      <c r="H142" s="15" t="s">
        <v>938</v>
      </c>
      <c r="U142" s="30" t="s">
        <v>939</v>
      </c>
      <c r="V142" s="15" t="s">
        <v>940</v>
      </c>
    </row>
    <row r="143" spans="7:22">
      <c r="G143" s="14" t="s">
        <v>941</v>
      </c>
      <c r="H143" s="15" t="s">
        <v>942</v>
      </c>
      <c r="U143" s="30" t="s">
        <v>943</v>
      </c>
      <c r="V143" s="15" t="s">
        <v>944</v>
      </c>
    </row>
    <row r="144" spans="7:22">
      <c r="G144" s="14" t="s">
        <v>945</v>
      </c>
      <c r="H144" s="15" t="s">
        <v>946</v>
      </c>
      <c r="U144" s="30" t="s">
        <v>947</v>
      </c>
      <c r="V144" s="15" t="s">
        <v>948</v>
      </c>
    </row>
    <row r="145" spans="7:22">
      <c r="G145" s="14" t="s">
        <v>949</v>
      </c>
      <c r="H145" s="15" t="s">
        <v>950</v>
      </c>
      <c r="U145" s="30" t="s">
        <v>951</v>
      </c>
      <c r="V145" s="15" t="s">
        <v>952</v>
      </c>
    </row>
    <row r="146" spans="7:22">
      <c r="G146" s="14" t="s">
        <v>953</v>
      </c>
      <c r="H146" s="15" t="s">
        <v>954</v>
      </c>
      <c r="U146" s="30" t="s">
        <v>955</v>
      </c>
      <c r="V146" s="15" t="s">
        <v>956</v>
      </c>
    </row>
    <row r="147" spans="7:22">
      <c r="G147" s="14" t="s">
        <v>957</v>
      </c>
      <c r="H147" s="15" t="s">
        <v>958</v>
      </c>
      <c r="U147" s="30" t="s">
        <v>959</v>
      </c>
      <c r="V147" s="15" t="s">
        <v>960</v>
      </c>
    </row>
    <row r="148" spans="7:22">
      <c r="G148" s="14" t="s">
        <v>961</v>
      </c>
      <c r="H148" s="15" t="s">
        <v>962</v>
      </c>
      <c r="U148" s="30" t="s">
        <v>963</v>
      </c>
      <c r="V148" s="15" t="s">
        <v>964</v>
      </c>
    </row>
    <row r="149" spans="7:22">
      <c r="G149" s="14" t="s">
        <v>965</v>
      </c>
      <c r="H149" s="15" t="s">
        <v>966</v>
      </c>
      <c r="U149" s="30" t="s">
        <v>967</v>
      </c>
      <c r="V149" s="15" t="s">
        <v>968</v>
      </c>
    </row>
    <row r="150" spans="7:22">
      <c r="G150" s="14" t="s">
        <v>969</v>
      </c>
      <c r="H150" s="15" t="s">
        <v>970</v>
      </c>
      <c r="U150" s="30" t="s">
        <v>971</v>
      </c>
      <c r="V150" s="15" t="s">
        <v>972</v>
      </c>
    </row>
    <row r="151" spans="7:22">
      <c r="G151" s="14" t="s">
        <v>973</v>
      </c>
      <c r="H151" s="15" t="s">
        <v>974</v>
      </c>
      <c r="U151" s="30" t="s">
        <v>975</v>
      </c>
      <c r="V151" s="15" t="s">
        <v>976</v>
      </c>
    </row>
    <row r="152" spans="7:22">
      <c r="G152" s="14" t="s">
        <v>977</v>
      </c>
      <c r="H152" s="15" t="s">
        <v>978</v>
      </c>
      <c r="U152" s="30" t="s">
        <v>979</v>
      </c>
      <c r="V152" s="15" t="s">
        <v>980</v>
      </c>
    </row>
    <row r="153" spans="7:22">
      <c r="G153" s="14" t="s">
        <v>981</v>
      </c>
      <c r="H153" s="15" t="s">
        <v>982</v>
      </c>
      <c r="U153" s="30" t="s">
        <v>983</v>
      </c>
      <c r="V153" s="15" t="s">
        <v>984</v>
      </c>
    </row>
    <row r="154" spans="7:22">
      <c r="G154" s="14" t="s">
        <v>985</v>
      </c>
      <c r="H154" s="15" t="s">
        <v>986</v>
      </c>
      <c r="U154" s="30" t="s">
        <v>987</v>
      </c>
      <c r="V154" s="15" t="s">
        <v>988</v>
      </c>
    </row>
    <row r="155" spans="7:22">
      <c r="G155" s="14" t="s">
        <v>989</v>
      </c>
      <c r="H155" s="15" t="s">
        <v>990</v>
      </c>
      <c r="U155" s="30" t="s">
        <v>991</v>
      </c>
      <c r="V155" s="15" t="s">
        <v>992</v>
      </c>
    </row>
    <row r="156" spans="7:22">
      <c r="G156" s="14" t="s">
        <v>993</v>
      </c>
      <c r="H156" s="15" t="s">
        <v>994</v>
      </c>
      <c r="U156" s="30" t="s">
        <v>995</v>
      </c>
      <c r="V156" s="15" t="s">
        <v>996</v>
      </c>
    </row>
    <row r="157" spans="7:22">
      <c r="G157" s="14" t="s">
        <v>997</v>
      </c>
      <c r="H157" s="15" t="s">
        <v>998</v>
      </c>
      <c r="U157" s="30" t="s">
        <v>999</v>
      </c>
      <c r="V157" s="15" t="s">
        <v>1000</v>
      </c>
    </row>
    <row r="158" spans="7:22">
      <c r="G158" s="14" t="s">
        <v>1001</v>
      </c>
      <c r="H158" s="15" t="s">
        <v>1002</v>
      </c>
      <c r="U158" s="30" t="s">
        <v>1003</v>
      </c>
      <c r="V158" s="15" t="s">
        <v>1004</v>
      </c>
    </row>
    <row r="159" spans="7:22">
      <c r="G159" s="14" t="s">
        <v>1005</v>
      </c>
      <c r="H159" s="15" t="s">
        <v>1006</v>
      </c>
      <c r="U159" s="30" t="s">
        <v>1007</v>
      </c>
      <c r="V159" s="15" t="s">
        <v>1008</v>
      </c>
    </row>
    <row r="160" spans="7:22">
      <c r="G160" s="14" t="s">
        <v>1009</v>
      </c>
      <c r="H160" s="15" t="s">
        <v>1010</v>
      </c>
      <c r="U160" s="30" t="s">
        <v>1011</v>
      </c>
      <c r="V160" s="15" t="s">
        <v>1012</v>
      </c>
    </row>
    <row r="161" spans="7:22">
      <c r="G161" s="14" t="s">
        <v>1013</v>
      </c>
      <c r="H161" s="15" t="s">
        <v>1014</v>
      </c>
      <c r="U161" s="30" t="s">
        <v>1015</v>
      </c>
      <c r="V161" s="15" t="s">
        <v>1016</v>
      </c>
    </row>
    <row r="162" spans="7:22">
      <c r="G162" s="14" t="s">
        <v>1017</v>
      </c>
      <c r="H162" s="15" t="s">
        <v>1018</v>
      </c>
      <c r="U162" s="30" t="s">
        <v>1019</v>
      </c>
      <c r="V162" s="15" t="s">
        <v>1020</v>
      </c>
    </row>
    <row r="163" spans="7:22">
      <c r="G163" s="14" t="s">
        <v>1021</v>
      </c>
      <c r="H163" s="15" t="s">
        <v>1022</v>
      </c>
      <c r="U163" s="30" t="s">
        <v>1023</v>
      </c>
      <c r="V163" s="15" t="s">
        <v>1024</v>
      </c>
    </row>
    <row r="164" spans="7:22">
      <c r="G164" s="14" t="s">
        <v>1025</v>
      </c>
      <c r="H164" s="15" t="s">
        <v>1026</v>
      </c>
      <c r="U164" s="30" t="s">
        <v>1027</v>
      </c>
      <c r="V164" s="15" t="s">
        <v>1028</v>
      </c>
    </row>
    <row r="165" spans="7:22">
      <c r="G165" s="14" t="s">
        <v>1029</v>
      </c>
      <c r="H165" s="15" t="s">
        <v>1030</v>
      </c>
      <c r="U165" s="30" t="s">
        <v>1031</v>
      </c>
      <c r="V165" s="15" t="s">
        <v>1032</v>
      </c>
    </row>
    <row r="166" spans="7:22">
      <c r="G166" s="14" t="s">
        <v>1033</v>
      </c>
      <c r="H166" s="15" t="s">
        <v>1034</v>
      </c>
      <c r="U166" s="30" t="s">
        <v>1035</v>
      </c>
      <c r="V166" s="15" t="s">
        <v>1036</v>
      </c>
    </row>
    <row r="167" spans="7:22">
      <c r="G167" s="14" t="s">
        <v>1037</v>
      </c>
      <c r="H167" s="15" t="s">
        <v>1038</v>
      </c>
      <c r="U167" s="30" t="s">
        <v>1039</v>
      </c>
      <c r="V167" s="15" t="s">
        <v>1040</v>
      </c>
    </row>
    <row r="168" spans="7:22">
      <c r="G168" s="14" t="s">
        <v>1041</v>
      </c>
      <c r="H168" s="15" t="s">
        <v>1042</v>
      </c>
      <c r="U168" s="30" t="s">
        <v>1043</v>
      </c>
      <c r="V168" s="15" t="s">
        <v>1044</v>
      </c>
    </row>
    <row r="169" spans="7:22">
      <c r="G169" s="14" t="s">
        <v>1045</v>
      </c>
      <c r="H169" s="15" t="s">
        <v>1046</v>
      </c>
      <c r="U169" s="30" t="s">
        <v>1047</v>
      </c>
      <c r="V169" s="15" t="s">
        <v>1048</v>
      </c>
    </row>
    <row r="170" spans="7:22">
      <c r="G170" s="14" t="s">
        <v>1049</v>
      </c>
      <c r="H170" s="15" t="s">
        <v>1050</v>
      </c>
      <c r="U170" s="30" t="s">
        <v>1051</v>
      </c>
      <c r="V170" s="15" t="s">
        <v>1052</v>
      </c>
    </row>
    <row r="171" spans="7:22">
      <c r="G171" s="14" t="s">
        <v>72</v>
      </c>
      <c r="H171" s="15" t="s">
        <v>1053</v>
      </c>
      <c r="U171" s="30" t="s">
        <v>1054</v>
      </c>
      <c r="V171" s="15" t="s">
        <v>1055</v>
      </c>
    </row>
    <row r="172" spans="7:22">
      <c r="G172" s="14" t="s">
        <v>1056</v>
      </c>
      <c r="H172" s="15" t="s">
        <v>1057</v>
      </c>
      <c r="U172" s="46" t="s">
        <v>1058</v>
      </c>
      <c r="V172" s="46" t="s">
        <v>196</v>
      </c>
    </row>
    <row r="173" spans="7:22">
      <c r="G173" s="14" t="s">
        <v>1059</v>
      </c>
      <c r="H173" s="15" t="s">
        <v>1060</v>
      </c>
      <c r="U173" s="46" t="s">
        <v>1061</v>
      </c>
      <c r="V173" s="46" t="s">
        <v>1062</v>
      </c>
    </row>
    <row r="174" spans="7:22">
      <c r="G174" s="14" t="s">
        <v>1063</v>
      </c>
      <c r="H174" s="15" t="s">
        <v>1064</v>
      </c>
      <c r="U174" s="46" t="s">
        <v>1065</v>
      </c>
      <c r="V174" s="46" t="s">
        <v>1066</v>
      </c>
    </row>
    <row r="175" spans="7:22">
      <c r="G175" s="14" t="s">
        <v>1067</v>
      </c>
      <c r="H175" s="15" t="s">
        <v>1068</v>
      </c>
      <c r="U175" s="46" t="s">
        <v>1069</v>
      </c>
      <c r="V175" s="46" t="s">
        <v>1070</v>
      </c>
    </row>
    <row r="176" spans="7:8">
      <c r="G176" s="14" t="s">
        <v>1071</v>
      </c>
      <c r="H176" s="15" t="s">
        <v>1072</v>
      </c>
    </row>
    <row r="177" spans="7:8">
      <c r="G177" s="14" t="s">
        <v>1073</v>
      </c>
      <c r="H177" s="15" t="s">
        <v>1074</v>
      </c>
    </row>
    <row r="178" spans="7:8">
      <c r="G178" s="14" t="s">
        <v>1075</v>
      </c>
      <c r="H178" s="15" t="s">
        <v>1076</v>
      </c>
    </row>
    <row r="179" spans="7:8">
      <c r="G179" s="14" t="s">
        <v>1077</v>
      </c>
      <c r="H179" s="15" t="s">
        <v>1078</v>
      </c>
    </row>
    <row r="180" spans="7:8">
      <c r="G180" s="14" t="s">
        <v>1079</v>
      </c>
      <c r="H180" s="15" t="s">
        <v>1080</v>
      </c>
    </row>
    <row r="181" spans="7:8">
      <c r="G181" s="14" t="s">
        <v>1081</v>
      </c>
      <c r="H181" s="15" t="s">
        <v>1082</v>
      </c>
    </row>
    <row r="182" spans="7:8">
      <c r="G182" s="14" t="s">
        <v>1083</v>
      </c>
      <c r="H182" s="15" t="s">
        <v>1084</v>
      </c>
    </row>
    <row r="183" spans="7:8">
      <c r="G183" s="14" t="s">
        <v>1085</v>
      </c>
      <c r="H183" s="15" t="s">
        <v>1086</v>
      </c>
    </row>
    <row r="184" spans="7:8">
      <c r="G184" s="14" t="s">
        <v>1087</v>
      </c>
      <c r="H184" s="15" t="s">
        <v>1088</v>
      </c>
    </row>
    <row r="185" spans="7:8">
      <c r="G185" s="14" t="s">
        <v>1089</v>
      </c>
      <c r="H185" s="15" t="s">
        <v>1090</v>
      </c>
    </row>
    <row r="186" spans="7:8">
      <c r="G186" s="14" t="s">
        <v>1091</v>
      </c>
      <c r="H186" s="15" t="s">
        <v>1092</v>
      </c>
    </row>
    <row r="187" spans="7:8">
      <c r="G187" s="14" t="s">
        <v>1093</v>
      </c>
      <c r="H187" s="15" t="s">
        <v>1094</v>
      </c>
    </row>
    <row r="188" spans="7:8">
      <c r="G188" s="14" t="s">
        <v>1095</v>
      </c>
      <c r="H188" s="15" t="s">
        <v>1096</v>
      </c>
    </row>
    <row r="189" spans="7:8">
      <c r="G189" s="14" t="s">
        <v>1097</v>
      </c>
      <c r="H189" s="15" t="s">
        <v>1098</v>
      </c>
    </row>
    <row r="190" spans="7:8">
      <c r="G190" s="14" t="s">
        <v>1099</v>
      </c>
      <c r="H190" s="15" t="s">
        <v>1100</v>
      </c>
    </row>
    <row r="191" spans="7:8">
      <c r="G191" s="14" t="s">
        <v>1101</v>
      </c>
      <c r="H191" s="15" t="s">
        <v>1102</v>
      </c>
    </row>
    <row r="192" spans="7:8">
      <c r="G192" s="14" t="s">
        <v>1103</v>
      </c>
      <c r="H192" s="15" t="s">
        <v>1104</v>
      </c>
    </row>
    <row r="193" spans="7:8">
      <c r="G193" s="14" t="s">
        <v>1105</v>
      </c>
      <c r="H193" s="15" t="s">
        <v>1106</v>
      </c>
    </row>
    <row r="194" spans="7:8">
      <c r="G194" s="14" t="s">
        <v>1107</v>
      </c>
      <c r="H194" s="15" t="s">
        <v>1108</v>
      </c>
    </row>
    <row r="195" spans="7:8">
      <c r="G195" s="14" t="s">
        <v>1109</v>
      </c>
      <c r="H195" s="15" t="s">
        <v>1110</v>
      </c>
    </row>
    <row r="196" spans="7:8">
      <c r="G196" s="14" t="s">
        <v>1111</v>
      </c>
      <c r="H196" s="15" t="s">
        <v>1112</v>
      </c>
    </row>
    <row r="197" spans="7:8">
      <c r="G197" s="14" t="s">
        <v>1113</v>
      </c>
      <c r="H197" s="15" t="s">
        <v>1114</v>
      </c>
    </row>
    <row r="198" spans="7:8">
      <c r="G198" s="14" t="s">
        <v>1115</v>
      </c>
      <c r="H198" s="15" t="s">
        <v>1116</v>
      </c>
    </row>
    <row r="199" spans="7:8">
      <c r="G199" s="14" t="s">
        <v>1117</v>
      </c>
      <c r="H199" s="15" t="s">
        <v>1118</v>
      </c>
    </row>
    <row r="200" spans="7:8">
      <c r="G200" s="14" t="s">
        <v>1119</v>
      </c>
      <c r="H200" s="15" t="s">
        <v>1120</v>
      </c>
    </row>
    <row r="201" spans="7:8">
      <c r="G201" s="14" t="s">
        <v>1121</v>
      </c>
      <c r="H201" s="15" t="s">
        <v>1122</v>
      </c>
    </row>
    <row r="202" spans="7:8">
      <c r="G202" s="14" t="s">
        <v>1123</v>
      </c>
      <c r="H202" s="15" t="s">
        <v>1124</v>
      </c>
    </row>
    <row r="203" spans="7:8">
      <c r="G203" s="14" t="s">
        <v>1125</v>
      </c>
      <c r="H203" s="15" t="s">
        <v>1126</v>
      </c>
    </row>
    <row r="204" spans="7:8">
      <c r="G204" s="14" t="s">
        <v>1127</v>
      </c>
      <c r="H204" s="15" t="s">
        <v>1128</v>
      </c>
    </row>
    <row r="205" spans="7:8">
      <c r="G205" s="14" t="s">
        <v>1129</v>
      </c>
      <c r="H205" s="15" t="s">
        <v>1130</v>
      </c>
    </row>
    <row r="206" spans="7:8">
      <c r="G206" s="14" t="s">
        <v>1131</v>
      </c>
      <c r="H206" s="15" t="s">
        <v>1132</v>
      </c>
    </row>
    <row r="207" spans="7:8">
      <c r="G207" s="14" t="s">
        <v>1133</v>
      </c>
      <c r="H207" s="15" t="s">
        <v>1134</v>
      </c>
    </row>
    <row r="208" spans="7:8">
      <c r="G208" s="14" t="s">
        <v>1135</v>
      </c>
      <c r="H208" s="15" t="s">
        <v>1136</v>
      </c>
    </row>
    <row r="209" spans="7:8">
      <c r="G209" s="14" t="s">
        <v>1137</v>
      </c>
      <c r="H209" s="15" t="s">
        <v>1138</v>
      </c>
    </row>
    <row r="210" spans="7:8">
      <c r="G210" s="14" t="s">
        <v>1139</v>
      </c>
      <c r="H210" s="15" t="s">
        <v>1140</v>
      </c>
    </row>
    <row r="211" spans="7:8">
      <c r="G211" s="14" t="s">
        <v>1141</v>
      </c>
      <c r="H211" s="15" t="s">
        <v>1142</v>
      </c>
    </row>
    <row r="212" spans="7:8">
      <c r="G212" s="14" t="s">
        <v>1143</v>
      </c>
      <c r="H212" s="15" t="s">
        <v>1144</v>
      </c>
    </row>
    <row r="213" spans="7:8">
      <c r="G213" s="14" t="s">
        <v>1145</v>
      </c>
      <c r="H213" s="15" t="s">
        <v>1146</v>
      </c>
    </row>
    <row r="214" spans="7:8">
      <c r="G214" s="14" t="s">
        <v>1147</v>
      </c>
      <c r="H214" s="15" t="s">
        <v>1148</v>
      </c>
    </row>
    <row r="215" spans="7:8">
      <c r="G215" s="14" t="s">
        <v>1149</v>
      </c>
      <c r="H215" s="15" t="s">
        <v>1150</v>
      </c>
    </row>
    <row r="216" spans="7:8">
      <c r="G216" s="14" t="s">
        <v>1151</v>
      </c>
      <c r="H216" s="15" t="s">
        <v>1152</v>
      </c>
    </row>
    <row r="217" spans="7:8">
      <c r="G217" s="14" t="s">
        <v>1153</v>
      </c>
      <c r="H217" s="15" t="s">
        <v>1154</v>
      </c>
    </row>
    <row r="218" spans="7:8">
      <c r="G218" s="14" t="s">
        <v>1155</v>
      </c>
      <c r="H218" s="15" t="s">
        <v>1156</v>
      </c>
    </row>
    <row r="219" spans="7:8">
      <c r="G219" s="14" t="s">
        <v>1157</v>
      </c>
      <c r="H219" s="15" t="s">
        <v>1158</v>
      </c>
    </row>
    <row r="220" spans="7:8">
      <c r="G220" s="14" t="s">
        <v>1159</v>
      </c>
      <c r="H220" s="15" t="s">
        <v>1160</v>
      </c>
    </row>
    <row r="221" spans="7:8">
      <c r="G221" s="14" t="s">
        <v>1161</v>
      </c>
      <c r="H221" s="15" t="s">
        <v>1162</v>
      </c>
    </row>
    <row r="222" spans="7:8">
      <c r="G222" s="14" t="s">
        <v>1163</v>
      </c>
      <c r="H222" s="15" t="s">
        <v>1164</v>
      </c>
    </row>
    <row r="223" spans="7:8">
      <c r="G223" s="14" t="s">
        <v>1165</v>
      </c>
      <c r="H223" s="15" t="s">
        <v>1166</v>
      </c>
    </row>
    <row r="224" spans="7:8">
      <c r="G224" s="14" t="s">
        <v>1167</v>
      </c>
      <c r="H224" s="15" t="s">
        <v>1168</v>
      </c>
    </row>
    <row r="225" spans="7:8">
      <c r="G225" s="14" t="s">
        <v>1169</v>
      </c>
      <c r="H225" s="15" t="s">
        <v>1170</v>
      </c>
    </row>
    <row r="226" spans="7:8">
      <c r="G226" s="14" t="s">
        <v>1171</v>
      </c>
      <c r="H226" s="15" t="s">
        <v>1172</v>
      </c>
    </row>
    <row r="227" spans="7:8">
      <c r="G227" s="14" t="s">
        <v>1173</v>
      </c>
      <c r="H227" s="15" t="s">
        <v>1174</v>
      </c>
    </row>
    <row r="228" spans="7:8">
      <c r="G228" s="14" t="s">
        <v>1175</v>
      </c>
      <c r="H228" s="15" t="s">
        <v>1176</v>
      </c>
    </row>
    <row r="229" spans="7:8">
      <c r="G229" s="14" t="s">
        <v>1177</v>
      </c>
      <c r="H229" s="15" t="s">
        <v>1178</v>
      </c>
    </row>
    <row r="230" spans="7:8">
      <c r="G230" s="14" t="s">
        <v>1179</v>
      </c>
      <c r="H230" s="15" t="s">
        <v>1180</v>
      </c>
    </row>
    <row r="231" spans="7:8">
      <c r="G231" s="14" t="s">
        <v>1181</v>
      </c>
      <c r="H231" s="15" t="s">
        <v>1182</v>
      </c>
    </row>
    <row r="232" spans="7:8">
      <c r="G232" s="14" t="s">
        <v>1183</v>
      </c>
      <c r="H232" s="15" t="s">
        <v>1184</v>
      </c>
    </row>
    <row r="233" spans="7:8">
      <c r="G233" s="14" t="s">
        <v>1185</v>
      </c>
      <c r="H233" s="15" t="s">
        <v>1186</v>
      </c>
    </row>
    <row r="234" spans="7:8">
      <c r="G234" s="14" t="s">
        <v>1187</v>
      </c>
      <c r="H234" s="15" t="s">
        <v>1188</v>
      </c>
    </row>
    <row r="235" spans="7:8">
      <c r="G235" s="14" t="s">
        <v>1189</v>
      </c>
      <c r="H235" s="15" t="s">
        <v>1190</v>
      </c>
    </row>
    <row r="236" spans="7:8">
      <c r="G236" s="14" t="s">
        <v>1191</v>
      </c>
      <c r="H236" s="15" t="s">
        <v>1192</v>
      </c>
    </row>
    <row r="237" spans="7:8">
      <c r="G237" s="14" t="s">
        <v>1193</v>
      </c>
      <c r="H237" s="15" t="s">
        <v>1194</v>
      </c>
    </row>
    <row r="238" spans="7:8">
      <c r="G238" s="14" t="s">
        <v>1195</v>
      </c>
      <c r="H238" s="15" t="s">
        <v>1196</v>
      </c>
    </row>
    <row r="239" spans="7:8">
      <c r="G239" s="14" t="s">
        <v>1197</v>
      </c>
      <c r="H239" s="15" t="s">
        <v>1198</v>
      </c>
    </row>
    <row r="240" spans="7:8">
      <c r="G240" s="14" t="s">
        <v>1199</v>
      </c>
      <c r="H240" s="15" t="s">
        <v>1200</v>
      </c>
    </row>
    <row r="241" spans="7:8">
      <c r="G241" s="14" t="s">
        <v>1201</v>
      </c>
      <c r="H241" s="15" t="s">
        <v>1202</v>
      </c>
    </row>
    <row r="242" spans="7:8">
      <c r="G242" s="14" t="s">
        <v>1203</v>
      </c>
      <c r="H242" s="15" t="s">
        <v>1204</v>
      </c>
    </row>
    <row r="243" spans="7:8">
      <c r="G243" s="14" t="s">
        <v>1205</v>
      </c>
      <c r="H243" s="15" t="s">
        <v>1206</v>
      </c>
    </row>
    <row r="244" spans="7:8">
      <c r="G244" s="14" t="s">
        <v>1207</v>
      </c>
      <c r="H244" s="15" t="s">
        <v>1208</v>
      </c>
    </row>
    <row r="245" spans="7:8">
      <c r="G245" s="14" t="s">
        <v>1209</v>
      </c>
      <c r="H245" s="15" t="s">
        <v>1210</v>
      </c>
    </row>
    <row r="246" spans="7:8">
      <c r="G246" s="14" t="s">
        <v>1211</v>
      </c>
      <c r="H246" s="15" t="s">
        <v>1212</v>
      </c>
    </row>
    <row r="247" spans="7:8">
      <c r="G247" s="14" t="s">
        <v>1213</v>
      </c>
      <c r="H247" s="15" t="s">
        <v>1214</v>
      </c>
    </row>
    <row r="248" spans="7:8">
      <c r="G248" s="14" t="s">
        <v>1215</v>
      </c>
      <c r="H248" s="15" t="s">
        <v>1216</v>
      </c>
    </row>
    <row r="249" spans="7:8">
      <c r="G249" s="14" t="s">
        <v>1217</v>
      </c>
      <c r="H249" s="15" t="s">
        <v>1218</v>
      </c>
    </row>
    <row r="250" spans="7:8">
      <c r="G250" s="14" t="s">
        <v>1219</v>
      </c>
      <c r="H250" s="15" t="s">
        <v>1220</v>
      </c>
    </row>
    <row r="251" spans="7:8">
      <c r="G251" s="14" t="s">
        <v>1221</v>
      </c>
      <c r="H251" s="15" t="s">
        <v>1222</v>
      </c>
    </row>
    <row r="252" spans="7:8">
      <c r="G252" s="14" t="s">
        <v>1223</v>
      </c>
      <c r="H252" s="15" t="s">
        <v>1224</v>
      </c>
    </row>
    <row r="253" spans="7:8">
      <c r="G253" s="14" t="s">
        <v>1225</v>
      </c>
      <c r="H253" s="15" t="s">
        <v>1226</v>
      </c>
    </row>
    <row r="254" spans="7:8">
      <c r="G254" s="14" t="s">
        <v>1227</v>
      </c>
      <c r="H254" s="15" t="s">
        <v>1228</v>
      </c>
    </row>
    <row r="255" spans="7:8">
      <c r="G255" s="14" t="s">
        <v>1229</v>
      </c>
      <c r="H255" s="15" t="s">
        <v>1230</v>
      </c>
    </row>
    <row r="256" spans="7:8">
      <c r="G256" s="14" t="s">
        <v>1231</v>
      </c>
      <c r="H256" s="15" t="s">
        <v>1232</v>
      </c>
    </row>
    <row r="257" spans="7:8">
      <c r="G257" s="14" t="s">
        <v>1233</v>
      </c>
      <c r="H257" s="15" t="s">
        <v>1234</v>
      </c>
    </row>
    <row r="258" spans="7:8">
      <c r="G258" s="14" t="s">
        <v>1235</v>
      </c>
      <c r="H258" s="15" t="s">
        <v>1236</v>
      </c>
    </row>
    <row r="259" spans="7:8">
      <c r="G259" s="14" t="s">
        <v>1237</v>
      </c>
      <c r="H259" s="15" t="s">
        <v>1238</v>
      </c>
    </row>
    <row r="260" spans="7:8">
      <c r="G260" s="14" t="s">
        <v>1239</v>
      </c>
      <c r="H260" s="15" t="s">
        <v>1240</v>
      </c>
    </row>
    <row r="261" spans="7:8">
      <c r="G261" s="14" t="s">
        <v>1241</v>
      </c>
      <c r="H261" s="15" t="s">
        <v>1242</v>
      </c>
    </row>
  </sheetData>
  <mergeCells count="16">
    <mergeCell ref="A1:B1"/>
    <mergeCell ref="D1:E1"/>
    <mergeCell ref="G1:H1"/>
    <mergeCell ref="J1:M1"/>
    <mergeCell ref="O1:P1"/>
    <mergeCell ref="R1:S1"/>
    <mergeCell ref="U1:V1"/>
    <mergeCell ref="X1:Y1"/>
    <mergeCell ref="X3:X15"/>
    <mergeCell ref="X17:X23"/>
    <mergeCell ref="X24:X36"/>
    <mergeCell ref="X37:X38"/>
    <mergeCell ref="X39:X40"/>
    <mergeCell ref="X41:X42"/>
    <mergeCell ref="X43:X44"/>
    <mergeCell ref="X45:X46"/>
  </mergeCells>
  <pageMargins left="0.7" right="0.7" top="0.75" bottom="0.75" header="0.3" footer="0.3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BRF81</vt:lpstr>
      <vt:lpstr>Drop_Down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2023-10-26T10:46:06Z</dcterms:created>
  <dcterms:modified xsi:type="dcterms:W3CDTF">2024-02-22T06:38:37Z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29ADD1D77C0C435F9D75AAA74BA9279E_13</vt:lpwstr>
  </property>
  <property fmtid="{D5CDD505-2E9C-101B-9397-08002B2CF9AE}" pid="3" name="KSOProductBuildVer">
    <vt:lpwstr>1033-12.2.0.13431</vt:lpwstr>
  </property>
</Properties>
</file>