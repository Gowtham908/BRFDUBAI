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70- EMPLOYMENT DATA" sheetId="1" r:id="rId1"/>
  </sheets>
  <externalReferences>
    <externalReference r:id="rId2"/>
  </externalReferences>
  <definedNames>
    <definedName name="_8.1.1">#REF!</definedName>
    <definedName name="_xlnm.Print_Area" localSheetId="0">'BRF 70- EMPLOYMENT DATA'!$A$2:$Q$27</definedName>
  </definedNames>
  <calcPr calcId="144525"/>
</workbook>
</file>

<file path=xl/sharedStrings.xml><?xml version="1.0" encoding="utf-8"?>
<sst xmlns="http://schemas.openxmlformats.org/spreadsheetml/2006/main" count="48" uniqueCount="38">
  <si>
    <t xml:space="preserve"> BANKING AND MONETARY STATISTICS- EMPLOYMENT  DATA - BRF 70(AED 000)</t>
  </si>
  <si>
    <t>Template ID:</t>
  </si>
  <si>
    <t>4-70-2-0</t>
  </si>
  <si>
    <t xml:space="preserve">Name of Bank : </t>
  </si>
  <si>
    <t>Bank of Baroda</t>
  </si>
  <si>
    <t>Month End:</t>
  </si>
  <si>
    <t>S.N.</t>
  </si>
  <si>
    <t>Category</t>
  </si>
  <si>
    <t>UAE Nationals (Nos)</t>
  </si>
  <si>
    <t>Other Nationalities (Nos)</t>
  </si>
  <si>
    <t>Total</t>
  </si>
  <si>
    <t>Position of UAE Nationals last year, ending 31 December………</t>
  </si>
  <si>
    <t>% of UAE Nationals to Total</t>
  </si>
  <si>
    <r>
      <t xml:space="preserve">% increase in the number of UAE </t>
    </r>
    <r>
      <rPr>
        <sz val="8"/>
        <rFont val="Arial"/>
        <family val="2"/>
        <charset val="0"/>
      </rPr>
      <t>N</t>
    </r>
    <r>
      <rPr>
        <b/>
        <sz val="8"/>
        <rFont val="Arial"/>
        <family val="2"/>
        <charset val="0"/>
      </rPr>
      <t>ationals since 31 December last year</t>
    </r>
  </si>
  <si>
    <t>No of UAE Nationals resigned/left during the year</t>
  </si>
  <si>
    <t>No of UAE Nationals joined during the year</t>
  </si>
  <si>
    <t>Male</t>
  </si>
  <si>
    <t>Female</t>
  </si>
  <si>
    <r>
      <t>Senior Management</t>
    </r>
    <r>
      <rPr>
        <vertAlign val="superscript"/>
        <sz val="8"/>
        <rFont val="Arial"/>
        <family val="2"/>
        <charset val="0"/>
      </rPr>
      <t>1</t>
    </r>
  </si>
  <si>
    <r>
      <t>Middle Management</t>
    </r>
    <r>
      <rPr>
        <vertAlign val="superscript"/>
        <sz val="8"/>
        <rFont val="Arial"/>
        <family val="2"/>
        <charset val="0"/>
      </rPr>
      <t>2</t>
    </r>
  </si>
  <si>
    <r>
      <t>Branch Managers</t>
    </r>
    <r>
      <rPr>
        <vertAlign val="superscript"/>
        <sz val="8"/>
        <rFont val="Arial"/>
        <family val="2"/>
        <charset val="0"/>
      </rPr>
      <t>3</t>
    </r>
  </si>
  <si>
    <r>
      <t>Junior Management</t>
    </r>
    <r>
      <rPr>
        <vertAlign val="superscript"/>
        <sz val="8"/>
        <rFont val="Arial"/>
        <family val="2"/>
        <charset val="0"/>
      </rPr>
      <t>4</t>
    </r>
  </si>
  <si>
    <t>Bank Employees (Other officers, clerks, cashiers)</t>
  </si>
  <si>
    <t>Auxiliary Staff (messengers, drivers, maintenance)</t>
  </si>
  <si>
    <t>Total Employees</t>
  </si>
  <si>
    <r>
      <t>Outsourced staff</t>
    </r>
    <r>
      <rPr>
        <vertAlign val="superscript"/>
        <sz val="8"/>
        <rFont val="Arial"/>
        <family val="2"/>
        <charset val="0"/>
      </rPr>
      <t>5</t>
    </r>
  </si>
  <si>
    <r>
      <t>Total number of employees trained (items 1-5 only) YTD</t>
    </r>
    <r>
      <rPr>
        <vertAlign val="superscript"/>
        <sz val="8"/>
        <rFont val="Arial"/>
        <family val="2"/>
        <charset val="0"/>
      </rPr>
      <t>6</t>
    </r>
  </si>
  <si>
    <t>Total Expenses YTD for (9) above</t>
  </si>
  <si>
    <r>
      <t>Average Training Man days</t>
    </r>
    <r>
      <rPr>
        <vertAlign val="superscript"/>
        <sz val="8"/>
        <rFont val="Arial"/>
        <family val="2"/>
        <charset val="0"/>
      </rPr>
      <t>7</t>
    </r>
    <r>
      <rPr>
        <sz val="8"/>
        <rFont val="Arial"/>
        <family val="2"/>
        <charset val="0"/>
      </rPr>
      <t xml:space="preserve"> (YTD) per employee for (1) above</t>
    </r>
  </si>
  <si>
    <t>Average Training Man days (YTD) per employee for (2) above</t>
  </si>
  <si>
    <t>Average Training Man days (YTD) per employee for (3) above</t>
  </si>
  <si>
    <t>Average Training Man days (YTD) per employee for (4) above</t>
  </si>
  <si>
    <t>Note: 1. Senior Management include CEO, Dy.CEO, Head of Audit and other Department Heads whom reports directly to CEO or Board Committees/Board or Head Office of Foreign Bank.</t>
  </si>
  <si>
    <t>2. Middle Management include all department managers or unit heads, Zonal/Regional Head  not reported above, excluding Branch Managers and Junior Managers.</t>
  </si>
  <si>
    <t>3. Branch Managers include Head of all Branches in UAE &amp; Team Leaders in other back office units.</t>
  </si>
  <si>
    <t>4. Junior Managers will include all other supervisory staff who are not included above working in Head Office, Zonal offices, Regional Offices, Back office operations, call centres etc.</t>
  </si>
  <si>
    <t>5. Outsourced staff defined as staff working exclusively for the bank. 6. YTD is year to Date information(cumulative position). 7. Man days is actual working hours in a day.</t>
  </si>
  <si>
    <t>FORM NO: BSD/BRF70-Employment Data/ DEC14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</si>
</sst>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0"/>
  </numFmts>
  <fonts count="27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b/>
      <sz val="9"/>
      <name val="Arial"/>
      <family val="2"/>
      <charset val="0"/>
    </font>
    <font>
      <sz val="8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vertAlign val="superscript"/>
      <sz val="8"/>
      <name val="Arial"/>
      <family val="2"/>
      <charset val="0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11" borderId="12" applyNumberFormat="0" applyAlignment="0" applyProtection="0"/>
    <xf numFmtId="0" fontId="14" fillId="12" borderId="13" applyNumberFormat="0" applyAlignment="0" applyProtection="0"/>
    <xf numFmtId="0" fontId="15" fillId="12" borderId="12" applyNumberFormat="0" applyAlignment="0" applyProtection="0"/>
    <xf numFmtId="0" fontId="16" fillId="13" borderId="14" applyNumberFormat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9" fillId="14" borderId="0" applyNumberFormat="0" applyBorder="0" applyAlignment="0" applyProtection="0"/>
    <xf numFmtId="0" fontId="20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0" fillId="38" borderId="0" applyNumberFormat="0" applyBorder="0" applyAlignment="0" applyProtection="0"/>
    <xf numFmtId="0" fontId="0" fillId="39" borderId="0" applyNumberFormat="0" applyBorder="0" applyAlignment="0" applyProtection="0"/>
    <xf numFmtId="0" fontId="22" fillId="40" borderId="0" applyNumberFormat="0" applyBorder="0" applyAlignment="0" applyProtection="0"/>
    <xf numFmtId="43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3" fillId="0" borderId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50" applyFont="1" applyBorder="1"/>
    <xf numFmtId="0" fontId="1" fillId="2" borderId="0" xfId="50" applyFont="1" applyFill="1" applyBorder="1"/>
    <xf numFmtId="0" fontId="2" fillId="3" borderId="1" xfId="54" applyFont="1" applyFill="1" applyBorder="1" applyAlignment="1">
      <alignment horizontal="center"/>
    </xf>
    <xf numFmtId="0" fontId="3" fillId="4" borderId="1" xfId="50" applyFont="1" applyFill="1" applyBorder="1" applyAlignment="1" applyProtection="1"/>
    <xf numFmtId="15" fontId="2" fillId="0" borderId="1" xfId="51" applyNumberFormat="1" applyFont="1" applyFill="1" applyBorder="1" applyAlignment="1" applyProtection="1"/>
    <xf numFmtId="15" fontId="2" fillId="0" borderId="1" xfId="51" applyNumberFormat="1" applyFont="1" applyFill="1" applyBorder="1" applyAlignment="1" applyProtection="1">
      <alignment horizontal="center"/>
    </xf>
    <xf numFmtId="15" fontId="3" fillId="4" borderId="1" xfId="51" applyNumberFormat="1" applyFont="1" applyFill="1" applyBorder="1" applyAlignment="1" applyProtection="1">
      <alignment horizontal="left"/>
    </xf>
    <xf numFmtId="0" fontId="3" fillId="4" borderId="1" xfId="51" applyFont="1" applyFill="1" applyBorder="1" applyProtection="1"/>
    <xf numFmtId="0" fontId="2" fillId="5" borderId="2" xfId="51" applyFont="1" applyFill="1" applyBorder="1" applyAlignment="1" applyProtection="1">
      <alignment horizontal="center"/>
    </xf>
    <xf numFmtId="0" fontId="2" fillId="5" borderId="3" xfId="51" applyFont="1" applyFill="1" applyBorder="1" applyAlignment="1" applyProtection="1">
      <alignment horizontal="center"/>
    </xf>
    <xf numFmtId="0" fontId="2" fillId="6" borderId="1" xfId="50" applyFont="1" applyFill="1" applyBorder="1"/>
    <xf numFmtId="0" fontId="2" fillId="6" borderId="1" xfId="50" applyFont="1" applyFill="1" applyBorder="1" applyAlignment="1">
      <alignment horizontal="center"/>
    </xf>
    <xf numFmtId="0" fontId="2" fillId="6" borderId="1" xfId="50" applyFont="1" applyFill="1" applyBorder="1" applyAlignment="1">
      <alignment horizontal="center" wrapText="1"/>
    </xf>
    <xf numFmtId="0" fontId="1" fillId="7" borderId="1" xfId="50" applyFont="1" applyFill="1" applyBorder="1"/>
    <xf numFmtId="0" fontId="1" fillId="7" borderId="1" xfId="50" applyFont="1" applyFill="1" applyBorder="1" applyAlignment="1">
      <alignment wrapText="1"/>
    </xf>
    <xf numFmtId="3" fontId="1" fillId="0" borderId="1" xfId="50" applyNumberFormat="1" applyFont="1" applyFill="1" applyBorder="1" applyProtection="1">
      <protection locked="0"/>
    </xf>
    <xf numFmtId="1" fontId="1" fillId="0" borderId="1" xfId="62" applyNumberFormat="1" applyFont="1" applyFill="1" applyBorder="1" applyProtection="1">
      <protection locked="0"/>
    </xf>
    <xf numFmtId="1" fontId="1" fillId="8" borderId="1" xfId="62" applyNumberFormat="1" applyFont="1" applyFill="1" applyBorder="1" applyProtection="1"/>
    <xf numFmtId="0" fontId="1" fillId="7" borderId="0" xfId="50" applyFont="1" applyFill="1" applyBorder="1"/>
    <xf numFmtId="0" fontId="1" fillId="0" borderId="1" xfId="50" applyFont="1" applyBorder="1"/>
    <xf numFmtId="0" fontId="1" fillId="0" borderId="1" xfId="50" applyFont="1" applyBorder="1" applyAlignment="1">
      <alignment wrapText="1"/>
    </xf>
    <xf numFmtId="3" fontId="1" fillId="7" borderId="1" xfId="50" applyNumberFormat="1" applyFont="1" applyFill="1" applyBorder="1"/>
    <xf numFmtId="3" fontId="1" fillId="7" borderId="1" xfId="50" applyNumberFormat="1" applyFont="1" applyFill="1" applyBorder="1" applyProtection="1"/>
    <xf numFmtId="3" fontId="1" fillId="7" borderId="1" xfId="50" applyNumberFormat="1" applyFont="1" applyFill="1" applyBorder="1" applyProtection="1">
      <protection locked="0"/>
    </xf>
    <xf numFmtId="1" fontId="1" fillId="7" borderId="1" xfId="62" applyNumberFormat="1" applyFont="1" applyFill="1" applyBorder="1" applyProtection="1">
      <protection locked="0"/>
    </xf>
    <xf numFmtId="1" fontId="1" fillId="7" borderId="1" xfId="62" applyNumberFormat="1" applyFont="1" applyFill="1" applyBorder="1" applyProtection="1"/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1" fillId="7" borderId="2" xfId="50" applyFont="1" applyFill="1" applyBorder="1" applyAlignment="1">
      <alignment horizontal="left"/>
    </xf>
    <xf numFmtId="0" fontId="1" fillId="7" borderId="3" xfId="50" applyFont="1" applyFill="1" applyBorder="1" applyAlignment="1">
      <alignment horizontal="left"/>
    </xf>
    <xf numFmtId="0" fontId="1" fillId="7" borderId="4" xfId="50" applyFont="1" applyFill="1" applyBorder="1" applyAlignment="1">
      <alignment horizontal="left"/>
    </xf>
    <xf numFmtId="0" fontId="1" fillId="7" borderId="5" xfId="50" applyFont="1" applyFill="1" applyBorder="1" applyAlignment="1">
      <alignment horizontal="left"/>
    </xf>
    <xf numFmtId="0" fontId="4" fillId="7" borderId="2" xfId="6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/>
    </xf>
    <xf numFmtId="0" fontId="1" fillId="2" borderId="2" xfId="50" applyFont="1" applyFill="1" applyBorder="1" applyAlignment="1">
      <alignment horizontal="center"/>
    </xf>
    <xf numFmtId="0" fontId="1" fillId="2" borderId="3" xfId="50" applyFont="1" applyFill="1" applyBorder="1" applyAlignment="1">
      <alignment horizontal="center"/>
    </xf>
    <xf numFmtId="0" fontId="1" fillId="0" borderId="1" xfId="50" applyFont="1" applyBorder="1" applyProtection="1">
      <protection locked="0"/>
    </xf>
    <xf numFmtId="176" fontId="1" fillId="7" borderId="1" xfId="62" applyNumberFormat="1" applyFont="1" applyFill="1" applyBorder="1"/>
    <xf numFmtId="1" fontId="1" fillId="9" borderId="1" xfId="62" applyNumberFormat="1" applyFont="1" applyFill="1" applyBorder="1"/>
    <xf numFmtId="1" fontId="1" fillId="9" borderId="3" xfId="62" applyNumberFormat="1" applyFont="1" applyFill="1" applyBorder="1"/>
    <xf numFmtId="176" fontId="1" fillId="9" borderId="3" xfId="62" applyNumberFormat="1" applyFont="1" applyFill="1" applyBorder="1"/>
    <xf numFmtId="0" fontId="2" fillId="5" borderId="6" xfId="51" applyFont="1" applyFill="1" applyBorder="1" applyAlignment="1" applyProtection="1">
      <alignment horizontal="center"/>
    </xf>
    <xf numFmtId="1" fontId="1" fillId="9" borderId="6" xfId="62" applyNumberFormat="1" applyFont="1" applyFill="1" applyBorder="1"/>
    <xf numFmtId="0" fontId="1" fillId="7" borderId="6" xfId="50" applyFont="1" applyFill="1" applyBorder="1" applyAlignment="1">
      <alignment horizontal="left"/>
    </xf>
    <xf numFmtId="0" fontId="1" fillId="7" borderId="7" xfId="50" applyFont="1" applyFill="1" applyBorder="1" applyAlignment="1">
      <alignment horizontal="left"/>
    </xf>
    <xf numFmtId="0" fontId="1" fillId="2" borderId="6" xfId="50" applyFont="1" applyFill="1" applyBorder="1" applyAlignment="1">
      <alignment horizontal="center"/>
    </xf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UNB KEY INFORMATION REPORT 2011 Template1_Central Bank Returns - 31 December 2011" xfId="60"/>
    <cellStyle name="Percent 2" xfId="61"/>
    <cellStyle name="Percent 3" xfId="62"/>
  </cellStyles>
  <tableStyles count="0" defaultTableStyle="TableStyleMedium9" defaultPivotStyle="PivotStyleLight16"/>
  <colors>
    <mruColors>
      <color rgb="00FFFFFF"/>
      <color rgb="00BFBFBF"/>
      <color rgb="00808080"/>
      <color rgb="00C0C0C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8_9_13\New%20BRF%20Quarterly-%2008092013%20Formula%20Batch%20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67- DEP ANALYSIS"/>
      <sheetName val="BRF 68- EMPLOYMENT DATA"/>
      <sheetName val="BRF 69- OWNERSHIP &amp; MGT"/>
      <sheetName val="BRF 70 EMV Card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2"/>
    <pageSetUpPr fitToPage="1"/>
  </sheetPr>
  <dimension ref="A1:R29"/>
  <sheetViews>
    <sheetView showGridLines="0" tabSelected="1" zoomScaleSheetLayoutView="60" workbookViewId="0">
      <selection activeCell="C3" sqref="C3"/>
    </sheetView>
  </sheetViews>
  <sheetFormatPr defaultColWidth="0" defaultRowHeight="19.9" customHeight="1" zeroHeight="1"/>
  <cols>
    <col min="1" max="1" width="2.70909090909091" style="2" customWidth="1"/>
    <col min="2" max="2" width="13.4272727272727" style="2" customWidth="1"/>
    <col min="3" max="3" width="51.4272727272727" style="2" customWidth="1"/>
    <col min="4" max="4" width="8.70909090909091" style="2" customWidth="1"/>
    <col min="5" max="5" width="8.28181818181818" style="2" customWidth="1"/>
    <col min="6" max="6" width="6.42727272727273" style="2" customWidth="1"/>
    <col min="7" max="7" width="7.85454545454545" style="2" customWidth="1"/>
    <col min="8" max="8" width="7.57272727272727" style="2" customWidth="1"/>
    <col min="9" max="9" width="8.28181818181818" style="2" customWidth="1"/>
    <col min="10" max="10" width="6.70909090909091" style="2" customWidth="1"/>
    <col min="11" max="11" width="11.5727272727273" style="2" customWidth="1"/>
    <col min="12" max="12" width="9.42727272727273" style="2" customWidth="1"/>
    <col min="13" max="13" width="12.7090909090909" style="2" customWidth="1"/>
    <col min="14" max="14" width="6.57272727272727" style="2" customWidth="1"/>
    <col min="15" max="15" width="7.70909090909091" style="2" customWidth="1"/>
    <col min="16" max="16" width="5.28181818181818" style="2" customWidth="1"/>
    <col min="17" max="17" width="8" style="2" customWidth="1"/>
    <col min="18" max="18" width="4.28181818181818" style="2" customWidth="1"/>
    <col min="19" max="16384" width="0" style="2" hidden="1"/>
  </cols>
  <sheetData>
    <row r="1" s="1" customFormat="1" ht="18" customHeight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1" customFormat="1" customHeight="1" spans="2:17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1" customHeight="1" spans="2:17">
      <c r="B3" s="4" t="s">
        <v>1</v>
      </c>
      <c r="C3" s="5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="1" customFormat="1" customHeight="1" spans="2:17">
      <c r="B4" s="7" t="s">
        <v>3</v>
      </c>
      <c r="C4" s="5" t="s">
        <v>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="1" customFormat="1" customHeight="1" spans="2:17">
      <c r="B5" s="8" t="s">
        <v>5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="1" customFormat="1" customHeight="1" spans="2:17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42"/>
    </row>
    <row r="7" s="1" customFormat="1" ht="46.15" customHeight="1" spans="2:17">
      <c r="B7" s="11" t="s">
        <v>6</v>
      </c>
      <c r="C7" s="12" t="s">
        <v>7</v>
      </c>
      <c r="D7" s="12" t="s">
        <v>8</v>
      </c>
      <c r="E7" s="12"/>
      <c r="F7" s="13" t="s">
        <v>9</v>
      </c>
      <c r="G7" s="13"/>
      <c r="H7" s="12" t="s">
        <v>10</v>
      </c>
      <c r="I7" s="12"/>
      <c r="J7" s="13" t="s">
        <v>11</v>
      </c>
      <c r="K7" s="13"/>
      <c r="L7" s="13" t="s">
        <v>12</v>
      </c>
      <c r="M7" s="13" t="s">
        <v>13</v>
      </c>
      <c r="N7" s="13" t="s">
        <v>14</v>
      </c>
      <c r="O7" s="13"/>
      <c r="P7" s="13" t="s">
        <v>15</v>
      </c>
      <c r="Q7" s="13"/>
    </row>
    <row r="8" s="1" customFormat="1" customHeight="1" spans="2:17">
      <c r="B8" s="11"/>
      <c r="C8" s="12"/>
      <c r="D8" s="13" t="s">
        <v>16</v>
      </c>
      <c r="E8" s="13" t="s">
        <v>17</v>
      </c>
      <c r="F8" s="13" t="s">
        <v>16</v>
      </c>
      <c r="G8" s="13" t="s">
        <v>17</v>
      </c>
      <c r="H8" s="13" t="s">
        <v>16</v>
      </c>
      <c r="I8" s="13" t="s">
        <v>17</v>
      </c>
      <c r="J8" s="13" t="s">
        <v>16</v>
      </c>
      <c r="K8" s="13" t="s">
        <v>17</v>
      </c>
      <c r="L8" s="13"/>
      <c r="M8" s="13"/>
      <c r="N8" s="13" t="s">
        <v>16</v>
      </c>
      <c r="O8" s="13" t="s">
        <v>17</v>
      </c>
      <c r="P8" s="13" t="s">
        <v>16</v>
      </c>
      <c r="Q8" s="13" t="s">
        <v>17</v>
      </c>
    </row>
    <row r="9" s="1" customFormat="1" customHeight="1" spans="2:17">
      <c r="B9" s="14">
        <v>1</v>
      </c>
      <c r="C9" s="15" t="s">
        <v>18</v>
      </c>
      <c r="D9" s="16">
        <v>0</v>
      </c>
      <c r="E9" s="17">
        <v>0</v>
      </c>
      <c r="F9" s="17">
        <v>0</v>
      </c>
      <c r="G9" s="17">
        <v>0</v>
      </c>
      <c r="H9" s="18">
        <f t="shared" ref="H9:I14" si="0">+D9+F9</f>
        <v>0</v>
      </c>
      <c r="I9" s="18">
        <f t="shared" si="0"/>
        <v>0</v>
      </c>
      <c r="J9" s="37">
        <v>0</v>
      </c>
      <c r="K9" s="16">
        <v>0</v>
      </c>
      <c r="L9" s="38">
        <f>IF((H9+I9=0),0,+(D9+E9)/(H9+I9))</f>
        <v>0</v>
      </c>
      <c r="M9" s="38">
        <f t="shared" ref="M9:M15" si="1">+IF(J9+K9=0,0,(D9+E9-J9-K9)/(J9+K9))</f>
        <v>0</v>
      </c>
      <c r="N9" s="16">
        <v>0</v>
      </c>
      <c r="O9" s="16">
        <v>0</v>
      </c>
      <c r="P9" s="16">
        <v>0</v>
      </c>
      <c r="Q9" s="16">
        <v>0</v>
      </c>
    </row>
    <row r="10" s="1" customFormat="1" customHeight="1" spans="2:17">
      <c r="B10" s="14">
        <v>2</v>
      </c>
      <c r="C10" s="15" t="s">
        <v>19</v>
      </c>
      <c r="D10" s="16">
        <v>0</v>
      </c>
      <c r="E10" s="17">
        <v>0</v>
      </c>
      <c r="F10" s="17">
        <v>0</v>
      </c>
      <c r="G10" s="17">
        <v>0</v>
      </c>
      <c r="H10" s="18">
        <f t="shared" si="0"/>
        <v>0</v>
      </c>
      <c r="I10" s="18">
        <f t="shared" si="0"/>
        <v>0</v>
      </c>
      <c r="J10" s="37">
        <v>0</v>
      </c>
      <c r="K10" s="16">
        <v>0</v>
      </c>
      <c r="L10" s="38">
        <f>IF((H10+I10=0),0,+(D10+E10)/(H10+I10))</f>
        <v>0</v>
      </c>
      <c r="M10" s="38">
        <f t="shared" si="1"/>
        <v>0</v>
      </c>
      <c r="N10" s="16">
        <v>0</v>
      </c>
      <c r="O10" s="16">
        <v>0</v>
      </c>
      <c r="P10" s="16">
        <v>0</v>
      </c>
      <c r="Q10" s="16">
        <v>0</v>
      </c>
    </row>
    <row r="11" s="1" customFormat="1" customHeight="1" spans="2:17">
      <c r="B11" s="14">
        <v>3</v>
      </c>
      <c r="C11" s="15" t="s">
        <v>20</v>
      </c>
      <c r="D11" s="16">
        <v>0</v>
      </c>
      <c r="E11" s="17">
        <v>0</v>
      </c>
      <c r="F11" s="17">
        <v>0</v>
      </c>
      <c r="G11" s="17">
        <v>0</v>
      </c>
      <c r="H11" s="18">
        <f t="shared" si="0"/>
        <v>0</v>
      </c>
      <c r="I11" s="18">
        <f t="shared" si="0"/>
        <v>0</v>
      </c>
      <c r="J11" s="37">
        <v>0</v>
      </c>
      <c r="K11" s="16">
        <v>0</v>
      </c>
      <c r="L11" s="38">
        <f>IF((H11+I11=0),0,+(D11+E11)/(H11+I11))</f>
        <v>0</v>
      </c>
      <c r="M11" s="38">
        <f t="shared" si="1"/>
        <v>0</v>
      </c>
      <c r="N11" s="16">
        <v>0</v>
      </c>
      <c r="O11" s="16">
        <v>0</v>
      </c>
      <c r="P11" s="16">
        <v>0</v>
      </c>
      <c r="Q11" s="16">
        <v>0</v>
      </c>
    </row>
    <row r="12" s="1" customFormat="1" customHeight="1" spans="2:17">
      <c r="B12" s="14">
        <v>4</v>
      </c>
      <c r="C12" s="19" t="s">
        <v>21</v>
      </c>
      <c r="D12" s="16">
        <v>0</v>
      </c>
      <c r="E12" s="17">
        <v>0</v>
      </c>
      <c r="F12" s="17">
        <v>0</v>
      </c>
      <c r="G12" s="17">
        <v>0</v>
      </c>
      <c r="H12" s="18">
        <f t="shared" si="0"/>
        <v>0</v>
      </c>
      <c r="I12" s="18">
        <f t="shared" si="0"/>
        <v>0</v>
      </c>
      <c r="J12" s="37">
        <v>0</v>
      </c>
      <c r="K12" s="16">
        <v>0</v>
      </c>
      <c r="L12" s="38">
        <f>IF((H12+I12=0),0,+(D12+E12)/(H12+I12))</f>
        <v>0</v>
      </c>
      <c r="M12" s="38">
        <f t="shared" si="1"/>
        <v>0</v>
      </c>
      <c r="N12" s="16">
        <v>0</v>
      </c>
      <c r="O12" s="16">
        <v>0</v>
      </c>
      <c r="P12" s="16">
        <v>0</v>
      </c>
      <c r="Q12" s="16">
        <v>0</v>
      </c>
    </row>
    <row r="13" s="1" customFormat="1" ht="17.25" customHeight="1" spans="2:17">
      <c r="B13" s="20">
        <v>5</v>
      </c>
      <c r="C13" s="21" t="s">
        <v>22</v>
      </c>
      <c r="D13" s="16">
        <v>0</v>
      </c>
      <c r="E13" s="17">
        <v>0</v>
      </c>
      <c r="F13" s="17">
        <v>0</v>
      </c>
      <c r="G13" s="17">
        <v>0</v>
      </c>
      <c r="H13" s="18">
        <f t="shared" si="0"/>
        <v>0</v>
      </c>
      <c r="I13" s="18">
        <f t="shared" si="0"/>
        <v>0</v>
      </c>
      <c r="J13" s="37">
        <v>0</v>
      </c>
      <c r="K13" s="16">
        <v>0</v>
      </c>
      <c r="L13" s="38">
        <f>+IF(H13+I13=0,0,(D13+E13)/(H13+I13))</f>
        <v>0</v>
      </c>
      <c r="M13" s="38">
        <f t="shared" si="1"/>
        <v>0</v>
      </c>
      <c r="N13" s="16">
        <v>0</v>
      </c>
      <c r="O13" s="16">
        <v>0</v>
      </c>
      <c r="P13" s="16">
        <v>0</v>
      </c>
      <c r="Q13" s="16">
        <v>0</v>
      </c>
    </row>
    <row r="14" s="1" customFormat="1" ht="18" customHeight="1" spans="2:17">
      <c r="B14" s="20">
        <v>6</v>
      </c>
      <c r="C14" s="21" t="s">
        <v>23</v>
      </c>
      <c r="D14" s="16">
        <v>0</v>
      </c>
      <c r="E14" s="17">
        <v>0</v>
      </c>
      <c r="F14" s="17">
        <v>0</v>
      </c>
      <c r="G14" s="17">
        <v>0</v>
      </c>
      <c r="H14" s="18">
        <f t="shared" si="0"/>
        <v>0</v>
      </c>
      <c r="I14" s="18">
        <f t="shared" si="0"/>
        <v>0</v>
      </c>
      <c r="J14" s="37">
        <v>0</v>
      </c>
      <c r="K14" s="16">
        <v>0</v>
      </c>
      <c r="L14" s="38">
        <f>IF(H14+I14=0,0,+(D14+E14)/(H14+I14))</f>
        <v>0</v>
      </c>
      <c r="M14" s="38">
        <f t="shared" si="1"/>
        <v>0</v>
      </c>
      <c r="N14" s="16">
        <v>0</v>
      </c>
      <c r="O14" s="16">
        <v>0</v>
      </c>
      <c r="P14" s="16">
        <v>0</v>
      </c>
      <c r="Q14" s="16">
        <v>0</v>
      </c>
    </row>
    <row r="15" s="1" customFormat="1" customHeight="1" spans="2:17">
      <c r="B15" s="14">
        <v>7</v>
      </c>
      <c r="C15" s="14" t="s">
        <v>24</v>
      </c>
      <c r="D15" s="22">
        <f>SUM(D9:D14)-D14</f>
        <v>0</v>
      </c>
      <c r="E15" s="22">
        <f>SUM(E9:E14)-E14</f>
        <v>0</v>
      </c>
      <c r="F15" s="22">
        <f t="shared" ref="F15:K15" si="2">SUM(F9:F14)-F14</f>
        <v>0</v>
      </c>
      <c r="G15" s="22">
        <f t="shared" si="2"/>
        <v>0</v>
      </c>
      <c r="H15" s="23">
        <f t="shared" si="2"/>
        <v>0</v>
      </c>
      <c r="I15" s="23">
        <f t="shared" si="2"/>
        <v>0</v>
      </c>
      <c r="J15" s="22">
        <f t="shared" si="2"/>
        <v>0</v>
      </c>
      <c r="K15" s="22">
        <f t="shared" si="2"/>
        <v>0</v>
      </c>
      <c r="L15" s="38">
        <f>IF(H15+I15=0,0,+(D15+E15)/(H15+I15))</f>
        <v>0</v>
      </c>
      <c r="M15" s="38">
        <f t="shared" si="1"/>
        <v>0</v>
      </c>
      <c r="N15" s="39">
        <f>SUM(N9:N14)</f>
        <v>0</v>
      </c>
      <c r="O15" s="39">
        <f>SUM(O9:O14)</f>
        <v>0</v>
      </c>
      <c r="P15" s="39">
        <f>SUM(P9:P14)</f>
        <v>0</v>
      </c>
      <c r="Q15" s="39">
        <f>SUM(Q9:Q14)</f>
        <v>0</v>
      </c>
    </row>
    <row r="16" s="1" customFormat="1" customHeight="1" spans="2:17">
      <c r="B16" s="14">
        <v>8</v>
      </c>
      <c r="C16" s="14" t="s">
        <v>25</v>
      </c>
      <c r="D16" s="24">
        <v>0</v>
      </c>
      <c r="E16" s="25">
        <v>0</v>
      </c>
      <c r="F16" s="25">
        <v>0</v>
      </c>
      <c r="G16" s="25">
        <v>0</v>
      </c>
      <c r="H16" s="26">
        <f t="shared" ref="H16:I22" si="3">+D16+F16</f>
        <v>0</v>
      </c>
      <c r="I16" s="26">
        <f t="shared" si="3"/>
        <v>0</v>
      </c>
      <c r="J16" s="40"/>
      <c r="K16" s="40"/>
      <c r="L16" s="41"/>
      <c r="M16" s="41"/>
      <c r="N16" s="40"/>
      <c r="O16" s="40"/>
      <c r="P16" s="40"/>
      <c r="Q16" s="43"/>
    </row>
    <row r="17" s="1" customFormat="1" ht="18" customHeight="1" spans="2:17">
      <c r="B17" s="14">
        <v>9</v>
      </c>
      <c r="C17" s="15" t="s">
        <v>26</v>
      </c>
      <c r="D17" s="24">
        <v>0</v>
      </c>
      <c r="E17" s="25">
        <v>0</v>
      </c>
      <c r="F17" s="25">
        <v>0</v>
      </c>
      <c r="G17" s="25">
        <v>0</v>
      </c>
      <c r="H17" s="26">
        <f t="shared" si="3"/>
        <v>0</v>
      </c>
      <c r="I17" s="26">
        <f t="shared" si="3"/>
        <v>0</v>
      </c>
      <c r="J17" s="40"/>
      <c r="K17" s="40"/>
      <c r="L17" s="41"/>
      <c r="M17" s="41"/>
      <c r="N17" s="40"/>
      <c r="O17" s="40"/>
      <c r="P17" s="40"/>
      <c r="Q17" s="43"/>
    </row>
    <row r="18" s="1" customFormat="1" ht="18.75" customHeight="1" spans="2:17">
      <c r="B18" s="14">
        <v>10</v>
      </c>
      <c r="C18" s="14" t="s">
        <v>27</v>
      </c>
      <c r="D18" s="24">
        <v>0</v>
      </c>
      <c r="E18" s="25">
        <v>0</v>
      </c>
      <c r="F18" s="25">
        <v>0</v>
      </c>
      <c r="G18" s="25">
        <v>0</v>
      </c>
      <c r="H18" s="26">
        <f t="shared" si="3"/>
        <v>0</v>
      </c>
      <c r="I18" s="26">
        <f t="shared" si="3"/>
        <v>0</v>
      </c>
      <c r="J18" s="40"/>
      <c r="K18" s="40"/>
      <c r="L18" s="41"/>
      <c r="M18" s="41"/>
      <c r="N18" s="40"/>
      <c r="O18" s="40"/>
      <c r="P18" s="40"/>
      <c r="Q18" s="43"/>
    </row>
    <row r="19" s="1" customFormat="1" ht="16.5" customHeight="1" spans="2:17">
      <c r="B19" s="14">
        <v>11</v>
      </c>
      <c r="C19" s="15" t="s">
        <v>28</v>
      </c>
      <c r="D19" s="24">
        <v>0</v>
      </c>
      <c r="E19" s="25">
        <v>0</v>
      </c>
      <c r="F19" s="25">
        <v>0</v>
      </c>
      <c r="G19" s="25">
        <v>0</v>
      </c>
      <c r="H19" s="26">
        <f t="shared" si="3"/>
        <v>0</v>
      </c>
      <c r="I19" s="26">
        <f t="shared" si="3"/>
        <v>0</v>
      </c>
      <c r="J19" s="40"/>
      <c r="K19" s="40"/>
      <c r="L19" s="41"/>
      <c r="M19" s="41"/>
      <c r="N19" s="40"/>
      <c r="O19" s="40"/>
      <c r="P19" s="40"/>
      <c r="Q19" s="43"/>
    </row>
    <row r="20" s="1" customFormat="1" ht="16.5" customHeight="1" spans="2:17">
      <c r="B20" s="14">
        <v>12</v>
      </c>
      <c r="C20" s="15" t="s">
        <v>29</v>
      </c>
      <c r="D20" s="24">
        <v>0</v>
      </c>
      <c r="E20" s="25">
        <v>0</v>
      </c>
      <c r="F20" s="25">
        <v>0</v>
      </c>
      <c r="G20" s="25">
        <v>0</v>
      </c>
      <c r="H20" s="26">
        <f t="shared" si="3"/>
        <v>0</v>
      </c>
      <c r="I20" s="26">
        <f t="shared" si="3"/>
        <v>0</v>
      </c>
      <c r="J20" s="40"/>
      <c r="K20" s="40"/>
      <c r="L20" s="41"/>
      <c r="M20" s="41"/>
      <c r="N20" s="40"/>
      <c r="O20" s="40"/>
      <c r="P20" s="40"/>
      <c r="Q20" s="43"/>
    </row>
    <row r="21" s="1" customFormat="1" ht="16.5" customHeight="1" spans="2:17">
      <c r="B21" s="14">
        <v>13</v>
      </c>
      <c r="C21" s="15" t="s">
        <v>30</v>
      </c>
      <c r="D21" s="24">
        <v>0</v>
      </c>
      <c r="E21" s="25">
        <v>0</v>
      </c>
      <c r="F21" s="25">
        <v>0</v>
      </c>
      <c r="G21" s="25">
        <v>0</v>
      </c>
      <c r="H21" s="26">
        <f t="shared" si="3"/>
        <v>0</v>
      </c>
      <c r="I21" s="26">
        <f t="shared" si="3"/>
        <v>0</v>
      </c>
      <c r="J21" s="40"/>
      <c r="K21" s="40"/>
      <c r="L21" s="41"/>
      <c r="M21" s="41"/>
      <c r="N21" s="40"/>
      <c r="O21" s="40"/>
      <c r="P21" s="40"/>
      <c r="Q21" s="43"/>
    </row>
    <row r="22" s="1" customFormat="1" ht="16.5" customHeight="1" spans="2:17">
      <c r="B22" s="14">
        <v>14</v>
      </c>
      <c r="C22" s="15" t="s">
        <v>31</v>
      </c>
      <c r="D22" s="24">
        <v>0</v>
      </c>
      <c r="E22" s="25">
        <v>0</v>
      </c>
      <c r="F22" s="25">
        <v>0</v>
      </c>
      <c r="G22" s="25">
        <v>0</v>
      </c>
      <c r="H22" s="26">
        <f t="shared" si="3"/>
        <v>0</v>
      </c>
      <c r="I22" s="26">
        <f t="shared" si="3"/>
        <v>0</v>
      </c>
      <c r="J22" s="40"/>
      <c r="K22" s="40"/>
      <c r="L22" s="41"/>
      <c r="M22" s="41"/>
      <c r="N22" s="40"/>
      <c r="O22" s="40"/>
      <c r="P22" s="40"/>
      <c r="Q22" s="43"/>
    </row>
    <row r="23" s="1" customFormat="1" ht="16.15" customHeight="1" spans="2:17">
      <c r="B23" s="27" t="s">
        <v>32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34"/>
    </row>
    <row r="24" s="1" customFormat="1" ht="16.15" customHeight="1" spans="2:17">
      <c r="B24" s="29" t="s">
        <v>33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44"/>
    </row>
    <row r="25" s="1" customFormat="1" ht="16.15" customHeight="1" spans="2:17">
      <c r="B25" s="29" t="s">
        <v>34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44"/>
    </row>
    <row r="26" s="1" customFormat="1" ht="16.15" customHeight="1" spans="2:17">
      <c r="B26" s="29" t="s">
        <v>35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44"/>
    </row>
    <row r="27" s="1" customFormat="1" ht="16.15" customHeight="1" spans="2:17">
      <c r="B27" s="31" t="s">
        <v>36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45"/>
    </row>
    <row r="28" customHeight="1" spans="2:17">
      <c r="B28" s="33" t="s">
        <v>37</v>
      </c>
      <c r="C28" s="28"/>
      <c r="D28" s="34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46"/>
    </row>
    <row r="29" customHeight="1"/>
  </sheetData>
  <sheetProtection password="DE1B" sheet="1"/>
  <mergeCells count="18">
    <mergeCell ref="B2:Q2"/>
    <mergeCell ref="B6:Q6"/>
    <mergeCell ref="D7:E7"/>
    <mergeCell ref="F7:G7"/>
    <mergeCell ref="H7:I7"/>
    <mergeCell ref="J7:K7"/>
    <mergeCell ref="N7:O7"/>
    <mergeCell ref="P7:Q7"/>
    <mergeCell ref="B23:Q23"/>
    <mergeCell ref="B24:Q24"/>
    <mergeCell ref="B25:Q25"/>
    <mergeCell ref="B26:Q26"/>
    <mergeCell ref="B27:Q27"/>
    <mergeCell ref="B28:D28"/>
    <mergeCell ref="E28:Q28"/>
    <mergeCell ref="L7:L8"/>
    <mergeCell ref="M7:M8"/>
    <mergeCell ref="D3:Q5"/>
  </mergeCells>
  <dataValidations count="1">
    <dataValidation type="decimal" operator="between" allowBlank="1" showInputMessage="1" showErrorMessage="1" error="Please input a valid data!" sqref="D16:G22 N9:Q14 D9:G14 J9:K14">
      <formula1>-1000000000000</formula1>
      <formula2>1000000000000</formula2>
    </dataValidation>
  </dataValidations>
  <printOptions gridLines="1"/>
  <pageMargins left="0.25" right="0.25" top="0.5" bottom="0" header="0.25" footer="0.5"/>
  <pageSetup paperSize="9" scale="81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70- EMPLOYMENT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2013-09-22T06:40:58Z</dcterms:created>
  <cp:lastPrinted>2015-03-19T11:19:19Z</cp:lastPrinted>
  <dcterms:modified xsi:type="dcterms:W3CDTF">2024-02-22T06:22:00Z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8C2BFB29575D42F5AE864962DC906D68_13</vt:lpwstr>
  </property>
  <property fmtid="{D5CDD505-2E9C-101B-9397-08002B2CF9AE}" pid="3" name="KSOProductBuildVer">
    <vt:lpwstr>1033-12.2.0.13431</vt:lpwstr>
  </property>
</Properties>
</file>