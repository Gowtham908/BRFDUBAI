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74_SME" sheetId="1" r:id="rId1"/>
  </sheets>
  <definedNames>
    <definedName name="_xlnm.Print_Area" localSheetId="0">BRF74_SME!$B$2:$AA$31</definedName>
  </definedNames>
  <calcPr calcId="144525"/>
</workbook>
</file>

<file path=xl/sharedStrings.xml><?xml version="1.0" encoding="utf-8"?>
<sst xmlns="http://schemas.openxmlformats.org/spreadsheetml/2006/main" count="99" uniqueCount="60">
  <si>
    <r>
      <t xml:space="preserve">BANKING AND MONETARY STATISTICS-  MICRO, SMALL AND MEDIUM ENTERPRISES  LOANS (Resident) - BRF </t>
    </r>
    <r>
      <rPr>
        <b/>
        <sz val="8"/>
        <color indexed="10"/>
        <rFont val="Arial"/>
        <family val="2"/>
        <charset val="0"/>
      </rPr>
      <t xml:space="preserve">74  </t>
    </r>
    <r>
      <rPr>
        <b/>
        <sz val="8"/>
        <rFont val="Arial"/>
        <family val="2"/>
        <charset val="0"/>
      </rPr>
      <t xml:space="preserve"> (AED IN 000s)</t>
    </r>
  </si>
  <si>
    <t>ID:</t>
  </si>
  <si>
    <t>4-74-1-0</t>
  </si>
  <si>
    <t>BANK</t>
  </si>
  <si>
    <t>Bank of Baroda</t>
  </si>
  <si>
    <t>As On</t>
  </si>
  <si>
    <t>No</t>
  </si>
  <si>
    <t>Sector</t>
  </si>
  <si>
    <t>Nationals</t>
  </si>
  <si>
    <t>Non-Nationals</t>
  </si>
  <si>
    <t>Total (Nationals+ Non-Nationals)</t>
  </si>
  <si>
    <t>During the Current Quarter</t>
  </si>
  <si>
    <t>Funded Exposure</t>
  </si>
  <si>
    <t>Unfunded Exposure</t>
  </si>
  <si>
    <t>No. of NPL 
Accounts</t>
  </si>
  <si>
    <t>Amount in NPL</t>
  </si>
  <si>
    <t>No. of NPL
Accounts</t>
  </si>
  <si>
    <t>No of
Accounts</t>
  </si>
  <si>
    <t>Amount</t>
  </si>
  <si>
    <t>Ave. Interest rate</t>
  </si>
  <si>
    <t>CCF equivalent of Unfunded O/S</t>
  </si>
  <si>
    <t>Total Funded Amount</t>
  </si>
  <si>
    <t>Ave. Interest rate (Funded Exposure only)</t>
  </si>
  <si>
    <t>Total Outstanding Funded &amp; CCF equivalent of Unfunded Exposure</t>
  </si>
  <si>
    <t>New NPL 
Accounts</t>
  </si>
  <si>
    <t>Amount in New NPL a/cs</t>
  </si>
  <si>
    <t>Microenterprises</t>
  </si>
  <si>
    <t>Trading</t>
  </si>
  <si>
    <t>Industrial</t>
  </si>
  <si>
    <t>Services</t>
  </si>
  <si>
    <t>Small Enterprises</t>
  </si>
  <si>
    <t>Medium Enterprises</t>
  </si>
  <si>
    <t>SME Total (1+2+3)</t>
  </si>
  <si>
    <t>Notes</t>
  </si>
  <si>
    <t>Classification</t>
  </si>
  <si>
    <t>Service</t>
  </si>
  <si>
    <t>Category</t>
  </si>
  <si>
    <t>Number of  Employees</t>
  </si>
  <si>
    <t>Total Turnover (AED)</t>
  </si>
  <si>
    <t>Number of  Employees</t>
  </si>
  <si>
    <t xml:space="preserve">Micro </t>
  </si>
  <si>
    <t>upto 5</t>
  </si>
  <si>
    <t>Or</t>
  </si>
  <si>
    <t>upto 2 Mln</t>
  </si>
  <si>
    <t>upto 9</t>
  </si>
  <si>
    <t>upto 3 Mln</t>
  </si>
  <si>
    <t xml:space="preserve">Small </t>
  </si>
  <si>
    <t>6 – 50</t>
  </si>
  <si>
    <t>2 - 20 Mln</t>
  </si>
  <si>
    <t>10 – 100</t>
  </si>
  <si>
    <t>3 - 50 Mln</t>
  </si>
  <si>
    <t xml:space="preserve">3 - 50 Mln </t>
  </si>
  <si>
    <t xml:space="preserve">Medium </t>
  </si>
  <si>
    <t>51 – 200</t>
  </si>
  <si>
    <t>20 - 200 Mln</t>
  </si>
  <si>
    <t>101 – 250</t>
  </si>
  <si>
    <t>50 - 250 Mln</t>
  </si>
  <si>
    <t xml:space="preserve"> Nationals – means companies owned more than 50% by UAE National and rest are Non-Nationals</t>
  </si>
  <si>
    <t>Data is required for only lending to Domestic Market to companies registered in UAE</t>
  </si>
  <si>
    <t>FORM NO: BSD/ BRF 74- SME/DEC 16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</si>
</sst>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1" formatCode="_(* #,##0_);_(* \(#,##0\);_(* &quot;-&quot;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0.0"/>
    <numFmt numFmtId="178" formatCode="_(* #,##0_);_(* \(#,##0\);_(* &quot;-&quot;??_);_(@_)"/>
  </numFmts>
  <fonts count="27">
    <font>
      <sz val="11"/>
      <color theme="1"/>
      <name val="Calibri"/>
      <family val="2"/>
      <charset val="0"/>
      <scheme val="minor"/>
    </font>
    <font>
      <sz val="8"/>
      <color theme="1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name val="Arial"/>
      <family val="2"/>
      <charset val="0"/>
    </font>
    <font>
      <b/>
      <sz val="8"/>
      <color theme="1"/>
      <name val="Arial"/>
      <family val="2"/>
      <charset val="0"/>
    </font>
    <font>
      <sz val="8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b/>
      <sz val="8"/>
      <color indexed="10"/>
      <name val="Arial"/>
      <family val="2"/>
      <charset val="0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6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7" applyNumberFormat="0" applyFill="0" applyAlignment="0" applyProtection="0"/>
    <xf numFmtId="0" fontId="13" fillId="0" borderId="18" applyNumberFormat="0" applyFill="0" applyAlignment="0" applyProtection="0"/>
    <xf numFmtId="0" fontId="14" fillId="0" borderId="19" applyNumberFormat="0" applyFill="0" applyAlignment="0" applyProtection="0"/>
    <xf numFmtId="0" fontId="14" fillId="0" borderId="0" applyNumberFormat="0" applyFill="0" applyBorder="0" applyAlignment="0" applyProtection="0"/>
    <xf numFmtId="0" fontId="15" fillId="8" borderId="20" applyNumberFormat="0" applyAlignment="0" applyProtection="0"/>
    <xf numFmtId="0" fontId="16" fillId="9" borderId="21" applyNumberFormat="0" applyAlignment="0" applyProtection="0"/>
    <xf numFmtId="0" fontId="17" fillId="9" borderId="20" applyNumberFormat="0" applyAlignment="0" applyProtection="0"/>
    <xf numFmtId="0" fontId="18" fillId="10" borderId="22" applyNumberFormat="0" applyAlignment="0" applyProtection="0"/>
    <xf numFmtId="0" fontId="19" fillId="0" borderId="23" applyNumberFormat="0" applyFill="0" applyAlignment="0" applyProtection="0"/>
    <xf numFmtId="0" fontId="20" fillId="0" borderId="24" applyNumberFormat="0" applyFill="0" applyAlignment="0" applyProtection="0"/>
    <xf numFmtId="0" fontId="21" fillId="11" borderId="0" applyNumberFormat="0" applyBorder="0" applyAlignment="0" applyProtection="0"/>
    <xf numFmtId="0" fontId="22" fillId="12" borderId="0" applyNumberFormat="0" applyBorder="0" applyAlignment="0" applyProtection="0"/>
    <xf numFmtId="0" fontId="23" fillId="13" borderId="0" applyNumberFormat="0" applyBorder="0" applyAlignment="0" applyProtection="0"/>
    <xf numFmtId="0" fontId="24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0" fillId="35" borderId="0" applyNumberFormat="0" applyBorder="0" applyAlignment="0" applyProtection="0"/>
    <xf numFmtId="0" fontId="0" fillId="36" borderId="0" applyNumberFormat="0" applyBorder="0" applyAlignment="0" applyProtection="0"/>
    <xf numFmtId="0" fontId="24" fillId="37" borderId="0" applyNumberFormat="0" applyBorder="0" applyAlignment="0" applyProtection="0"/>
    <xf numFmtId="0" fontId="25" fillId="0" borderId="0"/>
    <xf numFmtId="0" fontId="25" fillId="0" borderId="0"/>
    <xf numFmtId="0" fontId="25" fillId="0" borderId="0"/>
  </cellStyleXfs>
  <cellXfs count="88">
    <xf numFmtId="0" fontId="0" fillId="0" borderId="0" xfId="0"/>
    <xf numFmtId="0" fontId="1" fillId="0" borderId="0" xfId="0" applyFont="1" applyProtection="1"/>
    <xf numFmtId="0" fontId="2" fillId="2" borderId="1" xfId="51" applyFont="1" applyFill="1" applyBorder="1" applyAlignment="1" applyProtection="1">
      <alignment horizontal="center"/>
    </xf>
    <xf numFmtId="0" fontId="2" fillId="2" borderId="2" xfId="51" applyFont="1" applyFill="1" applyBorder="1" applyAlignment="1" applyProtection="1">
      <alignment horizontal="center"/>
    </xf>
    <xf numFmtId="0" fontId="3" fillId="2" borderId="3" xfId="49" applyFont="1" applyFill="1" applyBorder="1" applyAlignment="1" applyProtection="1"/>
    <xf numFmtId="15" fontId="2" fillId="0" borderId="4" xfId="50" applyNumberFormat="1" applyFont="1" applyFill="1" applyBorder="1" applyAlignment="1" applyProtection="1">
      <alignment horizontal="center"/>
    </xf>
    <xf numFmtId="15" fontId="2" fillId="0" borderId="5" xfId="50" applyNumberFormat="1" applyFont="1" applyFill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15" fontId="2" fillId="2" borderId="7" xfId="50" applyNumberFormat="1" applyFont="1" applyFill="1" applyBorder="1" applyAlignment="1" applyProtection="1">
      <alignment horizontal="left"/>
    </xf>
    <xf numFmtId="15" fontId="2" fillId="0" borderId="1" xfId="50" applyNumberFormat="1" applyFont="1" applyFill="1" applyBorder="1" applyAlignment="1" applyProtection="1">
      <alignment horizontal="center"/>
    </xf>
    <xf numFmtId="15" fontId="2" fillId="0" borderId="8" xfId="50" applyNumberFormat="1" applyFont="1" applyFill="1" applyBorder="1" applyAlignment="1" applyProtection="1">
      <alignment horizontal="center"/>
    </xf>
    <xf numFmtId="0" fontId="2" fillId="2" borderId="7" xfId="50" applyFont="1" applyFill="1" applyBorder="1" applyProtection="1"/>
    <xf numFmtId="0" fontId="1" fillId="0" borderId="4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</xf>
    <xf numFmtId="0" fontId="2" fillId="3" borderId="4" xfId="50" applyFont="1" applyFill="1" applyBorder="1" applyAlignment="1" applyProtection="1">
      <alignment horizontal="center"/>
    </xf>
    <xf numFmtId="0" fontId="2" fillId="3" borderId="9" xfId="50" applyFont="1" applyFill="1" applyBorder="1" applyAlignment="1" applyProtection="1">
      <alignment horizontal="center"/>
    </xf>
    <xf numFmtId="0" fontId="1" fillId="4" borderId="10" xfId="0" applyFont="1" applyFill="1" applyBorder="1" applyAlignment="1" applyProtection="1">
      <alignment horizontal="center" vertical="center"/>
    </xf>
    <xf numFmtId="0" fontId="4" fillId="4" borderId="7" xfId="50" applyFont="1" applyFill="1" applyBorder="1" applyAlignment="1" applyProtection="1">
      <alignment horizontal="center" vertical="center"/>
    </xf>
    <xf numFmtId="0" fontId="4" fillId="4" borderId="1" xfId="50" applyFont="1" applyFill="1" applyBorder="1" applyAlignment="1" applyProtection="1">
      <alignment horizontal="center" vertical="center"/>
    </xf>
    <xf numFmtId="0" fontId="4" fillId="4" borderId="2" xfId="50" applyFont="1" applyFill="1" applyBorder="1" applyAlignment="1" applyProtection="1">
      <alignment horizontal="center" vertical="center"/>
    </xf>
    <xf numFmtId="0" fontId="1" fillId="4" borderId="11" xfId="0" applyFont="1" applyFill="1" applyBorder="1" applyAlignment="1" applyProtection="1">
      <alignment horizontal="center" vertical="center"/>
    </xf>
    <xf numFmtId="0" fontId="4" fillId="4" borderId="8" xfId="50" applyFont="1" applyFill="1" applyBorder="1" applyAlignment="1" applyProtection="1">
      <alignment horizontal="center" vertical="center"/>
    </xf>
    <xf numFmtId="0" fontId="1" fillId="4" borderId="3" xfId="0" applyFont="1" applyFill="1" applyBorder="1" applyAlignment="1" applyProtection="1">
      <alignment horizontal="center" vertical="center"/>
    </xf>
    <xf numFmtId="0" fontId="4" fillId="4" borderId="7" xfId="50" applyFont="1" applyFill="1" applyBorder="1" applyAlignment="1" applyProtection="1">
      <alignment horizontal="center" vertical="center" wrapText="1"/>
    </xf>
    <xf numFmtId="0" fontId="1" fillId="4" borderId="7" xfId="0" applyFont="1" applyFill="1" applyBorder="1" applyProtection="1"/>
    <xf numFmtId="0" fontId="2" fillId="4" borderId="7" xfId="50" applyFont="1" applyFill="1" applyBorder="1" applyAlignment="1" applyProtection="1">
      <alignment vertical="center"/>
    </xf>
    <xf numFmtId="177" fontId="2" fillId="4" borderId="7" xfId="1" applyNumberFormat="1" applyFont="1" applyFill="1" applyBorder="1" applyAlignment="1" applyProtection="1">
      <alignment horizontal="right" vertical="center"/>
    </xf>
    <xf numFmtId="0" fontId="4" fillId="4" borderId="7" xfId="50" applyFont="1" applyFill="1" applyBorder="1" applyAlignment="1" applyProtection="1">
      <alignment horizontal="left" vertical="center"/>
    </xf>
    <xf numFmtId="177" fontId="4" fillId="0" borderId="7" xfId="1" applyNumberFormat="1" applyFont="1" applyFill="1" applyBorder="1" applyAlignment="1" applyProtection="1">
      <alignment horizontal="right" vertical="center"/>
      <protection locked="0"/>
    </xf>
    <xf numFmtId="0" fontId="2" fillId="4" borderId="7" xfId="50" applyFont="1" applyFill="1" applyBorder="1" applyAlignment="1" applyProtection="1">
      <alignment horizontal="left" vertical="center"/>
    </xf>
    <xf numFmtId="177" fontId="5" fillId="4" borderId="7" xfId="1" applyNumberFormat="1" applyFont="1" applyFill="1" applyBorder="1" applyProtection="1"/>
    <xf numFmtId="177" fontId="5" fillId="5" borderId="7" xfId="1" applyNumberFormat="1" applyFont="1" applyFill="1" applyBorder="1" applyProtection="1"/>
    <xf numFmtId="0" fontId="4" fillId="4" borderId="7" xfId="50" applyFont="1" applyFill="1" applyBorder="1" applyAlignment="1" applyProtection="1">
      <alignment horizontal="left"/>
    </xf>
    <xf numFmtId="0" fontId="1" fillId="6" borderId="11" xfId="0" applyFont="1" applyFill="1" applyBorder="1" applyProtection="1"/>
    <xf numFmtId="0" fontId="2" fillId="0" borderId="3" xfId="0" applyFont="1" applyFill="1" applyBorder="1" applyAlignment="1" applyProtection="1">
      <alignment horizontal="center" vertical="center" wrapText="1"/>
    </xf>
    <xf numFmtId="0" fontId="2" fillId="6" borderId="3" xfId="0" applyFont="1" applyFill="1" applyBorder="1" applyAlignment="1" applyProtection="1">
      <alignment vertical="center" wrapText="1"/>
    </xf>
    <xf numFmtId="0" fontId="2" fillId="4" borderId="1" xfId="0" applyFont="1" applyFill="1" applyBorder="1" applyAlignment="1" applyProtection="1">
      <alignment horizontal="center" vertical="center" wrapText="1"/>
    </xf>
    <xf numFmtId="0" fontId="2" fillId="4" borderId="2" xfId="0" applyFont="1" applyFill="1" applyBorder="1" applyAlignment="1" applyProtection="1">
      <alignment horizontal="center" vertical="center" wrapText="1"/>
    </xf>
    <xf numFmtId="0" fontId="2" fillId="4" borderId="8" xfId="0" applyFont="1" applyFill="1" applyBorder="1" applyAlignment="1" applyProtection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 wrapText="1"/>
    </xf>
    <xf numFmtId="0" fontId="2" fillId="0" borderId="7" xfId="0" applyFont="1" applyFill="1" applyBorder="1" applyAlignment="1" applyProtection="1">
      <alignment horizontal="center" vertical="center" wrapText="1"/>
    </xf>
    <xf numFmtId="0" fontId="4" fillId="0" borderId="7" xfId="0" applyFont="1" applyFill="1" applyBorder="1" applyAlignment="1" applyProtection="1">
      <alignment vertical="center" wrapText="1"/>
    </xf>
    <xf numFmtId="0" fontId="4" fillId="4" borderId="7" xfId="0" applyFont="1" applyFill="1" applyBorder="1" applyAlignment="1" applyProtection="1">
      <alignment horizontal="center" vertical="center" wrapText="1"/>
    </xf>
    <xf numFmtId="0" fontId="4" fillId="3" borderId="7" xfId="0" applyFont="1" applyFill="1" applyBorder="1" applyAlignment="1" applyProtection="1">
      <alignment horizontal="center" vertical="center" wrapText="1"/>
    </xf>
    <xf numFmtId="0" fontId="2" fillId="0" borderId="10" xfId="0" applyFont="1" applyFill="1" applyBorder="1" applyAlignment="1" applyProtection="1">
      <alignment horizontal="center" vertical="center" wrapText="1"/>
    </xf>
    <xf numFmtId="0" fontId="4" fillId="0" borderId="10" xfId="0" applyFont="1" applyFill="1" applyBorder="1" applyAlignment="1" applyProtection="1">
      <alignment vertical="center" wrapText="1"/>
    </xf>
    <xf numFmtId="0" fontId="4" fillId="4" borderId="10" xfId="0" applyFont="1" applyFill="1" applyBorder="1" applyAlignment="1" applyProtection="1">
      <alignment horizontal="center" vertical="center" wrapText="1"/>
    </xf>
    <xf numFmtId="0" fontId="4" fillId="3" borderId="10" xfId="0" applyFont="1" applyFill="1" applyBorder="1" applyAlignment="1" applyProtection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/>
    </xf>
    <xf numFmtId="0" fontId="4" fillId="0" borderId="2" xfId="0" applyFont="1" applyFill="1" applyBorder="1" applyAlignment="1" applyProtection="1">
      <alignment horizontal="left" vertical="center"/>
    </xf>
    <xf numFmtId="0" fontId="4" fillId="0" borderId="12" xfId="0" applyFont="1" applyFill="1" applyBorder="1" applyAlignment="1" applyProtection="1">
      <alignment horizontal="left" vertical="center"/>
    </xf>
    <xf numFmtId="0" fontId="4" fillId="0" borderId="13" xfId="0" applyFont="1" applyFill="1" applyBorder="1" applyAlignment="1" applyProtection="1">
      <alignment horizontal="left" vertical="center"/>
    </xf>
    <xf numFmtId="0" fontId="6" fillId="4" borderId="1" xfId="0" applyFont="1" applyFill="1" applyBorder="1" applyAlignment="1" applyProtection="1">
      <alignment horizontal="left" vertical="center" wrapText="1"/>
    </xf>
    <xf numFmtId="0" fontId="6" fillId="4" borderId="2" xfId="0" applyFont="1" applyFill="1" applyBorder="1" applyAlignment="1" applyProtection="1">
      <alignment horizontal="left" vertical="center" wrapText="1"/>
    </xf>
    <xf numFmtId="0" fontId="4" fillId="4" borderId="12" xfId="50" applyFont="1" applyFill="1" applyBorder="1" applyAlignment="1" applyProtection="1">
      <alignment horizontal="center" vertical="center" wrapText="1"/>
    </xf>
    <xf numFmtId="0" fontId="4" fillId="4" borderId="10" xfId="50" applyFont="1" applyFill="1" applyBorder="1" applyAlignment="1" applyProtection="1">
      <alignment horizontal="center" vertical="center" wrapText="1"/>
    </xf>
    <xf numFmtId="0" fontId="4" fillId="4" borderId="4" xfId="50" applyFont="1" applyFill="1" applyBorder="1" applyAlignment="1" applyProtection="1">
      <alignment horizontal="center" vertical="center" wrapText="1"/>
    </xf>
    <xf numFmtId="0" fontId="4" fillId="4" borderId="3" xfId="50" applyFont="1" applyFill="1" applyBorder="1" applyAlignment="1" applyProtection="1">
      <alignment horizontal="center" vertical="center" wrapText="1"/>
    </xf>
    <xf numFmtId="0" fontId="2" fillId="3" borderId="2" xfId="0" applyFont="1" applyFill="1" applyBorder="1" applyAlignment="1" applyProtection="1">
      <alignment horizontal="center" vertical="center" wrapText="1"/>
    </xf>
    <xf numFmtId="0" fontId="2" fillId="3" borderId="8" xfId="0" applyFont="1" applyFill="1" applyBorder="1" applyAlignment="1" applyProtection="1">
      <alignment horizontal="center" vertical="center" wrapText="1"/>
    </xf>
    <xf numFmtId="0" fontId="1" fillId="0" borderId="0" xfId="0" applyFont="1" applyBorder="1" applyProtection="1"/>
    <xf numFmtId="0" fontId="4" fillId="4" borderId="12" xfId="50" applyFont="1" applyFill="1" applyBorder="1" applyAlignment="1" applyProtection="1">
      <alignment horizontal="center" vertical="center"/>
    </xf>
    <xf numFmtId="0" fontId="4" fillId="4" borderId="13" xfId="50" applyFont="1" applyFill="1" applyBorder="1" applyAlignment="1" applyProtection="1">
      <alignment horizontal="center" vertical="center"/>
    </xf>
    <xf numFmtId="0" fontId="4" fillId="4" borderId="4" xfId="50" applyFont="1" applyFill="1" applyBorder="1" applyAlignment="1" applyProtection="1">
      <alignment horizontal="center" vertical="center"/>
    </xf>
    <xf numFmtId="0" fontId="4" fillId="4" borderId="9" xfId="50" applyFont="1" applyFill="1" applyBorder="1" applyAlignment="1" applyProtection="1">
      <alignment horizontal="center" vertical="center"/>
    </xf>
    <xf numFmtId="177" fontId="4" fillId="4" borderId="7" xfId="1" applyNumberFormat="1" applyFont="1" applyFill="1" applyBorder="1" applyAlignment="1" applyProtection="1">
      <alignment horizontal="right" vertical="center"/>
    </xf>
    <xf numFmtId="177" fontId="2" fillId="3" borderId="7" xfId="1" applyNumberFormat="1" applyFont="1" applyFill="1" applyBorder="1" applyAlignment="1" applyProtection="1">
      <alignment horizontal="right" vertical="center"/>
      <protection locked="0"/>
    </xf>
    <xf numFmtId="0" fontId="2" fillId="0" borderId="0" xfId="0" applyFont="1" applyFill="1" applyBorder="1" applyAlignment="1" applyProtection="1">
      <alignment horizontal="center" vertical="center" wrapText="1"/>
    </xf>
    <xf numFmtId="1" fontId="4" fillId="0" borderId="0" xfId="50" applyNumberFormat="1" applyFont="1" applyFill="1" applyBorder="1" applyAlignment="1" applyProtection="1">
      <alignment horizontal="right"/>
    </xf>
    <xf numFmtId="178" fontId="4" fillId="0" borderId="0" xfId="50" applyNumberFormat="1" applyFont="1" applyFill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 vertical="center" wrapText="1"/>
    </xf>
    <xf numFmtId="0" fontId="4" fillId="0" borderId="0" xfId="50" applyFont="1" applyFill="1" applyBorder="1" applyAlignment="1" applyProtection="1"/>
    <xf numFmtId="0" fontId="4" fillId="0" borderId="0" xfId="50" applyFont="1" applyFill="1" applyBorder="1" applyAlignment="1" applyProtection="1">
      <alignment horizontal="center" vertical="center"/>
    </xf>
    <xf numFmtId="0" fontId="2" fillId="2" borderId="8" xfId="51" applyFont="1" applyFill="1" applyBorder="1" applyAlignment="1" applyProtection="1">
      <alignment horizontal="center"/>
    </xf>
    <xf numFmtId="0" fontId="1" fillId="0" borderId="14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2" fillId="3" borderId="5" xfId="50" applyFont="1" applyFill="1" applyBorder="1" applyAlignment="1" applyProtection="1">
      <alignment horizontal="center"/>
    </xf>
    <xf numFmtId="0" fontId="4" fillId="4" borderId="15" xfId="50" applyFont="1" applyFill="1" applyBorder="1" applyAlignment="1" applyProtection="1">
      <alignment horizontal="center" vertical="center"/>
    </xf>
    <xf numFmtId="0" fontId="4" fillId="4" borderId="15" xfId="50" applyFont="1" applyFill="1" applyBorder="1" applyAlignment="1" applyProtection="1">
      <alignment horizontal="center" vertical="center" wrapText="1"/>
    </xf>
    <xf numFmtId="0" fontId="4" fillId="4" borderId="5" xfId="50" applyFont="1" applyFill="1" applyBorder="1" applyAlignment="1" applyProtection="1">
      <alignment horizontal="center" vertical="center"/>
    </xf>
    <xf numFmtId="0" fontId="4" fillId="4" borderId="5" xfId="50" applyFont="1" applyFill="1" applyBorder="1" applyAlignment="1" applyProtection="1">
      <alignment horizontal="center" vertical="center" wrapText="1"/>
    </xf>
    <xf numFmtId="177" fontId="1" fillId="0" borderId="7" xfId="1" applyNumberFormat="1" applyFont="1" applyBorder="1" applyAlignment="1" applyProtection="1">
      <alignment horizontal="right"/>
      <protection locked="0"/>
    </xf>
    <xf numFmtId="0" fontId="4" fillId="0" borderId="14" xfId="50" applyFont="1" applyFill="1" applyBorder="1" applyAlignment="1" applyProtection="1"/>
    <xf numFmtId="0" fontId="4" fillId="0" borderId="14" xfId="50" applyFont="1" applyFill="1" applyBorder="1" applyAlignment="1" applyProtection="1">
      <alignment horizontal="center" vertical="center"/>
    </xf>
    <xf numFmtId="0" fontId="4" fillId="0" borderId="8" xfId="0" applyFont="1" applyFill="1" applyBorder="1" applyAlignment="1" applyProtection="1">
      <alignment horizontal="left" vertical="center"/>
    </xf>
    <xf numFmtId="0" fontId="4" fillId="0" borderId="15" xfId="0" applyFont="1" applyFill="1" applyBorder="1" applyAlignment="1" applyProtection="1">
      <alignment horizontal="left" vertical="center"/>
    </xf>
    <xf numFmtId="0" fontId="6" fillId="4" borderId="8" xfId="0" applyFont="1" applyFill="1" applyBorder="1" applyAlignment="1" applyProtection="1">
      <alignment horizontal="left" vertical="center" wrapText="1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0000"/>
      <color rgb="00FFFF00"/>
      <color rgb="00C0C0C0"/>
      <color rgb="00A6A6A6"/>
      <color rgb="00FFFFFF"/>
      <color rgb="00BFBFB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A32"/>
  <sheetViews>
    <sheetView showGridLines="0" tabSelected="1" zoomScaleSheetLayoutView="60" showWhiteSpace="0" workbookViewId="0">
      <selection activeCell="D11" sqref="D11"/>
    </sheetView>
  </sheetViews>
  <sheetFormatPr defaultColWidth="0" defaultRowHeight="11.25" zeroHeight="1"/>
  <cols>
    <col min="1" max="1" width="1.28181818181818" style="1" customWidth="1"/>
    <col min="2" max="2" width="5.57272727272727" style="1" customWidth="1"/>
    <col min="3" max="3" width="17.1363636363636" style="1" customWidth="1"/>
    <col min="4" max="4" width="11" style="1" customWidth="1"/>
    <col min="5" max="27" width="9.13636363636364" style="1" customWidth="1"/>
    <col min="28" max="28" width="3.57272727272727" style="1" customWidth="1"/>
    <col min="29" max="16384" width="9.13636363636364" style="1" hidden="1"/>
  </cols>
  <sheetData>
    <row r="1" ht="15" customHeight="1"/>
    <row r="2" ht="17.1" customHeight="1" spans="2:27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74"/>
    </row>
    <row r="3" ht="17.1" customHeight="1" spans="2:27">
      <c r="B3" s="4" t="s">
        <v>1</v>
      </c>
      <c r="C3" s="5" t="s">
        <v>2</v>
      </c>
      <c r="D3" s="6"/>
      <c r="E3" s="7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75"/>
    </row>
    <row r="4" ht="17.1" customHeight="1" spans="2:27">
      <c r="B4" s="9" t="s">
        <v>3</v>
      </c>
      <c r="C4" s="10" t="s">
        <v>4</v>
      </c>
      <c r="D4" s="11"/>
      <c r="E4" s="7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75"/>
    </row>
    <row r="5" ht="17.1" customHeight="1" spans="2:27">
      <c r="B5" s="12" t="s">
        <v>5</v>
      </c>
      <c r="C5" s="10"/>
      <c r="D5" s="11"/>
      <c r="E5" s="13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76"/>
    </row>
    <row r="6" ht="19.5" customHeight="1" spans="2:27"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77"/>
    </row>
    <row r="7" ht="15" customHeight="1" spans="2:27">
      <c r="B7" s="17" t="s">
        <v>6</v>
      </c>
      <c r="C7" s="18" t="s">
        <v>7</v>
      </c>
      <c r="D7" s="19" t="s">
        <v>8</v>
      </c>
      <c r="E7" s="20"/>
      <c r="F7" s="20"/>
      <c r="G7" s="20"/>
      <c r="H7" s="20"/>
      <c r="I7" s="20"/>
      <c r="J7" s="20"/>
      <c r="K7" s="22"/>
      <c r="L7" s="19" t="s">
        <v>9</v>
      </c>
      <c r="M7" s="20"/>
      <c r="N7" s="20"/>
      <c r="O7" s="20"/>
      <c r="P7" s="20"/>
      <c r="Q7" s="20"/>
      <c r="R7" s="20"/>
      <c r="S7" s="22"/>
      <c r="T7" s="62" t="s">
        <v>10</v>
      </c>
      <c r="U7" s="63"/>
      <c r="V7" s="63"/>
      <c r="W7" s="63"/>
      <c r="X7" s="63"/>
      <c r="Y7" s="78"/>
      <c r="Z7" s="55" t="s">
        <v>11</v>
      </c>
      <c r="AA7" s="79"/>
    </row>
    <row r="8" ht="15" customHeight="1" spans="2:27">
      <c r="B8" s="21"/>
      <c r="C8" s="18"/>
      <c r="D8" s="19" t="s">
        <v>12</v>
      </c>
      <c r="E8" s="20"/>
      <c r="F8" s="22"/>
      <c r="G8" s="19" t="s">
        <v>13</v>
      </c>
      <c r="H8" s="20"/>
      <c r="I8" s="22"/>
      <c r="J8" s="55" t="s">
        <v>14</v>
      </c>
      <c r="K8" s="56" t="s">
        <v>15</v>
      </c>
      <c r="L8" s="19" t="s">
        <v>12</v>
      </c>
      <c r="M8" s="20"/>
      <c r="N8" s="22"/>
      <c r="O8" s="19" t="s">
        <v>13</v>
      </c>
      <c r="P8" s="20"/>
      <c r="Q8" s="22"/>
      <c r="R8" s="55" t="s">
        <v>16</v>
      </c>
      <c r="S8" s="56" t="s">
        <v>15</v>
      </c>
      <c r="T8" s="64"/>
      <c r="U8" s="65"/>
      <c r="V8" s="65"/>
      <c r="W8" s="65"/>
      <c r="X8" s="65"/>
      <c r="Y8" s="80"/>
      <c r="Z8" s="57"/>
      <c r="AA8" s="81"/>
    </row>
    <row r="9" ht="70" spans="2:27">
      <c r="B9" s="23"/>
      <c r="C9" s="18"/>
      <c r="D9" s="24" t="s">
        <v>17</v>
      </c>
      <c r="E9" s="18" t="s">
        <v>18</v>
      </c>
      <c r="F9" s="24" t="s">
        <v>19</v>
      </c>
      <c r="G9" s="24" t="s">
        <v>17</v>
      </c>
      <c r="H9" s="24" t="s">
        <v>18</v>
      </c>
      <c r="I9" s="24" t="s">
        <v>20</v>
      </c>
      <c r="J9" s="57"/>
      <c r="K9" s="58"/>
      <c r="L9" s="24" t="s">
        <v>17</v>
      </c>
      <c r="M9" s="18" t="s">
        <v>18</v>
      </c>
      <c r="N9" s="24" t="s">
        <v>19</v>
      </c>
      <c r="O9" s="24" t="s">
        <v>17</v>
      </c>
      <c r="P9" s="24" t="s">
        <v>18</v>
      </c>
      <c r="Q9" s="24" t="s">
        <v>20</v>
      </c>
      <c r="R9" s="57"/>
      <c r="S9" s="58"/>
      <c r="T9" s="24" t="s">
        <v>17</v>
      </c>
      <c r="U9" s="24" t="s">
        <v>21</v>
      </c>
      <c r="V9" s="24" t="s">
        <v>22</v>
      </c>
      <c r="W9" s="24" t="s">
        <v>23</v>
      </c>
      <c r="X9" s="24" t="s">
        <v>14</v>
      </c>
      <c r="Y9" s="24" t="s">
        <v>15</v>
      </c>
      <c r="Z9" s="24" t="s">
        <v>24</v>
      </c>
      <c r="AA9" s="24" t="s">
        <v>25</v>
      </c>
    </row>
    <row r="10" spans="2:27">
      <c r="B10" s="25">
        <v>1</v>
      </c>
      <c r="C10" s="26" t="s">
        <v>26</v>
      </c>
      <c r="D10" s="27">
        <f>SUM(D11:D13)</f>
        <v>0</v>
      </c>
      <c r="E10" s="27">
        <f>(SUM(E11:E13))</f>
        <v>0</v>
      </c>
      <c r="F10" s="27">
        <f>AVERAGE(F11:F13)</f>
        <v>0</v>
      </c>
      <c r="G10" s="27">
        <f>(SUM(G11:G13))</f>
        <v>0</v>
      </c>
      <c r="H10" s="27">
        <f>(SUM(H11:H13))</f>
        <v>0</v>
      </c>
      <c r="I10" s="27">
        <f>(SUM(I11:I13))</f>
        <v>0</v>
      </c>
      <c r="J10" s="27">
        <f>(SUM(J11:J13))</f>
        <v>0</v>
      </c>
      <c r="K10" s="27">
        <f>(SUM(K11:K13))</f>
        <v>0</v>
      </c>
      <c r="L10" s="27">
        <f>SUM(L11:L13)</f>
        <v>0</v>
      </c>
      <c r="M10" s="27">
        <f>(SUM(M11:M13))</f>
        <v>0</v>
      </c>
      <c r="N10" s="27">
        <f>AVERAGE(N11:N13)</f>
        <v>0</v>
      </c>
      <c r="O10" s="27">
        <f>(SUM(O11:O13))</f>
        <v>0</v>
      </c>
      <c r="P10" s="27">
        <f>(SUM(P11:P13))</f>
        <v>0</v>
      </c>
      <c r="Q10" s="27">
        <f>(SUM(Q11:Q13))</f>
        <v>0</v>
      </c>
      <c r="R10" s="27">
        <f>(SUM(R11:R13))</f>
        <v>0</v>
      </c>
      <c r="S10" s="27">
        <f>(SUM(S11:S13))</f>
        <v>0</v>
      </c>
      <c r="T10" s="27">
        <f>SUM(T11:T13)</f>
        <v>0</v>
      </c>
      <c r="U10" s="27">
        <f>(SUM(U11:U13))</f>
        <v>0</v>
      </c>
      <c r="V10" s="27">
        <f>AVERAGE(V11:V13)</f>
        <v>0</v>
      </c>
      <c r="W10" s="27">
        <f>(SUM(W11:W13))</f>
        <v>0</v>
      </c>
      <c r="X10" s="27">
        <f>(SUM(X11:X13))</f>
        <v>0</v>
      </c>
      <c r="Y10" s="27">
        <f>(SUM(Y11:Y13))</f>
        <v>0</v>
      </c>
      <c r="Z10" s="27">
        <f>(SUM(Z11:Z13))</f>
        <v>0</v>
      </c>
      <c r="AA10" s="27">
        <f>(SUM(AA11:AA13))</f>
        <v>0</v>
      </c>
    </row>
    <row r="11" spans="2:27">
      <c r="B11" s="25">
        <v>1.1</v>
      </c>
      <c r="C11" s="28" t="s">
        <v>27</v>
      </c>
      <c r="D11" s="29">
        <v>0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66">
        <f t="shared" ref="T11:U13" si="0">+D11+L11</f>
        <v>0</v>
      </c>
      <c r="U11" s="66">
        <f t="shared" si="0"/>
        <v>0</v>
      </c>
      <c r="V11" s="67">
        <v>0</v>
      </c>
      <c r="W11" s="67">
        <f>I11+Q11+U11</f>
        <v>0</v>
      </c>
      <c r="X11" s="66">
        <f t="shared" ref="X11:Y13" si="1">+J11+R11</f>
        <v>0</v>
      </c>
      <c r="Y11" s="66">
        <f t="shared" si="1"/>
        <v>0</v>
      </c>
      <c r="Z11" s="82">
        <v>0</v>
      </c>
      <c r="AA11" s="82">
        <v>0</v>
      </c>
    </row>
    <row r="12" spans="2:27">
      <c r="B12" s="25">
        <v>1.2</v>
      </c>
      <c r="C12" s="28" t="s">
        <v>28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0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66">
        <f t="shared" si="0"/>
        <v>0</v>
      </c>
      <c r="U12" s="66">
        <f t="shared" si="0"/>
        <v>0</v>
      </c>
      <c r="V12" s="67">
        <v>0</v>
      </c>
      <c r="W12" s="67">
        <f>I12+Q12+U12</f>
        <v>0</v>
      </c>
      <c r="X12" s="66">
        <f t="shared" si="1"/>
        <v>0</v>
      </c>
      <c r="Y12" s="66">
        <f t="shared" si="1"/>
        <v>0</v>
      </c>
      <c r="Z12" s="82">
        <v>0</v>
      </c>
      <c r="AA12" s="82">
        <v>0</v>
      </c>
    </row>
    <row r="13" spans="2:27">
      <c r="B13" s="25">
        <v>1.3</v>
      </c>
      <c r="C13" s="28" t="s">
        <v>29</v>
      </c>
      <c r="D13" s="29">
        <v>0</v>
      </c>
      <c r="E13" s="29">
        <v>0</v>
      </c>
      <c r="F13" s="29">
        <v>0</v>
      </c>
      <c r="G13" s="29">
        <v>0</v>
      </c>
      <c r="H13" s="29">
        <v>0</v>
      </c>
      <c r="I13" s="29">
        <v>0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66">
        <f t="shared" si="0"/>
        <v>0</v>
      </c>
      <c r="U13" s="66">
        <f t="shared" si="0"/>
        <v>0</v>
      </c>
      <c r="V13" s="67">
        <v>0</v>
      </c>
      <c r="W13" s="67">
        <f>I13+Q13+U13</f>
        <v>0</v>
      </c>
      <c r="X13" s="66">
        <f t="shared" si="1"/>
        <v>0</v>
      </c>
      <c r="Y13" s="66">
        <f t="shared" si="1"/>
        <v>0</v>
      </c>
      <c r="Z13" s="82">
        <v>0</v>
      </c>
      <c r="AA13" s="82">
        <v>0</v>
      </c>
    </row>
    <row r="14" spans="2:27">
      <c r="B14" s="25">
        <v>2</v>
      </c>
      <c r="C14" s="26" t="s">
        <v>30</v>
      </c>
      <c r="D14" s="27">
        <f>SUM(D15:D17)</f>
        <v>0</v>
      </c>
      <c r="E14" s="27">
        <f>(SUM(E15:E17))</f>
        <v>0</v>
      </c>
      <c r="F14" s="27">
        <f>AVERAGE(F15:F17)</f>
        <v>0</v>
      </c>
      <c r="G14" s="27">
        <f>(SUM(G15:G17))</f>
        <v>0</v>
      </c>
      <c r="H14" s="27">
        <f>(SUM(H15:H17))</f>
        <v>0</v>
      </c>
      <c r="I14" s="27">
        <f>(SUM(I15:I17))</f>
        <v>0</v>
      </c>
      <c r="J14" s="27">
        <f>(SUM(J15:J17))</f>
        <v>0</v>
      </c>
      <c r="K14" s="27">
        <f>(SUM(K15:K17))</f>
        <v>0</v>
      </c>
      <c r="L14" s="27">
        <f>SUM(L15:L17)</f>
        <v>0</v>
      </c>
      <c r="M14" s="27">
        <f>(SUM(M15:M17))</f>
        <v>0</v>
      </c>
      <c r="N14" s="27">
        <f>AVERAGE(N15:N17)</f>
        <v>0</v>
      </c>
      <c r="O14" s="27">
        <f>(SUM(O15:O17))</f>
        <v>0</v>
      </c>
      <c r="P14" s="27">
        <f>(SUM(P15:P17))</f>
        <v>0</v>
      </c>
      <c r="Q14" s="27">
        <f>(SUM(Q15:Q17))</f>
        <v>0</v>
      </c>
      <c r="R14" s="27">
        <f>(SUM(R15:R17))</f>
        <v>0</v>
      </c>
      <c r="S14" s="27">
        <f>(SUM(S15:S17))</f>
        <v>0</v>
      </c>
      <c r="T14" s="27">
        <f>SUM(T15:T17)</f>
        <v>0</v>
      </c>
      <c r="U14" s="27">
        <f>(SUM(U15:U17))</f>
        <v>0</v>
      </c>
      <c r="V14" s="27">
        <f>AVERAGE(V15:V17)</f>
        <v>0</v>
      </c>
      <c r="W14" s="27">
        <f>(SUM(W15:W17))</f>
        <v>0</v>
      </c>
      <c r="X14" s="27">
        <f>(SUM(X15:X17))</f>
        <v>0</v>
      </c>
      <c r="Y14" s="27">
        <f>(SUM(Y15:Y17))</f>
        <v>0</v>
      </c>
      <c r="Z14" s="27">
        <f>(SUM(Z15:Z17))</f>
        <v>0</v>
      </c>
      <c r="AA14" s="27">
        <f>(SUM(AA15:AA17))</f>
        <v>0</v>
      </c>
    </row>
    <row r="15" spans="2:27">
      <c r="B15" s="25">
        <v>2.1</v>
      </c>
      <c r="C15" s="28" t="s">
        <v>27</v>
      </c>
      <c r="D15" s="29">
        <v>0</v>
      </c>
      <c r="E15" s="29">
        <v>0</v>
      </c>
      <c r="F15" s="29">
        <v>0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66">
        <f t="shared" ref="T15:U17" si="2">+D15+L15</f>
        <v>0</v>
      </c>
      <c r="U15" s="66">
        <f t="shared" si="2"/>
        <v>0</v>
      </c>
      <c r="V15" s="67">
        <v>0</v>
      </c>
      <c r="W15" s="67">
        <f>I15+Q15+U15</f>
        <v>0</v>
      </c>
      <c r="X15" s="66">
        <f t="shared" ref="X15:Y17" si="3">+J15+R15</f>
        <v>0</v>
      </c>
      <c r="Y15" s="66">
        <f t="shared" si="3"/>
        <v>0</v>
      </c>
      <c r="Z15" s="82">
        <v>0</v>
      </c>
      <c r="AA15" s="82">
        <v>0</v>
      </c>
    </row>
    <row r="16" spans="2:27">
      <c r="B16" s="25">
        <v>2.1</v>
      </c>
      <c r="C16" s="28" t="s">
        <v>28</v>
      </c>
      <c r="D16" s="29">
        <v>0</v>
      </c>
      <c r="E16" s="29">
        <v>0</v>
      </c>
      <c r="F16" s="29">
        <v>0</v>
      </c>
      <c r="G16" s="29">
        <v>0</v>
      </c>
      <c r="H16" s="29">
        <v>0</v>
      </c>
      <c r="I16" s="29">
        <v>0</v>
      </c>
      <c r="J16" s="29">
        <v>0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66">
        <f t="shared" si="2"/>
        <v>0</v>
      </c>
      <c r="U16" s="66">
        <f t="shared" si="2"/>
        <v>0</v>
      </c>
      <c r="V16" s="67">
        <v>0</v>
      </c>
      <c r="W16" s="67">
        <f>I16+Q16+U16</f>
        <v>0</v>
      </c>
      <c r="X16" s="66">
        <f t="shared" si="3"/>
        <v>0</v>
      </c>
      <c r="Y16" s="66">
        <f t="shared" si="3"/>
        <v>0</v>
      </c>
      <c r="Z16" s="82">
        <v>0</v>
      </c>
      <c r="AA16" s="82">
        <v>0</v>
      </c>
    </row>
    <row r="17" spans="2:27">
      <c r="B17" s="25">
        <v>2.3</v>
      </c>
      <c r="C17" s="28" t="s">
        <v>29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66">
        <f t="shared" si="2"/>
        <v>0</v>
      </c>
      <c r="U17" s="66">
        <f t="shared" si="2"/>
        <v>0</v>
      </c>
      <c r="V17" s="67">
        <v>0</v>
      </c>
      <c r="W17" s="67">
        <f>I17+Q17+U17</f>
        <v>0</v>
      </c>
      <c r="X17" s="66">
        <f t="shared" si="3"/>
        <v>0</v>
      </c>
      <c r="Y17" s="66">
        <f t="shared" si="3"/>
        <v>0</v>
      </c>
      <c r="Z17" s="82">
        <v>0</v>
      </c>
      <c r="AA17" s="82">
        <v>0</v>
      </c>
    </row>
    <row r="18" spans="2:27">
      <c r="B18" s="25">
        <v>3</v>
      </c>
      <c r="C18" s="26" t="s">
        <v>31</v>
      </c>
      <c r="D18" s="27">
        <f>SUM(D19:D21)</f>
        <v>0</v>
      </c>
      <c r="E18" s="27">
        <f>(SUM(E19:E21))</f>
        <v>0</v>
      </c>
      <c r="F18" s="27">
        <f>AVERAGE(F19:F21)</f>
        <v>0</v>
      </c>
      <c r="G18" s="27">
        <f>(SUM(G19:G21))</f>
        <v>0</v>
      </c>
      <c r="H18" s="27">
        <f>(SUM(H19:H21))</f>
        <v>0</v>
      </c>
      <c r="I18" s="27">
        <f>(SUM(I19:I21))</f>
        <v>0</v>
      </c>
      <c r="J18" s="27">
        <f>(SUM(J19:J21))</f>
        <v>0</v>
      </c>
      <c r="K18" s="27">
        <f>(SUM(K19:K21))</f>
        <v>0</v>
      </c>
      <c r="L18" s="27">
        <f>SUM(L19:L21)</f>
        <v>0</v>
      </c>
      <c r="M18" s="27">
        <f>(SUM(M19:M21))</f>
        <v>0</v>
      </c>
      <c r="N18" s="27">
        <f>AVERAGE(N19:N21)</f>
        <v>0</v>
      </c>
      <c r="O18" s="27">
        <f>(SUM(O19:O21))</f>
        <v>0</v>
      </c>
      <c r="P18" s="27">
        <f>(SUM(P19:P21))</f>
        <v>0</v>
      </c>
      <c r="Q18" s="27">
        <f>(SUM(Q19:Q21))</f>
        <v>0</v>
      </c>
      <c r="R18" s="27">
        <f>(SUM(R19:R21))</f>
        <v>0</v>
      </c>
      <c r="S18" s="27">
        <f>(SUM(S19:S21))</f>
        <v>0</v>
      </c>
      <c r="T18" s="27">
        <f>SUM(T19:T21)</f>
        <v>0</v>
      </c>
      <c r="U18" s="27">
        <f>(SUM(U19:U21))</f>
        <v>0</v>
      </c>
      <c r="V18" s="27">
        <f>AVERAGE(V19:V21)</f>
        <v>0</v>
      </c>
      <c r="W18" s="27">
        <f>SUM(W19:W21)</f>
        <v>0</v>
      </c>
      <c r="X18" s="27">
        <f>(SUM(X19:X21))</f>
        <v>0</v>
      </c>
      <c r="Y18" s="27">
        <f>(SUM(Y19:Y21))</f>
        <v>0</v>
      </c>
      <c r="Z18" s="27">
        <f>(SUM(Z19:Z21))</f>
        <v>0</v>
      </c>
      <c r="AA18" s="27">
        <f>(SUM(AA19:AA21))</f>
        <v>0</v>
      </c>
    </row>
    <row r="19" spans="2:27">
      <c r="B19" s="25">
        <v>3.1</v>
      </c>
      <c r="C19" s="28" t="s">
        <v>27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66">
        <f t="shared" ref="T19:U21" si="4">+D19+L19</f>
        <v>0</v>
      </c>
      <c r="U19" s="66">
        <f t="shared" si="4"/>
        <v>0</v>
      </c>
      <c r="V19" s="67">
        <v>0</v>
      </c>
      <c r="W19" s="67">
        <f>I19+Q19+U19</f>
        <v>0</v>
      </c>
      <c r="X19" s="66">
        <f t="shared" ref="X19:Y21" si="5">+J19+R19</f>
        <v>0</v>
      </c>
      <c r="Y19" s="66">
        <f t="shared" si="5"/>
        <v>0</v>
      </c>
      <c r="Z19" s="82">
        <v>0</v>
      </c>
      <c r="AA19" s="82">
        <v>0</v>
      </c>
    </row>
    <row r="20" spans="2:27">
      <c r="B20" s="25">
        <v>3.2</v>
      </c>
      <c r="C20" s="28" t="s">
        <v>28</v>
      </c>
      <c r="D20" s="29">
        <v>0</v>
      </c>
      <c r="E20" s="29">
        <v>0</v>
      </c>
      <c r="F20" s="29">
        <v>0</v>
      </c>
      <c r="G20" s="29">
        <v>0</v>
      </c>
      <c r="H20" s="29">
        <v>0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66">
        <f t="shared" si="4"/>
        <v>0</v>
      </c>
      <c r="U20" s="66">
        <f t="shared" si="4"/>
        <v>0</v>
      </c>
      <c r="V20" s="67">
        <v>0</v>
      </c>
      <c r="W20" s="67">
        <f>I20+Q20+U20</f>
        <v>0</v>
      </c>
      <c r="X20" s="66">
        <f t="shared" si="5"/>
        <v>0</v>
      </c>
      <c r="Y20" s="66">
        <f t="shared" si="5"/>
        <v>0</v>
      </c>
      <c r="Z20" s="82">
        <v>0</v>
      </c>
      <c r="AA20" s="82">
        <v>0</v>
      </c>
    </row>
    <row r="21" spans="2:27">
      <c r="B21" s="25">
        <v>3.3</v>
      </c>
      <c r="C21" s="28" t="s">
        <v>29</v>
      </c>
      <c r="D21" s="29">
        <v>0</v>
      </c>
      <c r="E21" s="29">
        <v>0</v>
      </c>
      <c r="F21" s="29">
        <v>0</v>
      </c>
      <c r="G21" s="29">
        <v>0</v>
      </c>
      <c r="H21" s="29">
        <v>0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66">
        <f t="shared" si="4"/>
        <v>0</v>
      </c>
      <c r="U21" s="66">
        <f t="shared" si="4"/>
        <v>0</v>
      </c>
      <c r="V21" s="67">
        <v>0</v>
      </c>
      <c r="W21" s="67">
        <f>I21+Q21+U21</f>
        <v>0</v>
      </c>
      <c r="X21" s="66">
        <f t="shared" si="5"/>
        <v>0</v>
      </c>
      <c r="Y21" s="66">
        <f t="shared" si="5"/>
        <v>0</v>
      </c>
      <c r="Z21" s="82">
        <v>0</v>
      </c>
      <c r="AA21" s="82">
        <v>0</v>
      </c>
    </row>
    <row r="22" spans="2:27">
      <c r="B22" s="25"/>
      <c r="C22" s="30" t="s">
        <v>32</v>
      </c>
      <c r="D22" s="31">
        <f>+D18+D14+D10</f>
        <v>0</v>
      </c>
      <c r="E22" s="31">
        <f>+E18+E14+E10</f>
        <v>0</v>
      </c>
      <c r="F22" s="32">
        <f>AVERAGE(F10,F14,F18)</f>
        <v>0</v>
      </c>
      <c r="G22" s="27">
        <f t="shared" ref="G22:M22" si="6">+G18+G14+G10</f>
        <v>0</v>
      </c>
      <c r="H22" s="27">
        <f t="shared" si="6"/>
        <v>0</v>
      </c>
      <c r="I22" s="27">
        <f t="shared" si="6"/>
        <v>0</v>
      </c>
      <c r="J22" s="31">
        <f t="shared" si="6"/>
        <v>0</v>
      </c>
      <c r="K22" s="31">
        <f t="shared" si="6"/>
        <v>0</v>
      </c>
      <c r="L22" s="31">
        <f t="shared" si="6"/>
        <v>0</v>
      </c>
      <c r="M22" s="31">
        <f t="shared" si="6"/>
        <v>0</v>
      </c>
      <c r="N22" s="32">
        <f>AVERAGE(N10,N14,N18)</f>
        <v>0</v>
      </c>
      <c r="O22" s="27">
        <f t="shared" ref="O22:U22" si="7">+O18+O14+O10</f>
        <v>0</v>
      </c>
      <c r="P22" s="27">
        <f t="shared" si="7"/>
        <v>0</v>
      </c>
      <c r="Q22" s="27">
        <f t="shared" si="7"/>
        <v>0</v>
      </c>
      <c r="R22" s="31">
        <f t="shared" si="7"/>
        <v>0</v>
      </c>
      <c r="S22" s="31">
        <f t="shared" si="7"/>
        <v>0</v>
      </c>
      <c r="T22" s="31">
        <f t="shared" si="7"/>
        <v>0</v>
      </c>
      <c r="U22" s="31">
        <f t="shared" si="7"/>
        <v>0</v>
      </c>
      <c r="V22" s="32">
        <f>AVERAGE(V10,V14,V18)</f>
        <v>0</v>
      </c>
      <c r="W22" s="31">
        <f>+W18+W14+W10</f>
        <v>0</v>
      </c>
      <c r="X22" s="31">
        <f>+X18+X14+X10</f>
        <v>0</v>
      </c>
      <c r="Y22" s="31">
        <f>+Y18+Y14+Y10</f>
        <v>0</v>
      </c>
      <c r="Z22" s="31">
        <f>+Z18+Z14+Z10</f>
        <v>0</v>
      </c>
      <c r="AA22" s="31">
        <f>+AA18+AA14+AA10</f>
        <v>0</v>
      </c>
    </row>
    <row r="23" ht="15" customHeight="1" spans="2:27">
      <c r="B23" s="33" t="s">
        <v>33</v>
      </c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</row>
    <row r="24" spans="2:27">
      <c r="B24" s="34">
        <v>1</v>
      </c>
      <c r="C24" s="35" t="s">
        <v>34</v>
      </c>
      <c r="D24" s="36" t="s">
        <v>7</v>
      </c>
      <c r="E24" s="37" t="s">
        <v>35</v>
      </c>
      <c r="F24" s="38"/>
      <c r="G24" s="39"/>
      <c r="H24" s="40" t="s">
        <v>28</v>
      </c>
      <c r="I24" s="59"/>
      <c r="J24" s="60"/>
      <c r="K24" s="37" t="s">
        <v>27</v>
      </c>
      <c r="L24" s="38"/>
      <c r="M24" s="39"/>
      <c r="N24" s="61"/>
      <c r="O24" s="61"/>
      <c r="P24" s="61"/>
      <c r="Q24" s="61"/>
      <c r="R24" s="61"/>
      <c r="S24" s="61"/>
      <c r="T24" s="68"/>
      <c r="U24" s="68"/>
      <c r="V24" s="68"/>
      <c r="W24" s="69"/>
      <c r="X24" s="70"/>
      <c r="Y24" s="70"/>
      <c r="Z24" s="72"/>
      <c r="AA24" s="83"/>
    </row>
    <row r="25" ht="30" spans="2:27">
      <c r="B25" s="34"/>
      <c r="C25" s="41"/>
      <c r="D25" s="42" t="s">
        <v>36</v>
      </c>
      <c r="E25" s="43" t="s">
        <v>37</v>
      </c>
      <c r="F25" s="43"/>
      <c r="G25" s="43" t="s">
        <v>38</v>
      </c>
      <c r="H25" s="44" t="s">
        <v>39</v>
      </c>
      <c r="I25" s="44"/>
      <c r="J25" s="44" t="s">
        <v>38</v>
      </c>
      <c r="K25" s="43" t="s">
        <v>37</v>
      </c>
      <c r="L25" s="43"/>
      <c r="M25" s="43" t="s">
        <v>38</v>
      </c>
      <c r="N25" s="61"/>
      <c r="O25" s="61"/>
      <c r="P25" s="61"/>
      <c r="Q25" s="61"/>
      <c r="R25" s="61"/>
      <c r="S25" s="61"/>
      <c r="T25" s="71"/>
      <c r="U25" s="71"/>
      <c r="V25" s="71"/>
      <c r="W25" s="69"/>
      <c r="X25" s="72"/>
      <c r="Y25" s="72"/>
      <c r="Z25" s="72"/>
      <c r="AA25" s="83"/>
    </row>
    <row r="26" spans="2:27">
      <c r="B26" s="34"/>
      <c r="C26" s="41"/>
      <c r="D26" s="42" t="s">
        <v>40</v>
      </c>
      <c r="E26" s="43" t="s">
        <v>41</v>
      </c>
      <c r="F26" s="43" t="s">
        <v>42</v>
      </c>
      <c r="G26" s="43" t="s">
        <v>43</v>
      </c>
      <c r="H26" s="44" t="s">
        <v>44</v>
      </c>
      <c r="I26" s="44" t="s">
        <v>42</v>
      </c>
      <c r="J26" s="44" t="s">
        <v>45</v>
      </c>
      <c r="K26" s="43" t="s">
        <v>41</v>
      </c>
      <c r="L26" s="43" t="s">
        <v>42</v>
      </c>
      <c r="M26" s="43" t="s">
        <v>45</v>
      </c>
      <c r="N26" s="61"/>
      <c r="O26" s="61"/>
      <c r="P26" s="61"/>
      <c r="Q26" s="61"/>
      <c r="R26" s="61"/>
      <c r="S26" s="61"/>
      <c r="T26" s="71"/>
      <c r="U26" s="71"/>
      <c r="V26" s="71"/>
      <c r="W26" s="69"/>
      <c r="X26" s="72"/>
      <c r="Y26" s="72"/>
      <c r="Z26" s="72"/>
      <c r="AA26" s="83"/>
    </row>
    <row r="27" spans="2:27">
      <c r="B27" s="34"/>
      <c r="C27" s="41"/>
      <c r="D27" s="42" t="s">
        <v>46</v>
      </c>
      <c r="E27" s="43" t="s">
        <v>47</v>
      </c>
      <c r="F27" s="43" t="s">
        <v>42</v>
      </c>
      <c r="G27" s="43" t="s">
        <v>48</v>
      </c>
      <c r="H27" s="44" t="s">
        <v>49</v>
      </c>
      <c r="I27" s="44" t="s">
        <v>42</v>
      </c>
      <c r="J27" s="44" t="s">
        <v>50</v>
      </c>
      <c r="K27" s="43" t="s">
        <v>47</v>
      </c>
      <c r="L27" s="43" t="s">
        <v>42</v>
      </c>
      <c r="M27" s="43" t="s">
        <v>51</v>
      </c>
      <c r="N27" s="61"/>
      <c r="O27" s="61"/>
      <c r="P27" s="61"/>
      <c r="Q27" s="61"/>
      <c r="R27" s="61"/>
      <c r="S27" s="61"/>
      <c r="T27" s="71"/>
      <c r="U27" s="71"/>
      <c r="V27" s="71"/>
      <c r="W27" s="69"/>
      <c r="X27" s="73"/>
      <c r="Y27" s="73"/>
      <c r="Z27" s="73"/>
      <c r="AA27" s="84"/>
    </row>
    <row r="28" customHeight="1" spans="2:27">
      <c r="B28" s="34"/>
      <c r="C28" s="45"/>
      <c r="D28" s="46" t="s">
        <v>52</v>
      </c>
      <c r="E28" s="47" t="s">
        <v>53</v>
      </c>
      <c r="F28" s="47" t="s">
        <v>42</v>
      </c>
      <c r="G28" s="47" t="s">
        <v>54</v>
      </c>
      <c r="H28" s="48" t="s">
        <v>55</v>
      </c>
      <c r="I28" s="48" t="s">
        <v>42</v>
      </c>
      <c r="J28" s="48" t="s">
        <v>56</v>
      </c>
      <c r="K28" s="47" t="s">
        <v>53</v>
      </c>
      <c r="L28" s="47" t="s">
        <v>42</v>
      </c>
      <c r="M28" s="47" t="s">
        <v>56</v>
      </c>
      <c r="N28" s="61"/>
      <c r="O28" s="61"/>
      <c r="P28" s="61"/>
      <c r="Q28" s="61"/>
      <c r="R28" s="61"/>
      <c r="S28" s="61"/>
      <c r="T28" s="71"/>
      <c r="U28" s="71"/>
      <c r="V28" s="71"/>
      <c r="W28" s="69"/>
      <c r="X28" s="73"/>
      <c r="Y28" s="73"/>
      <c r="Z28" s="73"/>
      <c r="AA28" s="84"/>
    </row>
    <row r="29" spans="2:27">
      <c r="B29" s="34">
        <v>2</v>
      </c>
      <c r="C29" s="49" t="s">
        <v>57</v>
      </c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85"/>
    </row>
    <row r="30" spans="2:27">
      <c r="B30" s="34">
        <v>3</v>
      </c>
      <c r="C30" s="51" t="s">
        <v>58</v>
      </c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86"/>
    </row>
    <row r="31" customHeight="1" spans="2:27">
      <c r="B31" s="53" t="s">
        <v>59</v>
      </c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87"/>
    </row>
    <row r="32"/>
  </sheetData>
  <sheetProtection password="DE1B" sheet="1"/>
  <mergeCells count="28">
    <mergeCell ref="B2:AA2"/>
    <mergeCell ref="C3:D3"/>
    <mergeCell ref="C4:D4"/>
    <mergeCell ref="C5:D5"/>
    <mergeCell ref="B6:AA6"/>
    <mergeCell ref="D7:K7"/>
    <mergeCell ref="L7:S7"/>
    <mergeCell ref="D8:F8"/>
    <mergeCell ref="G8:I8"/>
    <mergeCell ref="L8:N8"/>
    <mergeCell ref="O8:Q8"/>
    <mergeCell ref="B23:AA23"/>
    <mergeCell ref="E24:G24"/>
    <mergeCell ref="H24:J24"/>
    <mergeCell ref="K24:M24"/>
    <mergeCell ref="C29:AA29"/>
    <mergeCell ref="C30:AA30"/>
    <mergeCell ref="B31:AA31"/>
    <mergeCell ref="B7:B9"/>
    <mergeCell ref="C7:C9"/>
    <mergeCell ref="C24:C28"/>
    <mergeCell ref="J8:J9"/>
    <mergeCell ref="K8:K9"/>
    <mergeCell ref="R8:R9"/>
    <mergeCell ref="S8:S9"/>
    <mergeCell ref="T7:Y8"/>
    <mergeCell ref="Z7:AA8"/>
    <mergeCell ref="E3:AA5"/>
  </mergeCells>
  <dataValidations count="1">
    <dataValidation type="decimal" operator="between" allowBlank="1" showInputMessage="1" showErrorMessage="1" sqref="D11:S13 V11:W13 Z11:AA17 V19:W21 Z19:AA21 V15:W17 D15:S17 D19:S21">
      <formula1>-1000000000000</formula1>
      <formula2>1000000000000</formula2>
    </dataValidation>
  </dataValidations>
  <printOptions horizontalCentered="1"/>
  <pageMargins left="0.196850393700787" right="0.196850393700787" top="0.748031496062992" bottom="0.748031496062992" header="0.31496062992126" footer="0.31496062992126"/>
  <pageSetup paperSize="9" scale="58" fitToHeight="0" orientation="landscape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UAE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BRF74_SME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2016-12-28T11:14:31Z</dcterms:created>
  <cp:lastPrinted>2017-01-02T09:36:58Z</cp:lastPrinted>
  <dcterms:modified xsi:type="dcterms:W3CDTF">2024-02-22T06:21:26Z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5290496C9B9B4407A372909D3639F26B_13</vt:lpwstr>
  </property>
  <property fmtid="{D5CDD505-2E9C-101B-9397-08002B2CF9AE}" pid="3" name="KSOProductBuildVer">
    <vt:lpwstr>1033-12.2.0.13431</vt:lpwstr>
  </property>
</Properties>
</file>