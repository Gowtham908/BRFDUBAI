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107" sheetId="1" r:id="rId1"/>
  </sheets>
  <definedNames>
    <definedName name="_xlnm.Print_Area" localSheetId="0">BRF107!$B$2:$AB$35</definedName>
  </definedNames>
  <calcPr calcId="144525"/>
</workbook>
</file>

<file path=xl/sharedStrings.xml><?xml version="1.0" encoding="utf-8"?>
<sst xmlns="http://schemas.openxmlformats.org/spreadsheetml/2006/main" count="75" uniqueCount="44">
  <si>
    <t>BANKING AND MONETARY STATISTICS - UAE BANKING BORROWER TYPE AS PER IFRS - 9 STAGES  BRF 107 (AED 000)</t>
  </si>
  <si>
    <t>ID</t>
  </si>
  <si>
    <t>4-107-1-0</t>
  </si>
  <si>
    <t>Bank</t>
  </si>
  <si>
    <t>Bank of Baroda</t>
  </si>
  <si>
    <t>As on</t>
  </si>
  <si>
    <t>Gross loans and advances as per IFRS - 9 (Gross Loans and advances include Trade bills (line item: 7 of BRF 1) BORROWER WISE</t>
  </si>
  <si>
    <t>S. No</t>
  </si>
  <si>
    <t>IFRS - 9 Stages. CBUAE Classification and quarterly movement</t>
  </si>
  <si>
    <t>NBFI
(Gross)</t>
  </si>
  <si>
    <t xml:space="preserve">Federal Govt
(Gross) </t>
  </si>
  <si>
    <t>Non Commercial entities (Federal Govt)
(Gross)</t>
  </si>
  <si>
    <t>Emirates Governments
(Gross)</t>
  </si>
  <si>
    <t>Non-commercial entities (Emirates Govt)
(Gross)</t>
  </si>
  <si>
    <t>GREs (Govt ownership more than 50%) (BRF 79 &amp; 80)
(Gross)</t>
  </si>
  <si>
    <t>Corporates with Govt ownership of less than 50%
(Gross)</t>
  </si>
  <si>
    <t>Other corporates
(Gross)</t>
  </si>
  <si>
    <t>High Net worth Individuals (HNI)
(Gross)</t>
  </si>
  <si>
    <t>Small &amp; Medium Enterprises (SMEs)
(Gross)</t>
  </si>
  <si>
    <t>Individuals
(Gross)</t>
  </si>
  <si>
    <t>Gross loans and advances</t>
  </si>
  <si>
    <t>Outstanding</t>
  </si>
  <si>
    <t>Provision</t>
  </si>
  <si>
    <t>Stage 1</t>
  </si>
  <si>
    <t>Normal</t>
  </si>
  <si>
    <t>Watch list</t>
  </si>
  <si>
    <t>Sub-total Stage 1</t>
  </si>
  <si>
    <t>Quarterly movement</t>
  </si>
  <si>
    <t>Transfer from Stage 2 to Stage 1</t>
  </si>
  <si>
    <t>Stage 2</t>
  </si>
  <si>
    <t>Sub-total Stage 2</t>
  </si>
  <si>
    <t>Transfer from Stage 1 to Stage 2</t>
  </si>
  <si>
    <t>Transfer from Stage 3 to Stage 2</t>
  </si>
  <si>
    <t>Stage 3</t>
  </si>
  <si>
    <t>Substandard</t>
  </si>
  <si>
    <t>Doubtful</t>
  </si>
  <si>
    <t>Loss</t>
  </si>
  <si>
    <t>Sub-total Stage 3</t>
  </si>
  <si>
    <t>Transfer from Stage 1 to Stage 3</t>
  </si>
  <si>
    <t>Transfer from Stage 2 to Stage 3</t>
  </si>
  <si>
    <t>POCI</t>
  </si>
  <si>
    <t>Subtotal - POCI</t>
  </si>
  <si>
    <t xml:space="preserve">Subtotal </t>
  </si>
  <si>
    <t>FORM NO: BSD/BRF107 UAE BANKING BORROWER TYPE/DEC2021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</si>
</sst>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  <charset val="0"/>
      <scheme val="minor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b/>
      <sz val="11"/>
      <color theme="1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7" borderId="1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17" applyNumberFormat="0" applyAlignment="0" applyProtection="0"/>
    <xf numFmtId="0" fontId="18" fillId="9" borderId="18" applyNumberFormat="0" applyAlignment="0" applyProtection="0"/>
    <xf numFmtId="0" fontId="19" fillId="9" borderId="17" applyNumberFormat="0" applyAlignment="0" applyProtection="0"/>
    <xf numFmtId="0" fontId="20" fillId="10" borderId="19" applyNumberFormat="0" applyAlignment="0" applyProtection="0"/>
    <xf numFmtId="0" fontId="21" fillId="0" borderId="20" applyNumberFormat="0" applyFill="0" applyAlignment="0" applyProtection="0"/>
    <xf numFmtId="0" fontId="22" fillId="0" borderId="21" applyNumberFormat="0" applyFill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6" fillId="37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8" fillId="0" borderId="0">
      <alignment vertical="center"/>
    </xf>
  </cellStyleXfs>
  <cellXfs count="43">
    <xf numFmtId="0" fontId="0" fillId="0" borderId="0" xfId="0"/>
    <xf numFmtId="0" fontId="0" fillId="0" borderId="0" xfId="0" applyAlignment="1">
      <alignment wrapText="1"/>
    </xf>
    <xf numFmtId="0" fontId="1" fillId="2" borderId="1" xfId="51" applyFont="1" applyFill="1" applyBorder="1" applyAlignment="1">
      <alignment horizontal="center"/>
    </xf>
    <xf numFmtId="49" fontId="1" fillId="3" borderId="1" xfId="52" applyNumberFormat="1" applyFont="1" applyFill="1" applyBorder="1" applyAlignment="1" applyProtection="1">
      <alignment horizontal="left" vertical="center"/>
    </xf>
    <xf numFmtId="0" fontId="2" fillId="4" borderId="2" xfId="49" applyFont="1" applyFill="1" applyBorder="1" applyAlignment="1" applyProtection="1">
      <alignment horizontal="center"/>
    </xf>
    <xf numFmtId="0" fontId="2" fillId="4" borderId="3" xfId="49" applyFont="1" applyFill="1" applyBorder="1" applyAlignment="1" applyProtection="1">
      <alignment horizontal="center"/>
    </xf>
    <xf numFmtId="15" fontId="3" fillId="0" borderId="1" xfId="50" applyNumberFormat="1" applyFont="1" applyFill="1" applyBorder="1" applyAlignment="1" applyProtection="1">
      <alignment horizontal="center"/>
    </xf>
    <xf numFmtId="49" fontId="1" fillId="3" borderId="4" xfId="52" applyNumberFormat="1" applyFont="1" applyFill="1" applyBorder="1" applyAlignment="1" applyProtection="1">
      <alignment horizontal="left" vertical="center"/>
    </xf>
    <xf numFmtId="0" fontId="2" fillId="4" borderId="5" xfId="49" applyFont="1" applyFill="1" applyBorder="1" applyAlignment="1" applyProtection="1">
      <alignment horizontal="center"/>
    </xf>
    <xf numFmtId="0" fontId="2" fillId="4" borderId="6" xfId="49" applyFont="1" applyFill="1" applyBorder="1" applyAlignment="1" applyProtection="1">
      <alignment horizontal="center"/>
    </xf>
    <xf numFmtId="15" fontId="3" fillId="0" borderId="4" xfId="50" applyNumberFormat="1" applyFont="1" applyFill="1" applyBorder="1" applyAlignment="1" applyProtection="1">
      <alignment horizontal="center"/>
    </xf>
    <xf numFmtId="49" fontId="1" fillId="5" borderId="2" xfId="52" applyNumberFormat="1" applyFont="1" applyFill="1" applyBorder="1" applyAlignment="1" applyProtection="1">
      <alignment horizontal="left" vertical="center"/>
    </xf>
    <xf numFmtId="0" fontId="2" fillId="4" borderId="7" xfId="49" applyFont="1" applyFill="1" applyBorder="1" applyAlignment="1" applyProtection="1">
      <alignment horizontal="center"/>
    </xf>
    <xf numFmtId="15" fontId="3" fillId="0" borderId="7" xfId="50" applyNumberFormat="1" applyFont="1" applyFill="1" applyBorder="1" applyAlignment="1" applyProtection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3" fillId="3" borderId="1" xfId="5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3" borderId="1" xfId="50" applyFont="1" applyFill="1" applyBorder="1" applyAlignment="1">
      <alignment vertical="center"/>
    </xf>
    <xf numFmtId="1" fontId="7" fillId="0" borderId="1" xfId="1" applyNumberFormat="1" applyFont="1" applyFill="1" applyBorder="1" applyAlignment="1" applyProtection="1">
      <protection locked="0"/>
    </xf>
    <xf numFmtId="1" fontId="3" fillId="3" borderId="1" xfId="1" applyNumberFormat="1" applyFont="1" applyFill="1" applyBorder="1" applyAlignment="1"/>
    <xf numFmtId="1" fontId="7" fillId="3" borderId="1" xfId="1" applyNumberFormat="1" applyFont="1" applyFill="1" applyBorder="1" applyAlignment="1"/>
    <xf numFmtId="0" fontId="3" fillId="3" borderId="4" xfId="5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6" borderId="1" xfId="50" applyFont="1" applyFill="1" applyBorder="1" applyAlignment="1">
      <alignment vertical="center"/>
    </xf>
    <xf numFmtId="0" fontId="3" fillId="3" borderId="9" xfId="50" applyFont="1" applyFill="1" applyBorder="1" applyAlignment="1">
      <alignment horizontal="center" vertical="center"/>
    </xf>
    <xf numFmtId="0" fontId="3" fillId="3" borderId="3" xfId="50" applyFont="1" applyFill="1" applyBorder="1" applyAlignment="1">
      <alignment vertical="center"/>
    </xf>
    <xf numFmtId="0" fontId="3" fillId="3" borderId="10" xfId="50" applyFont="1" applyFill="1" applyBorder="1" applyAlignment="1">
      <alignment horizontal="center" vertical="center"/>
    </xf>
    <xf numFmtId="0" fontId="3" fillId="3" borderId="6" xfId="50" applyFont="1" applyFill="1" applyBorder="1" applyAlignment="1">
      <alignment vertical="center"/>
    </xf>
    <xf numFmtId="0" fontId="0" fillId="0" borderId="1" xfId="0" applyBorder="1"/>
    <xf numFmtId="0" fontId="3" fillId="3" borderId="11" xfId="50" applyFont="1" applyFill="1" applyBorder="1" applyAlignment="1">
      <alignment horizontal="center" vertical="center"/>
    </xf>
    <xf numFmtId="1" fontId="3" fillId="3" borderId="6" xfId="1" applyNumberFormat="1" applyFont="1" applyFill="1" applyBorder="1" applyAlignment="1"/>
    <xf numFmtId="1" fontId="3" fillId="3" borderId="4" xfId="1" applyNumberFormat="1" applyFont="1" applyFill="1" applyBorder="1" applyAlignment="1"/>
    <xf numFmtId="0" fontId="8" fillId="3" borderId="2" xfId="0" applyFont="1" applyFill="1" applyBorder="1" applyAlignment="1" applyProtection="1">
      <alignment horizontal="left"/>
    </xf>
    <xf numFmtId="0" fontId="8" fillId="3" borderId="12" xfId="0" applyFont="1" applyFill="1" applyBorder="1" applyAlignment="1" applyProtection="1">
      <alignment horizontal="left"/>
    </xf>
    <xf numFmtId="0" fontId="8" fillId="5" borderId="7" xfId="0" applyFont="1" applyFill="1" applyBorder="1" applyAlignment="1" applyProtection="1">
      <alignment horizontal="left"/>
    </xf>
    <xf numFmtId="15" fontId="3" fillId="0" borderId="3" xfId="50" applyNumberFormat="1" applyFont="1" applyFill="1" applyBorder="1" applyAlignment="1" applyProtection="1">
      <alignment horizontal="center"/>
    </xf>
    <xf numFmtId="0" fontId="4" fillId="3" borderId="6" xfId="0" applyFont="1" applyFill="1" applyBorder="1" applyAlignment="1">
      <alignment horizontal="center"/>
    </xf>
    <xf numFmtId="1" fontId="6" fillId="3" borderId="1" xfId="1" applyNumberFormat="1" applyFont="1" applyFill="1" applyBorder="1" applyAlignment="1"/>
    <xf numFmtId="1" fontId="6" fillId="3" borderId="1" xfId="1" applyNumberFormat="1" applyFont="1" applyFill="1" applyBorder="1"/>
    <xf numFmtId="1" fontId="5" fillId="3" borderId="4" xfId="1" applyNumberFormat="1" applyFont="1" applyFill="1" applyBorder="1" applyAlignment="1"/>
    <xf numFmtId="0" fontId="8" fillId="5" borderId="3" xfId="0" applyFont="1" applyFill="1" applyBorder="1" applyAlignment="1" applyProtection="1">
      <alignment horizontal="lef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 6" xfId="52"/>
  </cellStyles>
  <tableStyles count="0" defaultTableStyle="TableStyleMedium2" defaultPivotStyle="PivotStyleLight16"/>
  <colors>
    <mruColors>
      <color rgb="00FFFF00"/>
      <color rgb="00C0C0C0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B36"/>
  <sheetViews>
    <sheetView showGridLines="0" tabSelected="1" zoomScaleSheetLayoutView="60" workbookViewId="0">
      <selection activeCell="B2" sqref="B2:AB2"/>
    </sheetView>
  </sheetViews>
  <sheetFormatPr defaultColWidth="0" defaultRowHeight="12.6" customHeight="1" zeroHeight="1"/>
  <cols>
    <col min="1" max="1" width="2.28181818181818" customWidth="1"/>
    <col min="2" max="2" width="7.28181818181818" customWidth="1"/>
    <col min="3" max="3" width="9.28181818181818" customWidth="1"/>
    <col min="4" max="4" width="27"/>
    <col min="5" max="29" width="9.13636363636364" customWidth="1"/>
    <col min="30" max="16384" width="0" hidden="1"/>
  </cols>
  <sheetData>
    <row r="1"/>
    <row r="2" ht="13" spans="2:28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3" spans="2:28">
      <c r="B3" s="3" t="s">
        <v>1</v>
      </c>
      <c r="C3" s="4" t="s">
        <v>2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3" spans="2:28">
      <c r="B4" s="3" t="s">
        <v>3</v>
      </c>
      <c r="C4" s="4" t="s">
        <v>4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3" spans="2:28">
      <c r="B5" s="7" t="s">
        <v>5</v>
      </c>
      <c r="C5" s="8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13" spans="2:28">
      <c r="B6" s="11"/>
      <c r="C6" s="12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37"/>
    </row>
    <row r="7" ht="14" spans="2:28">
      <c r="B7" s="14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38"/>
    </row>
    <row r="8" spans="2:28">
      <c r="B8" s="16" t="s">
        <v>7</v>
      </c>
      <c r="C8" s="17" t="s">
        <v>8</v>
      </c>
      <c r="D8" s="17"/>
      <c r="E8" s="17" t="s">
        <v>9</v>
      </c>
      <c r="F8" s="17"/>
      <c r="G8" s="17" t="s">
        <v>10</v>
      </c>
      <c r="H8" s="17"/>
      <c r="I8" s="17" t="s">
        <v>11</v>
      </c>
      <c r="J8" s="17"/>
      <c r="K8" s="17" t="s">
        <v>12</v>
      </c>
      <c r="L8" s="17"/>
      <c r="M8" s="17" t="s">
        <v>13</v>
      </c>
      <c r="N8" s="17"/>
      <c r="O8" s="17" t="s">
        <v>14</v>
      </c>
      <c r="P8" s="17"/>
      <c r="Q8" s="17" t="s">
        <v>15</v>
      </c>
      <c r="R8" s="17"/>
      <c r="S8" s="17" t="s">
        <v>16</v>
      </c>
      <c r="T8" s="17"/>
      <c r="U8" s="17" t="s">
        <v>17</v>
      </c>
      <c r="V8" s="17"/>
      <c r="W8" s="17" t="s">
        <v>18</v>
      </c>
      <c r="X8" s="17"/>
      <c r="Y8" s="17" t="s">
        <v>19</v>
      </c>
      <c r="Z8" s="17"/>
      <c r="AA8" s="17" t="s">
        <v>20</v>
      </c>
      <c r="AB8" s="17"/>
    </row>
    <row r="9" spans="2:28">
      <c r="B9" s="16"/>
      <c r="C9" s="17"/>
      <c r="D9" s="17"/>
      <c r="E9" s="17" t="s">
        <v>21</v>
      </c>
      <c r="F9" s="17" t="s">
        <v>22</v>
      </c>
      <c r="G9" s="17" t="s">
        <v>21</v>
      </c>
      <c r="H9" s="17" t="s">
        <v>22</v>
      </c>
      <c r="I9" s="17" t="s">
        <v>21</v>
      </c>
      <c r="J9" s="17" t="s">
        <v>22</v>
      </c>
      <c r="K9" s="17" t="s">
        <v>21</v>
      </c>
      <c r="L9" s="17" t="s">
        <v>22</v>
      </c>
      <c r="M9" s="17" t="s">
        <v>21</v>
      </c>
      <c r="N9" s="17" t="s">
        <v>22</v>
      </c>
      <c r="O9" s="17" t="s">
        <v>21</v>
      </c>
      <c r="P9" s="17" t="s">
        <v>22</v>
      </c>
      <c r="Q9" s="17" t="s">
        <v>21</v>
      </c>
      <c r="R9" s="17" t="s">
        <v>22</v>
      </c>
      <c r="S9" s="17" t="s">
        <v>21</v>
      </c>
      <c r="T9" s="17" t="s">
        <v>22</v>
      </c>
      <c r="U9" s="17" t="s">
        <v>21</v>
      </c>
      <c r="V9" s="17" t="s">
        <v>22</v>
      </c>
      <c r="W9" s="17" t="s">
        <v>21</v>
      </c>
      <c r="X9" s="17" t="s">
        <v>22</v>
      </c>
      <c r="Y9" s="17" t="s">
        <v>21</v>
      </c>
      <c r="Z9" s="17" t="s">
        <v>22</v>
      </c>
      <c r="AA9" s="17" t="s">
        <v>21</v>
      </c>
      <c r="AB9" s="17" t="s">
        <v>22</v>
      </c>
    </row>
    <row r="10" spans="2:28">
      <c r="B10" s="18">
        <v>1</v>
      </c>
      <c r="C10" s="17" t="s">
        <v>23</v>
      </c>
      <c r="D10" s="19" t="s">
        <v>24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39">
        <f>E10+G10+I10+K10+M10+O10+Q10+S10+U10+W10+Y10</f>
        <v>0</v>
      </c>
      <c r="AB10" s="39">
        <f>F10+H10+J10+L10+N10+P10+R10+T10+V10+X10+Z10</f>
        <v>0</v>
      </c>
    </row>
    <row r="11" spans="2:28">
      <c r="B11" s="18">
        <v>2</v>
      </c>
      <c r="C11" s="17"/>
      <c r="D11" s="19" t="s">
        <v>25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39">
        <f t="shared" ref="AA11:AB32" si="0">E11+G11+I11+K11+M11+O11+Q11+S11+U11+W11+Y11</f>
        <v>0</v>
      </c>
      <c r="AB11" s="39">
        <f t="shared" si="0"/>
        <v>0</v>
      </c>
    </row>
    <row r="12" spans="2:28">
      <c r="B12" s="18">
        <v>3</v>
      </c>
      <c r="C12" s="17"/>
      <c r="D12" s="19" t="s">
        <v>26</v>
      </c>
      <c r="E12" s="21">
        <f t="shared" ref="E12:AB12" si="1">SUM(E10:E11)</f>
        <v>0</v>
      </c>
      <c r="F12" s="21">
        <f t="shared" si="1"/>
        <v>0</v>
      </c>
      <c r="G12" s="21">
        <f t="shared" si="1"/>
        <v>0</v>
      </c>
      <c r="H12" s="21">
        <f t="shared" si="1"/>
        <v>0</v>
      </c>
      <c r="I12" s="21">
        <f t="shared" si="1"/>
        <v>0</v>
      </c>
      <c r="J12" s="21">
        <f t="shared" si="1"/>
        <v>0</v>
      </c>
      <c r="K12" s="21">
        <f t="shared" si="1"/>
        <v>0</v>
      </c>
      <c r="L12" s="21">
        <f t="shared" si="1"/>
        <v>0</v>
      </c>
      <c r="M12" s="21">
        <f t="shared" si="1"/>
        <v>0</v>
      </c>
      <c r="N12" s="21">
        <f t="shared" si="1"/>
        <v>0</v>
      </c>
      <c r="O12" s="21">
        <f t="shared" si="1"/>
        <v>0</v>
      </c>
      <c r="P12" s="21">
        <f t="shared" si="1"/>
        <v>0</v>
      </c>
      <c r="Q12" s="21">
        <f t="shared" si="1"/>
        <v>0</v>
      </c>
      <c r="R12" s="21">
        <f t="shared" si="1"/>
        <v>0</v>
      </c>
      <c r="S12" s="21">
        <f t="shared" si="1"/>
        <v>0</v>
      </c>
      <c r="T12" s="21">
        <f t="shared" si="1"/>
        <v>0</v>
      </c>
      <c r="U12" s="21">
        <f t="shared" si="1"/>
        <v>0</v>
      </c>
      <c r="V12" s="21">
        <f t="shared" si="1"/>
        <v>0</v>
      </c>
      <c r="W12" s="21">
        <f t="shared" si="1"/>
        <v>0</v>
      </c>
      <c r="X12" s="21">
        <f t="shared" si="1"/>
        <v>0</v>
      </c>
      <c r="Y12" s="21">
        <f t="shared" si="1"/>
        <v>0</v>
      </c>
      <c r="Z12" s="21">
        <f t="shared" si="1"/>
        <v>0</v>
      </c>
      <c r="AA12" s="21">
        <f t="shared" si="1"/>
        <v>0</v>
      </c>
      <c r="AB12" s="21">
        <f t="shared" si="1"/>
        <v>0</v>
      </c>
    </row>
    <row r="13" spans="2:28">
      <c r="B13" s="18">
        <v>4</v>
      </c>
      <c r="C13" s="17"/>
      <c r="D13" s="19" t="s">
        <v>27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39"/>
      <c r="AB13" s="39"/>
    </row>
    <row r="14" spans="2:28">
      <c r="B14" s="18">
        <v>5</v>
      </c>
      <c r="C14" s="17"/>
      <c r="D14" s="19" t="s">
        <v>28</v>
      </c>
      <c r="E14" s="20">
        <v>0</v>
      </c>
      <c r="F14" s="22"/>
      <c r="G14" s="20">
        <v>0</v>
      </c>
      <c r="H14" s="22"/>
      <c r="I14" s="20">
        <v>0</v>
      </c>
      <c r="J14" s="22"/>
      <c r="K14" s="20">
        <v>0</v>
      </c>
      <c r="L14" s="22"/>
      <c r="M14" s="20">
        <v>0</v>
      </c>
      <c r="N14" s="22"/>
      <c r="O14" s="20">
        <v>0</v>
      </c>
      <c r="P14" s="22"/>
      <c r="Q14" s="20">
        <v>0</v>
      </c>
      <c r="R14" s="22"/>
      <c r="S14" s="20">
        <v>0</v>
      </c>
      <c r="T14" s="22"/>
      <c r="U14" s="20">
        <v>0</v>
      </c>
      <c r="V14" s="22"/>
      <c r="W14" s="20">
        <v>0</v>
      </c>
      <c r="X14" s="22"/>
      <c r="Y14" s="20">
        <v>0</v>
      </c>
      <c r="Z14" s="22"/>
      <c r="AA14" s="39">
        <f t="shared" si="0"/>
        <v>0</v>
      </c>
      <c r="AB14" s="39"/>
    </row>
    <row r="15" spans="2:28">
      <c r="B15" s="18">
        <v>6</v>
      </c>
      <c r="C15" s="17" t="s">
        <v>29</v>
      </c>
      <c r="D15" s="19" t="s">
        <v>24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39">
        <f t="shared" si="0"/>
        <v>0</v>
      </c>
      <c r="AB15" s="39">
        <f t="shared" si="0"/>
        <v>0</v>
      </c>
    </row>
    <row r="16" spans="2:28">
      <c r="B16" s="18">
        <v>7</v>
      </c>
      <c r="C16" s="17"/>
      <c r="D16" s="19" t="s">
        <v>25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39">
        <f t="shared" si="0"/>
        <v>0</v>
      </c>
      <c r="AB16" s="39">
        <f t="shared" si="0"/>
        <v>0</v>
      </c>
    </row>
    <row r="17" spans="2:28">
      <c r="B17" s="18">
        <v>8</v>
      </c>
      <c r="C17" s="17"/>
      <c r="D17" s="19" t="s">
        <v>30</v>
      </c>
      <c r="E17" s="21">
        <f t="shared" ref="E17:AB17" si="2">SUM(E15:E16)</f>
        <v>0</v>
      </c>
      <c r="F17" s="21">
        <f t="shared" si="2"/>
        <v>0</v>
      </c>
      <c r="G17" s="21">
        <f t="shared" si="2"/>
        <v>0</v>
      </c>
      <c r="H17" s="21">
        <f t="shared" si="2"/>
        <v>0</v>
      </c>
      <c r="I17" s="21">
        <f t="shared" si="2"/>
        <v>0</v>
      </c>
      <c r="J17" s="21">
        <f t="shared" si="2"/>
        <v>0</v>
      </c>
      <c r="K17" s="21">
        <f t="shared" si="2"/>
        <v>0</v>
      </c>
      <c r="L17" s="21">
        <f t="shared" si="2"/>
        <v>0</v>
      </c>
      <c r="M17" s="21">
        <f t="shared" si="2"/>
        <v>0</v>
      </c>
      <c r="N17" s="21">
        <f t="shared" si="2"/>
        <v>0</v>
      </c>
      <c r="O17" s="21">
        <f t="shared" si="2"/>
        <v>0</v>
      </c>
      <c r="P17" s="21">
        <f t="shared" si="2"/>
        <v>0</v>
      </c>
      <c r="Q17" s="21">
        <f t="shared" si="2"/>
        <v>0</v>
      </c>
      <c r="R17" s="21">
        <f t="shared" si="2"/>
        <v>0</v>
      </c>
      <c r="S17" s="21">
        <f t="shared" si="2"/>
        <v>0</v>
      </c>
      <c r="T17" s="21">
        <f t="shared" si="2"/>
        <v>0</v>
      </c>
      <c r="U17" s="21">
        <f t="shared" si="2"/>
        <v>0</v>
      </c>
      <c r="V17" s="21">
        <f t="shared" si="2"/>
        <v>0</v>
      </c>
      <c r="W17" s="21">
        <f t="shared" si="2"/>
        <v>0</v>
      </c>
      <c r="X17" s="21">
        <f t="shared" si="2"/>
        <v>0</v>
      </c>
      <c r="Y17" s="21">
        <f t="shared" si="2"/>
        <v>0</v>
      </c>
      <c r="Z17" s="21">
        <f t="shared" si="2"/>
        <v>0</v>
      </c>
      <c r="AA17" s="21">
        <f t="shared" si="2"/>
        <v>0</v>
      </c>
      <c r="AB17" s="21">
        <f t="shared" si="2"/>
        <v>0</v>
      </c>
    </row>
    <row r="18" spans="2:28">
      <c r="B18" s="18">
        <v>9</v>
      </c>
      <c r="C18" s="17"/>
      <c r="D18" s="19" t="s">
        <v>27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39"/>
      <c r="AB18" s="39"/>
    </row>
    <row r="19" spans="2:28">
      <c r="B19" s="18">
        <v>10</v>
      </c>
      <c r="C19" s="17"/>
      <c r="D19" s="19" t="s">
        <v>31</v>
      </c>
      <c r="E19" s="20">
        <v>0</v>
      </c>
      <c r="F19" s="22"/>
      <c r="G19" s="20">
        <v>0</v>
      </c>
      <c r="H19" s="22"/>
      <c r="I19" s="20">
        <v>0</v>
      </c>
      <c r="J19" s="22"/>
      <c r="K19" s="20">
        <v>0</v>
      </c>
      <c r="L19" s="22"/>
      <c r="M19" s="20">
        <v>0</v>
      </c>
      <c r="N19" s="22"/>
      <c r="O19" s="20">
        <v>0</v>
      </c>
      <c r="P19" s="22"/>
      <c r="Q19" s="20">
        <v>0</v>
      </c>
      <c r="R19" s="22"/>
      <c r="S19" s="20">
        <v>0</v>
      </c>
      <c r="T19" s="22"/>
      <c r="U19" s="20">
        <v>0</v>
      </c>
      <c r="V19" s="22"/>
      <c r="W19" s="20">
        <v>0</v>
      </c>
      <c r="X19" s="22"/>
      <c r="Y19" s="20">
        <v>0</v>
      </c>
      <c r="Z19" s="22"/>
      <c r="AA19" s="39">
        <f t="shared" si="0"/>
        <v>0</v>
      </c>
      <c r="AB19" s="39">
        <f t="shared" si="0"/>
        <v>0</v>
      </c>
    </row>
    <row r="20" spans="2:28">
      <c r="B20" s="18">
        <v>11</v>
      </c>
      <c r="C20" s="17"/>
      <c r="D20" s="19" t="s">
        <v>32</v>
      </c>
      <c r="E20" s="20">
        <v>0</v>
      </c>
      <c r="F20" s="22"/>
      <c r="G20" s="20">
        <v>0</v>
      </c>
      <c r="H20" s="22"/>
      <c r="I20" s="20">
        <v>0</v>
      </c>
      <c r="J20" s="22"/>
      <c r="K20" s="20">
        <v>0</v>
      </c>
      <c r="L20" s="22"/>
      <c r="M20" s="20">
        <v>0</v>
      </c>
      <c r="N20" s="22"/>
      <c r="O20" s="20">
        <v>0</v>
      </c>
      <c r="P20" s="22"/>
      <c r="Q20" s="20">
        <v>0</v>
      </c>
      <c r="R20" s="22"/>
      <c r="S20" s="20">
        <v>0</v>
      </c>
      <c r="T20" s="22"/>
      <c r="U20" s="20">
        <v>0</v>
      </c>
      <c r="V20" s="22"/>
      <c r="W20" s="20">
        <v>0</v>
      </c>
      <c r="X20" s="22"/>
      <c r="Y20" s="20">
        <v>0</v>
      </c>
      <c r="Z20" s="22"/>
      <c r="AA20" s="39">
        <f t="shared" si="0"/>
        <v>0</v>
      </c>
      <c r="AB20" s="39">
        <f t="shared" si="0"/>
        <v>0</v>
      </c>
    </row>
    <row r="21" spans="2:28">
      <c r="B21" s="18">
        <v>12</v>
      </c>
      <c r="C21" s="17" t="s">
        <v>33</v>
      </c>
      <c r="D21" s="19" t="s">
        <v>34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39">
        <f t="shared" si="0"/>
        <v>0</v>
      </c>
      <c r="AB21" s="39">
        <f t="shared" si="0"/>
        <v>0</v>
      </c>
    </row>
    <row r="22" spans="2:28">
      <c r="B22" s="18">
        <v>13</v>
      </c>
      <c r="C22" s="17"/>
      <c r="D22" s="19" t="s">
        <v>35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39">
        <f t="shared" si="0"/>
        <v>0</v>
      </c>
      <c r="AB22" s="39">
        <f t="shared" si="0"/>
        <v>0</v>
      </c>
    </row>
    <row r="23" spans="2:28">
      <c r="B23" s="18">
        <v>14</v>
      </c>
      <c r="C23" s="17"/>
      <c r="D23" s="19" t="s">
        <v>36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39">
        <f t="shared" si="0"/>
        <v>0</v>
      </c>
      <c r="AB23" s="39">
        <f t="shared" si="0"/>
        <v>0</v>
      </c>
    </row>
    <row r="24" spans="2:28">
      <c r="B24" s="18">
        <v>15</v>
      </c>
      <c r="C24" s="17"/>
      <c r="D24" s="19" t="s">
        <v>37</v>
      </c>
      <c r="E24" s="21">
        <f t="shared" ref="E24:AB24" si="3">SUM(E21:E23)</f>
        <v>0</v>
      </c>
      <c r="F24" s="21">
        <f t="shared" si="3"/>
        <v>0</v>
      </c>
      <c r="G24" s="21">
        <f t="shared" si="3"/>
        <v>0</v>
      </c>
      <c r="H24" s="21">
        <f t="shared" si="3"/>
        <v>0</v>
      </c>
      <c r="I24" s="21">
        <f t="shared" si="3"/>
        <v>0</v>
      </c>
      <c r="J24" s="21">
        <f t="shared" si="3"/>
        <v>0</v>
      </c>
      <c r="K24" s="21">
        <f t="shared" si="3"/>
        <v>0</v>
      </c>
      <c r="L24" s="21">
        <f t="shared" si="3"/>
        <v>0</v>
      </c>
      <c r="M24" s="21">
        <f t="shared" si="3"/>
        <v>0</v>
      </c>
      <c r="N24" s="21">
        <f t="shared" si="3"/>
        <v>0</v>
      </c>
      <c r="O24" s="21">
        <f t="shared" si="3"/>
        <v>0</v>
      </c>
      <c r="P24" s="21">
        <f t="shared" si="3"/>
        <v>0</v>
      </c>
      <c r="Q24" s="21">
        <f t="shared" si="3"/>
        <v>0</v>
      </c>
      <c r="R24" s="21">
        <f t="shared" si="3"/>
        <v>0</v>
      </c>
      <c r="S24" s="21">
        <f t="shared" si="3"/>
        <v>0</v>
      </c>
      <c r="T24" s="21">
        <f t="shared" si="3"/>
        <v>0</v>
      </c>
      <c r="U24" s="21">
        <f t="shared" si="3"/>
        <v>0</v>
      </c>
      <c r="V24" s="21">
        <f t="shared" si="3"/>
        <v>0</v>
      </c>
      <c r="W24" s="21">
        <f t="shared" si="3"/>
        <v>0</v>
      </c>
      <c r="X24" s="21">
        <f t="shared" si="3"/>
        <v>0</v>
      </c>
      <c r="Y24" s="21">
        <f t="shared" si="3"/>
        <v>0</v>
      </c>
      <c r="Z24" s="21">
        <f t="shared" si="3"/>
        <v>0</v>
      </c>
      <c r="AA24" s="21">
        <f t="shared" si="3"/>
        <v>0</v>
      </c>
      <c r="AB24" s="21">
        <f t="shared" si="3"/>
        <v>0</v>
      </c>
    </row>
    <row r="25" spans="2:28">
      <c r="B25" s="18">
        <v>16</v>
      </c>
      <c r="C25" s="17"/>
      <c r="D25" s="19" t="s">
        <v>27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39"/>
      <c r="AB25" s="39"/>
    </row>
    <row r="26" spans="2:28">
      <c r="B26" s="18">
        <v>17</v>
      </c>
      <c r="C26" s="17"/>
      <c r="D26" s="19" t="s">
        <v>38</v>
      </c>
      <c r="E26" s="20">
        <v>0</v>
      </c>
      <c r="F26" s="22"/>
      <c r="G26" s="20">
        <v>0</v>
      </c>
      <c r="H26" s="22"/>
      <c r="I26" s="20">
        <v>0</v>
      </c>
      <c r="J26" s="22"/>
      <c r="K26" s="20">
        <v>0</v>
      </c>
      <c r="L26" s="22"/>
      <c r="M26" s="20">
        <v>0</v>
      </c>
      <c r="N26" s="22"/>
      <c r="O26" s="20">
        <v>0</v>
      </c>
      <c r="P26" s="22"/>
      <c r="Q26" s="20">
        <v>0</v>
      </c>
      <c r="R26" s="22"/>
      <c r="S26" s="20">
        <v>0</v>
      </c>
      <c r="T26" s="22"/>
      <c r="U26" s="20">
        <v>0</v>
      </c>
      <c r="V26" s="22"/>
      <c r="W26" s="20">
        <v>0</v>
      </c>
      <c r="X26" s="22"/>
      <c r="Y26" s="20">
        <v>0</v>
      </c>
      <c r="Z26" s="22"/>
      <c r="AA26" s="39">
        <f t="shared" si="0"/>
        <v>0</v>
      </c>
      <c r="AB26" s="39"/>
    </row>
    <row r="27" spans="2:28">
      <c r="B27" s="18">
        <v>18</v>
      </c>
      <c r="C27" s="23"/>
      <c r="D27" s="19" t="s">
        <v>39</v>
      </c>
      <c r="E27" s="20">
        <v>0</v>
      </c>
      <c r="F27" s="22"/>
      <c r="G27" s="20">
        <v>0</v>
      </c>
      <c r="H27" s="22"/>
      <c r="I27" s="20">
        <v>0</v>
      </c>
      <c r="J27" s="22"/>
      <c r="K27" s="20">
        <v>0</v>
      </c>
      <c r="L27" s="22"/>
      <c r="M27" s="20">
        <v>0</v>
      </c>
      <c r="N27" s="22"/>
      <c r="O27" s="20">
        <v>0</v>
      </c>
      <c r="P27" s="22"/>
      <c r="Q27" s="20">
        <v>0</v>
      </c>
      <c r="R27" s="22"/>
      <c r="S27" s="20">
        <v>0</v>
      </c>
      <c r="T27" s="22"/>
      <c r="U27" s="20">
        <v>0</v>
      </c>
      <c r="V27" s="22"/>
      <c r="W27" s="20">
        <v>0</v>
      </c>
      <c r="X27" s="22"/>
      <c r="Y27" s="20">
        <v>0</v>
      </c>
      <c r="Z27" s="22"/>
      <c r="AA27" s="39">
        <f t="shared" si="0"/>
        <v>0</v>
      </c>
      <c r="AB27" s="39"/>
    </row>
    <row r="28" spans="2:28">
      <c r="B28" s="24">
        <v>19</v>
      </c>
      <c r="C28" s="23"/>
      <c r="D28" s="25" t="s">
        <v>24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40">
        <f t="shared" si="0"/>
        <v>0</v>
      </c>
      <c r="AB28" s="40">
        <f t="shared" si="0"/>
        <v>0</v>
      </c>
    </row>
    <row r="29" spans="2:28">
      <c r="B29" s="24">
        <v>20</v>
      </c>
      <c r="C29" s="26"/>
      <c r="D29" s="25" t="s">
        <v>25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40">
        <f t="shared" si="0"/>
        <v>0</v>
      </c>
      <c r="AB29" s="40">
        <f t="shared" si="0"/>
        <v>0</v>
      </c>
    </row>
    <row r="30" spans="2:28">
      <c r="B30" s="24">
        <v>21</v>
      </c>
      <c r="C30" s="26" t="s">
        <v>40</v>
      </c>
      <c r="D30" s="27" t="s">
        <v>34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39">
        <f t="shared" si="0"/>
        <v>0</v>
      </c>
      <c r="AB30" s="39">
        <f t="shared" si="0"/>
        <v>0</v>
      </c>
    </row>
    <row r="31" spans="2:28">
      <c r="B31" s="24">
        <v>22</v>
      </c>
      <c r="C31" s="26"/>
      <c r="D31" s="27" t="s">
        <v>35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39">
        <f t="shared" si="0"/>
        <v>0</v>
      </c>
      <c r="AB31" s="39">
        <f t="shared" si="0"/>
        <v>0</v>
      </c>
    </row>
    <row r="32" spans="2:28">
      <c r="B32" s="24">
        <v>23</v>
      </c>
      <c r="C32" s="26"/>
      <c r="D32" s="27" t="s">
        <v>36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39">
        <f t="shared" si="0"/>
        <v>0</v>
      </c>
      <c r="AB32" s="39">
        <f t="shared" si="0"/>
        <v>0</v>
      </c>
    </row>
    <row r="33" spans="2:28">
      <c r="B33" s="24">
        <v>24</v>
      </c>
      <c r="C33" s="28"/>
      <c r="D33" s="29" t="s">
        <v>41</v>
      </c>
      <c r="E33" s="21">
        <f>SUM(E28:E32)</f>
        <v>0</v>
      </c>
      <c r="F33" s="21">
        <f t="shared" ref="F33:AB33" si="4">SUM(F28:F32)</f>
        <v>0</v>
      </c>
      <c r="G33" s="21">
        <f t="shared" si="4"/>
        <v>0</v>
      </c>
      <c r="H33" s="21">
        <f t="shared" si="4"/>
        <v>0</v>
      </c>
      <c r="I33" s="21">
        <f t="shared" si="4"/>
        <v>0</v>
      </c>
      <c r="J33" s="21">
        <f t="shared" si="4"/>
        <v>0</v>
      </c>
      <c r="K33" s="21">
        <f t="shared" si="4"/>
        <v>0</v>
      </c>
      <c r="L33" s="21">
        <f t="shared" si="4"/>
        <v>0</v>
      </c>
      <c r="M33" s="21">
        <f t="shared" si="4"/>
        <v>0</v>
      </c>
      <c r="N33" s="21">
        <f t="shared" si="4"/>
        <v>0</v>
      </c>
      <c r="O33" s="21">
        <f t="shared" si="4"/>
        <v>0</v>
      </c>
      <c r="P33" s="21">
        <f t="shared" si="4"/>
        <v>0</v>
      </c>
      <c r="Q33" s="21">
        <f t="shared" si="4"/>
        <v>0</v>
      </c>
      <c r="R33" s="21">
        <f t="shared" si="4"/>
        <v>0</v>
      </c>
      <c r="S33" s="21">
        <f t="shared" si="4"/>
        <v>0</v>
      </c>
      <c r="T33" s="21">
        <f t="shared" si="4"/>
        <v>0</v>
      </c>
      <c r="U33" s="21">
        <f t="shared" si="4"/>
        <v>0</v>
      </c>
      <c r="V33" s="21">
        <f t="shared" si="4"/>
        <v>0</v>
      </c>
      <c r="W33" s="21">
        <f t="shared" si="4"/>
        <v>0</v>
      </c>
      <c r="X33" s="21">
        <f t="shared" si="4"/>
        <v>0</v>
      </c>
      <c r="Y33" s="21">
        <f t="shared" si="4"/>
        <v>0</v>
      </c>
      <c r="Z33" s="21">
        <f t="shared" si="4"/>
        <v>0</v>
      </c>
      <c r="AA33" s="21">
        <f t="shared" si="4"/>
        <v>0</v>
      </c>
      <c r="AB33" s="21">
        <f t="shared" si="4"/>
        <v>0</v>
      </c>
    </row>
    <row r="34" ht="14.5" spans="2:28">
      <c r="B34" s="30"/>
      <c r="C34" s="31" t="s">
        <v>42</v>
      </c>
      <c r="D34" s="27"/>
      <c r="E34" s="32">
        <f t="shared" ref="E34:Z34" si="5">E12+E17+E24+E33</f>
        <v>0</v>
      </c>
      <c r="F34" s="33">
        <f t="shared" si="5"/>
        <v>0</v>
      </c>
      <c r="G34" s="33">
        <f t="shared" si="5"/>
        <v>0</v>
      </c>
      <c r="H34" s="33">
        <f t="shared" si="5"/>
        <v>0</v>
      </c>
      <c r="I34" s="33">
        <f t="shared" si="5"/>
        <v>0</v>
      </c>
      <c r="J34" s="33">
        <f t="shared" si="5"/>
        <v>0</v>
      </c>
      <c r="K34" s="33">
        <f t="shared" si="5"/>
        <v>0</v>
      </c>
      <c r="L34" s="33">
        <f t="shared" si="5"/>
        <v>0</v>
      </c>
      <c r="M34" s="33">
        <f t="shared" si="5"/>
        <v>0</v>
      </c>
      <c r="N34" s="33">
        <f t="shared" si="5"/>
        <v>0</v>
      </c>
      <c r="O34" s="33">
        <f t="shared" si="5"/>
        <v>0</v>
      </c>
      <c r="P34" s="33">
        <f t="shared" si="5"/>
        <v>0</v>
      </c>
      <c r="Q34" s="33">
        <f t="shared" si="5"/>
        <v>0</v>
      </c>
      <c r="R34" s="33">
        <f t="shared" si="5"/>
        <v>0</v>
      </c>
      <c r="S34" s="33">
        <f t="shared" si="5"/>
        <v>0</v>
      </c>
      <c r="T34" s="33">
        <f t="shared" si="5"/>
        <v>0</v>
      </c>
      <c r="U34" s="33">
        <f t="shared" si="5"/>
        <v>0</v>
      </c>
      <c r="V34" s="33">
        <f t="shared" si="5"/>
        <v>0</v>
      </c>
      <c r="W34" s="33">
        <f t="shared" si="5"/>
        <v>0</v>
      </c>
      <c r="X34" s="33">
        <f t="shared" si="5"/>
        <v>0</v>
      </c>
      <c r="Y34" s="33">
        <f t="shared" si="5"/>
        <v>0</v>
      </c>
      <c r="Z34" s="33">
        <f t="shared" si="5"/>
        <v>0</v>
      </c>
      <c r="AA34" s="41">
        <f>E34+G34+I34+K34+M34+O34+Q34+S34+U34+W34+Y34</f>
        <v>0</v>
      </c>
      <c r="AB34" s="41">
        <f>F34+H34+J34+L34+N34+P34+R34+T34+V34+X34+Z34</f>
        <v>0</v>
      </c>
    </row>
    <row r="35" s="1" customFormat="1" ht="15" customHeight="1" spans="2:28">
      <c r="B35" s="34" t="s">
        <v>43</v>
      </c>
      <c r="C35" s="35"/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42"/>
    </row>
    <row r="36" customHeight="1"/>
  </sheetData>
  <sheetProtection password="DE1B" sheet="1"/>
  <mergeCells count="23">
    <mergeCell ref="B2:AB2"/>
    <mergeCell ref="C3:D3"/>
    <mergeCell ref="C4:D4"/>
    <mergeCell ref="C5:D5"/>
    <mergeCell ref="B7:AB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B8:B9"/>
    <mergeCell ref="C10:C14"/>
    <mergeCell ref="C15:C20"/>
    <mergeCell ref="C21:C27"/>
    <mergeCell ref="E3:AB5"/>
    <mergeCell ref="C8:D9"/>
  </mergeCells>
  <dataValidations count="1">
    <dataValidation type="whole" operator="between" allowBlank="1" showInputMessage="1" showErrorMessage="1" sqref="E10:AB34">
      <formula1>-1000000000</formula1>
      <formula2>1000000000</formula2>
    </dataValidation>
  </dataValidations>
  <pageMargins left="0.7" right="0.7" top="0.75" bottom="0.75" header="0.3" footer="0.3"/>
  <pageSetup paperSize="9" scale="50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BRF107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2021-10-19T13:12:01Z</dcterms:created>
  <dcterms:modified xsi:type="dcterms:W3CDTF">2024-02-22T06:40:27Z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2022-02-14T11:42:31Z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f09b1681-7db9-4844-99e5-4b7d6c6db06a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431193D078D84D1DBF14B40E9E5A20A5_13</vt:lpwstr>
  </property>
  <property fmtid="{D5CDD505-2E9C-101B-9397-08002B2CF9AE}" pid="10" name="KSOProductBuildVer">
    <vt:lpwstr>1033-12.2.0.13431</vt:lpwstr>
  </property>
</Properties>
</file>