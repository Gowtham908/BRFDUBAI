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BRF109" sheetId="1" r:id="rId1"/>
  </sheets>
  <definedNames>
    <definedName name="_xlnm.Print_Area" localSheetId="0">BRF109!$B$2:$I$82</definedName>
  </definedNames>
  <calcPr calcId="144525"/>
</workbook>
</file>

<file path=xl/sharedStrings.xml><?xml version="1.0" encoding="utf-8"?>
<sst xmlns="http://schemas.openxmlformats.org/spreadsheetml/2006/main" count="252" uniqueCount="221">
  <si>
    <t xml:space="preserve">      BANKING  RETURN FORMS - COMPUTATION OF STANDALONE CAPITAL ADEQUACY RATIO (CAR) AS PER BASEL III- BRF 109 (AED 000)</t>
  </si>
  <si>
    <t>ID:</t>
  </si>
  <si>
    <t>4-109-1-0</t>
  </si>
  <si>
    <t>BANK</t>
  </si>
  <si>
    <t>Bank of Baroda</t>
  </si>
  <si>
    <t>As On</t>
  </si>
  <si>
    <t>No.</t>
  </si>
  <si>
    <t>Standalone Reporting Capital Levels</t>
  </si>
  <si>
    <t>Ratios</t>
  </si>
  <si>
    <t>Bank's Standalone Capital Ratio</t>
  </si>
  <si>
    <t>Common Equity Tier 1 Capital Ratio</t>
  </si>
  <si>
    <t>Tier 1 Capital Ratio</t>
  </si>
  <si>
    <t>2.1.1</t>
  </si>
  <si>
    <t>Additional Tier 1 Ratio</t>
  </si>
  <si>
    <t>Total Capital Ratio</t>
  </si>
  <si>
    <t>Aggregated Buffer requirement (effective CCB)</t>
  </si>
  <si>
    <t>2.2.1</t>
  </si>
  <si>
    <t>Tier 2 Ratio</t>
  </si>
  <si>
    <t>1.4.1</t>
  </si>
  <si>
    <t>Capital Conservation Buffer (CCB)</t>
  </si>
  <si>
    <t>1.4.2.1</t>
  </si>
  <si>
    <t>Countercyclical Buffer (CCyB) for exposures within the UAE</t>
  </si>
  <si>
    <t>CET1 available for the buffer requirement</t>
  </si>
  <si>
    <t>1.4.2.2</t>
  </si>
  <si>
    <r>
      <t xml:space="preserve">Effective Countercyclical Buffer (CCyB) of the bank
</t>
    </r>
    <r>
      <rPr>
        <sz val="8"/>
        <color indexed="10"/>
        <rFont val="Arial"/>
        <family val="2"/>
        <charset val="0"/>
      </rPr>
      <t>(All banks need to amend this ratio based on CCyB as per Capital Supply Standard)</t>
    </r>
  </si>
  <si>
    <t>Buffer quartile</t>
  </si>
  <si>
    <t>1.4.3</t>
  </si>
  <si>
    <r>
      <t xml:space="preserve">Domestic Systemically Important Bank Buffer
</t>
    </r>
    <r>
      <rPr>
        <sz val="8"/>
        <color indexed="10"/>
        <rFont val="Arial"/>
        <family val="2"/>
        <charset val="0"/>
      </rPr>
      <t>(DSIB banks need to change this accordingly)</t>
    </r>
  </si>
  <si>
    <t>Supervisory Capital Guidance (SCG): Minimum Capital Requirements</t>
  </si>
  <si>
    <r>
      <t xml:space="preserve">Supervisory Capital Guidance incl. SCG
</t>
    </r>
    <r>
      <rPr>
        <sz val="8"/>
        <color indexed="10"/>
        <rFont val="Arial"/>
        <family val="2"/>
        <charset val="0"/>
      </rPr>
      <t>(All banks need to amend this ratio as per Capital Supply Standard)</t>
    </r>
  </si>
  <si>
    <t>Common Equity Tier 1 Capital Ratio incl. SCG</t>
  </si>
  <si>
    <t>Buffer Quartile</t>
  </si>
  <si>
    <t>Tier 1 Capital Ratio incl. SCG</t>
  </si>
  <si>
    <t>Total Capital Ratio incl. SCG</t>
  </si>
  <si>
    <t>Details</t>
  </si>
  <si>
    <t>Amount</t>
  </si>
  <si>
    <t>Total Eligible Capital</t>
  </si>
  <si>
    <t>Tier 2 (T2) Capital</t>
  </si>
  <si>
    <t>Common Equity Tier 1 (CET1) Capital</t>
  </si>
  <si>
    <t>5.3.1</t>
  </si>
  <si>
    <t>Perpetual equity instruments, not included in Tier 1 capital</t>
  </si>
  <si>
    <t>5.1.1</t>
  </si>
  <si>
    <t>Share Capital</t>
  </si>
  <si>
    <t>5.3.2</t>
  </si>
  <si>
    <t>Share premium, resulting from the issue of T2 capital.</t>
  </si>
  <si>
    <t>5.1.2</t>
  </si>
  <si>
    <t>Share premium account</t>
  </si>
  <si>
    <t>5.3.3</t>
  </si>
  <si>
    <r>
      <t xml:space="preserve">Instruments which are eligible for inclusion of Tier 2 e.g. subordinated loan (After Grandfathering and/or Amortisation)
</t>
    </r>
    <r>
      <rPr>
        <sz val="8"/>
        <color indexed="10"/>
        <rFont val="Arial"/>
        <family val="2"/>
        <charset val="0"/>
      </rPr>
      <t>(All banks need to enter total original issuance amount AFTER Grandfathering/Amortisation, if any)</t>
    </r>
  </si>
  <si>
    <t>5.1.3</t>
  </si>
  <si>
    <t>Eligible Reserves</t>
  </si>
  <si>
    <t>5.3.3.1</t>
  </si>
  <si>
    <r>
      <t xml:space="preserve">Instruments which are eligible for inclusion of Tier 2  (Before Grandfathering and/or Amortisation)
</t>
    </r>
    <r>
      <rPr>
        <sz val="8"/>
        <color indexed="10"/>
        <rFont val="Arial"/>
        <family val="2"/>
        <charset val="0"/>
      </rPr>
      <t>(All banks need to enter total original issuance amount BEFORE Grandfathering/Amortisation, if any)</t>
    </r>
  </si>
  <si>
    <t>5.1.3.1</t>
  </si>
  <si>
    <t>Legal Reserves (Art. 82 Union Law No. 10)</t>
  </si>
  <si>
    <t>5.3.4</t>
  </si>
  <si>
    <t xml:space="preserve">Eligible amount of minority interest </t>
  </si>
  <si>
    <t>5.1.3.2</t>
  </si>
  <si>
    <t>Statutory Reserves (Art. 192 Union Law No. 8)</t>
  </si>
  <si>
    <t>5.3.5</t>
  </si>
  <si>
    <t>Eligible general provision (max 1.25% of CRWA under standardised approach)
(Note 3)</t>
  </si>
  <si>
    <t>5.1.3.3</t>
  </si>
  <si>
    <t>Accumulated other comprehensive income (Note 1)</t>
  </si>
  <si>
    <t>Total T2 capital after the regulatory adjustments</t>
  </si>
  <si>
    <t>5.1.3.4</t>
  </si>
  <si>
    <t>Other Disclosed Reserves (e.g. General Reserves, Other Reserves)</t>
  </si>
  <si>
    <t>Total Risk Weighted Assets - Pillar 1</t>
  </si>
  <si>
    <t>5.1.4</t>
  </si>
  <si>
    <t>Retained Earnings / (-) Loss</t>
  </si>
  <si>
    <t>Credit Risk Standardised approach (CSA)</t>
  </si>
  <si>
    <t>5.1.4.1</t>
  </si>
  <si>
    <t>Accumulated Retained Earnings / (-) Loss</t>
  </si>
  <si>
    <t>6.1.1</t>
  </si>
  <si>
    <t>Sovereigns</t>
  </si>
  <si>
    <t>5.1.4.2</t>
  </si>
  <si>
    <t xml:space="preserve">Audited/Reviewed current year profits / (-) Current financial year loss
</t>
  </si>
  <si>
    <t>6.1.2</t>
  </si>
  <si>
    <t>Public Sector Enterprises (Including Government Related Enterprises)</t>
  </si>
  <si>
    <t>5.1.4.3</t>
  </si>
  <si>
    <t>Dividend Expected/Proposed</t>
  </si>
  <si>
    <t>6.1.2.1</t>
  </si>
  <si>
    <t>PSEs treated as claims on Sovereign</t>
  </si>
  <si>
    <t>5.1.4.4</t>
  </si>
  <si>
    <r>
      <t xml:space="preserve">IFRS transitional arrangement: Partial addback of ECL impact to CET1 
</t>
    </r>
    <r>
      <rPr>
        <sz val="8"/>
        <color indexed="10"/>
        <rFont val="Arial"/>
        <family val="2"/>
        <charset val="0"/>
      </rPr>
      <t>(MANDATORY)</t>
    </r>
  </si>
  <si>
    <t>6.1.2.2</t>
  </si>
  <si>
    <t>PSEs treated as claims on Banks</t>
  </si>
  <si>
    <t>5.1.4.5</t>
  </si>
  <si>
    <t>CBUAE Regulatory deductions: (e.g.amount exceeding Large Exposure threshold)</t>
  </si>
  <si>
    <t>6.1.2.3</t>
  </si>
  <si>
    <t xml:space="preserve">PSEs treated as claims on Corporates </t>
  </si>
  <si>
    <t>5.1.5</t>
  </si>
  <si>
    <t>6.1.3</t>
  </si>
  <si>
    <t>Multilateral Development Banks</t>
  </si>
  <si>
    <t>5.1.6</t>
  </si>
  <si>
    <t>Capital shortfall of consolidated subsidiaries</t>
  </si>
  <si>
    <t>6.1.4</t>
  </si>
  <si>
    <t>Banks</t>
  </si>
  <si>
    <t>5.1.7</t>
  </si>
  <si>
    <t>Capital shortfall of non- consolidated subsidiaries</t>
  </si>
  <si>
    <t>6.1.5</t>
  </si>
  <si>
    <t>Securities Firms</t>
  </si>
  <si>
    <t>CET1 Capital (prior to regulatory deductions)</t>
  </si>
  <si>
    <t>6.1.6</t>
  </si>
  <si>
    <t xml:space="preserve">Corporates </t>
  </si>
  <si>
    <t>5.1.8</t>
  </si>
  <si>
    <t>Regulatory deductions:</t>
  </si>
  <si>
    <t>6.1.7</t>
  </si>
  <si>
    <t>Retail: Individuals and Small SMEs</t>
  </si>
  <si>
    <t>5.1.8.1</t>
  </si>
  <si>
    <t>Goodwill and other intangibles (including mortgage servicing rights)</t>
  </si>
  <si>
    <t>6.1.8</t>
  </si>
  <si>
    <t>Secured by residential property</t>
  </si>
  <si>
    <t>5.1.8.2</t>
  </si>
  <si>
    <t>Deferred tax assets</t>
  </si>
  <si>
    <t>6.1.9</t>
  </si>
  <si>
    <t>Secured by commercial real estate</t>
  </si>
  <si>
    <t>5.1.8.3</t>
  </si>
  <si>
    <t>Cash flow hedge reserve</t>
  </si>
  <si>
    <t>6.1.10</t>
  </si>
  <si>
    <t>Past due items</t>
  </si>
  <si>
    <t>5.1.8.4</t>
  </si>
  <si>
    <t>Gain on sale related to securitisation transactions</t>
  </si>
  <si>
    <t>6.1.11</t>
  </si>
  <si>
    <t>Items belonging to regulatory high-risk categories</t>
  </si>
  <si>
    <t>5.1.8.5</t>
  </si>
  <si>
    <t>Cumulative gains and losses due to changes in own credit risk on fair valued financial liabilities</t>
  </si>
  <si>
    <t>6.1.12</t>
  </si>
  <si>
    <t>Other assets</t>
  </si>
  <si>
    <t>5.1.8.6</t>
  </si>
  <si>
    <t>Defined benefit pension fund assets and liabilities</t>
  </si>
  <si>
    <t>6.1.13</t>
  </si>
  <si>
    <t>Credit Derivatives (Protection seller)</t>
  </si>
  <si>
    <t>5.1.8.7</t>
  </si>
  <si>
    <t>Investments in own CET1 (e.g.treasury stock)</t>
  </si>
  <si>
    <t>6.1.14</t>
  </si>
  <si>
    <t>Settlement Risk (SR1)</t>
  </si>
  <si>
    <t>5.1.8.8</t>
  </si>
  <si>
    <t>Reciprocal cross holdings in banking, financial and insurance entities</t>
  </si>
  <si>
    <t>6.1.15</t>
  </si>
  <si>
    <t>CVA Risk</t>
  </si>
  <si>
    <t>5.1.8.8.1</t>
  </si>
  <si>
    <t>Reciprocal cross holdings in the CET1 of banking, financial and insurance entities</t>
  </si>
  <si>
    <t>6.1.16</t>
  </si>
  <si>
    <t xml:space="preserve">Equity Investment in Funds (EIF) </t>
  </si>
  <si>
    <t>5.1.8.8.2</t>
  </si>
  <si>
    <t>Reciprocal cross holdings in the AT1 of banking, financial and insurance entities</t>
  </si>
  <si>
    <t>6.1.17</t>
  </si>
  <si>
    <t>Securitization (SEC)</t>
  </si>
  <si>
    <t>5.1.8.8.3</t>
  </si>
  <si>
    <t>Reciprocal cross holdings in the T2 of banking, financial and insurance entities</t>
  </si>
  <si>
    <t>Market Risk -  Standardised approaches (SA)</t>
  </si>
  <si>
    <t>Total CET 1 capital after the regulatory adjustments above (CET1 A)</t>
  </si>
  <si>
    <t>6.2.1</t>
  </si>
  <si>
    <t>Interest Rate in the Trading Book</t>
  </si>
  <si>
    <t>5.1.8.9</t>
  </si>
  <si>
    <t>Deduction: Investments in banking, financial and insurance entities where ownership is &lt; 10% of issued common share capital  (amount above 10% CET1 A)</t>
  </si>
  <si>
    <t>6.2.2</t>
  </si>
  <si>
    <t>Foreign Exchange</t>
  </si>
  <si>
    <t>5.1.8.9.1</t>
  </si>
  <si>
    <t>Proportion of investment in CET1  above 10% CET1 A</t>
  </si>
  <si>
    <t>6.2.3</t>
  </si>
  <si>
    <t>Equity</t>
  </si>
  <si>
    <t>5.1.8.9.2</t>
  </si>
  <si>
    <t>Proportion of investment in AT1  above 10% CET1 A</t>
  </si>
  <si>
    <t>6.2.4</t>
  </si>
  <si>
    <t>Commodities</t>
  </si>
  <si>
    <t>5.1.8.9.3</t>
  </si>
  <si>
    <t>Proportion of investment in T2  above 10% CET1 A</t>
  </si>
  <si>
    <t>6.2.5</t>
  </si>
  <si>
    <t>Option</t>
  </si>
  <si>
    <t>Total CET1 after the regulatory adjustments above (CET1 B)</t>
  </si>
  <si>
    <t>Operational Risk</t>
  </si>
  <si>
    <t>5.1.8.10</t>
  </si>
  <si>
    <t>Deduction: Not common share Investments in banking, financial and insurance entities where ownership is &gt;10% of the issued common share capital (Meet the criteria of CET1, AT1, &amp; T2)</t>
  </si>
  <si>
    <t>6.3.1</t>
  </si>
  <si>
    <t>OpRisk Basic indicator approach (BIA)</t>
  </si>
  <si>
    <t>5.1.8.10.1</t>
  </si>
  <si>
    <t>6.3.2</t>
  </si>
  <si>
    <t>OpRisk Standardised (STA) / Alternative Standardised (ASA) approaches</t>
  </si>
  <si>
    <t>5.1.8.10.2</t>
  </si>
  <si>
    <t>5.1.8.10.3</t>
  </si>
  <si>
    <t>MEMORANDUM ITEMS:</t>
  </si>
  <si>
    <t>Total CET1 after the regulatory adjustments above (CET1 C)</t>
  </si>
  <si>
    <t>5.1.9</t>
  </si>
  <si>
    <t>Threshold deductions:</t>
  </si>
  <si>
    <t>5.1.9.1</t>
  </si>
  <si>
    <t>Deduction: Significant investments in the common share of banking, financial and insurance entities (amount above 10% of CET1 C)</t>
  </si>
  <si>
    <t>5.1.9.2</t>
  </si>
  <si>
    <t>Deferred tax assets arising from temporary differences  (amount above 10% of CET1 C)</t>
  </si>
  <si>
    <t>Total CET1 after the regulatory adjustments above (CET1 D)</t>
  </si>
  <si>
    <t>Bank's Capital Ratio and RWA (without applying IFRS transitional arrangement 5.1.4.4)</t>
  </si>
  <si>
    <t>5.1.9.3</t>
  </si>
  <si>
    <t>Aggregated amount of exceeding the 17.65% of CET1* (Note 2)</t>
  </si>
  <si>
    <t>Total CET1 capital after the regulatory adjustments and threshdold deduction</t>
  </si>
  <si>
    <t>Additional Tier 1 (AT1) Capital</t>
  </si>
  <si>
    <t>5.2.1</t>
  </si>
  <si>
    <r>
      <t xml:space="preserve">Eligible AT1 capital (After Grandfathering and/or Amortisation)
</t>
    </r>
    <r>
      <rPr>
        <sz val="8"/>
        <color indexed="10"/>
        <rFont val="Arial"/>
        <family val="2"/>
        <charset val="0"/>
      </rPr>
      <t>(All banks need to enter total original issuance amount AFTER Grandfathering/Amortisation, if any)</t>
    </r>
  </si>
  <si>
    <t>5.2.1.1</t>
  </si>
  <si>
    <r>
      <t xml:space="preserve">AT capital (Before Grandfathering and/or Amortisation)
</t>
    </r>
    <r>
      <rPr>
        <sz val="8"/>
        <color indexed="10"/>
        <rFont val="Arial"/>
        <family val="2"/>
        <charset val="0"/>
      </rPr>
      <t>(All banks need to enter total original issuance amount BEFORE Grandfathering/Amortisation, if any)</t>
    </r>
  </si>
  <si>
    <t>NA</t>
  </si>
  <si>
    <t>5.2.2</t>
  </si>
  <si>
    <t>Share premium, resulting from the issue of AT1 capital.</t>
  </si>
  <si>
    <t>5.2.3</t>
  </si>
  <si>
    <t>Total AT1 capital after the regulatory adjustments</t>
  </si>
  <si>
    <t>Total Tier 1 Capital</t>
  </si>
  <si>
    <t xml:space="preserve">The amount of cumulative unrealized losses shall be fully deducted in the calculation of CET1 Capital.
Revaluation reserves or cumulative unrealized gains shall be added to CET 1 with a haircut of 55%.
The amount of cumulative unrealized gains arising from the changes in the fair value or revaluation of bank’s own premises and real estate investment are not allowed to be included as part of Asset Revaluation reserve for regulatory purposes.
</t>
  </si>
  <si>
    <t>Amount of CET1 = Total CET1 (prior to deduction) – All the deduction except the threshold deduction (i.e. all deduction outlined in para 44 to 67) minus the total amount of both DTA that rely on future profitability and arise from temporary difference and significant investments in the unconsolidated financial institutions.</t>
  </si>
  <si>
    <t>Note, that for example "Other unallocated provisions for impaired assets" as per BRF 2 (25.2.2) should not be part of general provision.</t>
  </si>
  <si>
    <t>Buffer requirement</t>
  </si>
  <si>
    <t>Quartile</t>
  </si>
  <si>
    <t>Below minimum; 100% conservation</t>
  </si>
  <si>
    <t>1st quartile; 100% conservation</t>
  </si>
  <si>
    <t>2nd quartile; 80% conservation</t>
  </si>
  <si>
    <t>3rd quartile; 60% conservation</t>
  </si>
  <si>
    <t>4th quartile; 40% conservation</t>
  </si>
  <si>
    <t>Above buffer; 0% conservation</t>
  </si>
  <si>
    <t>Availbale capital above minimum requirements</t>
  </si>
  <si>
    <t>Freely availbale Tier capital</t>
  </si>
  <si>
    <t>CET1</t>
  </si>
  <si>
    <t>AT1</t>
  </si>
  <si>
    <t>Tier 2</t>
  </si>
</sst>
</file>

<file path=xl/styles.xml><?xml version="1.0" encoding="utf-8"?>
<styleSheet xmlns="http://schemas.openxmlformats.org/spreadsheetml/2006/main" xmlns:xr9="http://schemas.microsoft.com/office/spreadsheetml/2016/revision9">
  <numFmts count="8">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quot;x&quot;"/>
    <numFmt numFmtId="177" formatCode="0.00000"/>
    <numFmt numFmtId="178" formatCode="0.0000"/>
    <numFmt numFmtId="179" formatCode="#,##0.00000"/>
  </numFmts>
  <fonts count="30">
    <font>
      <sz val="11"/>
      <color theme="1"/>
      <name val="Calibri"/>
      <family val="2"/>
      <charset val="0"/>
      <scheme val="minor"/>
    </font>
    <font>
      <b/>
      <sz val="8"/>
      <name val="Arial"/>
      <family val="2"/>
      <charset val="0"/>
    </font>
    <font>
      <b/>
      <sz val="8"/>
      <color theme="1"/>
      <name val="Arial"/>
      <family val="2"/>
      <charset val="0"/>
    </font>
    <font>
      <sz val="8"/>
      <color theme="1"/>
      <name val="Arial"/>
      <family val="2"/>
      <charset val="0"/>
    </font>
    <font>
      <sz val="11"/>
      <color theme="0"/>
      <name val="Calibri"/>
      <family val="2"/>
      <charset val="0"/>
      <scheme val="minor"/>
    </font>
    <font>
      <b/>
      <sz val="8"/>
      <color theme="0"/>
      <name val="Arial"/>
      <family val="2"/>
      <charset val="0"/>
    </font>
    <font>
      <sz val="8"/>
      <color theme="0"/>
      <name val="Arial"/>
      <family val="2"/>
      <charset val="0"/>
    </font>
    <font>
      <sz val="11"/>
      <name val="Calibri"/>
      <family val="2"/>
      <charset val="0"/>
      <scheme val="minor"/>
    </font>
    <font>
      <sz val="8"/>
      <name val="Arial"/>
      <family val="2"/>
      <charset val="0"/>
    </font>
    <font>
      <sz val="11"/>
      <color rgb="FFFF0000"/>
      <name val="Calibri"/>
      <family val="2"/>
      <charset val="0"/>
      <scheme val="minor"/>
    </font>
    <font>
      <sz val="8"/>
      <color rgb="FFFF0000"/>
      <name val="Arial"/>
      <family val="2"/>
      <charset val="0"/>
    </font>
    <font>
      <u/>
      <sz val="11"/>
      <color theme="10"/>
      <name val="Calibri"/>
      <family val="2"/>
      <charset val="0"/>
      <scheme val="minor"/>
    </font>
    <font>
      <u/>
      <sz val="11"/>
      <color theme="11"/>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5700"/>
      <name val="Calibri"/>
      <family val="2"/>
      <charset val="0"/>
      <scheme val="minor"/>
    </font>
    <font>
      <sz val="10"/>
      <name val="Arial"/>
      <family val="2"/>
      <charset val="0"/>
    </font>
    <font>
      <sz val="12"/>
      <name val="Arial"/>
      <family val="2"/>
      <charset val="0"/>
    </font>
    <font>
      <sz val="8"/>
      <color indexed="10"/>
      <name val="Arial"/>
      <family val="2"/>
      <charset val="0"/>
    </font>
  </fonts>
  <fills count="41">
    <fill>
      <patternFill patternType="none"/>
    </fill>
    <fill>
      <patternFill patternType="gray125"/>
    </fill>
    <fill>
      <patternFill patternType="solid">
        <fgColor theme="0" tint="-0.149998474074526"/>
        <bgColor rgb="FF000000"/>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249977111117893"/>
        <bgColor theme="0"/>
      </patternFill>
    </fill>
    <fill>
      <patternFill patternType="solid">
        <fgColor theme="0"/>
        <bgColor theme="0"/>
      </patternFill>
    </fill>
    <fill>
      <patternFill patternType="solid">
        <fgColor theme="0" tint="-0.0499893185216834"/>
        <bgColor theme="0"/>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medium">
        <color auto="1"/>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style="thin">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0" fillId="10" borderId="36" applyNumberFormat="0" applyFont="0" applyAlignment="0" applyProtection="0"/>
    <xf numFmtId="0" fontId="9"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37" applyNumberFormat="0" applyFill="0" applyAlignment="0" applyProtection="0"/>
    <xf numFmtId="0" fontId="16" fillId="0" borderId="38" applyNumberFormat="0" applyFill="0" applyAlignment="0" applyProtection="0"/>
    <xf numFmtId="0" fontId="17" fillId="0" borderId="39" applyNumberFormat="0" applyFill="0" applyAlignment="0" applyProtection="0"/>
    <xf numFmtId="0" fontId="17" fillId="0" borderId="0" applyNumberFormat="0" applyFill="0" applyBorder="0" applyAlignment="0" applyProtection="0"/>
    <xf numFmtId="0" fontId="18" fillId="11" borderId="40" applyNumberFormat="0" applyAlignment="0" applyProtection="0"/>
    <xf numFmtId="0" fontId="19" fillId="12" borderId="41" applyNumberFormat="0" applyAlignment="0" applyProtection="0"/>
    <xf numFmtId="0" fontId="20" fillId="12" borderId="40" applyNumberFormat="0" applyAlignment="0" applyProtection="0"/>
    <xf numFmtId="0" fontId="21" fillId="13" borderId="42" applyNumberFormat="0" applyAlignment="0" applyProtection="0"/>
    <xf numFmtId="0" fontId="22" fillId="0" borderId="43" applyNumberFormat="0" applyFill="0" applyAlignment="0" applyProtection="0"/>
    <xf numFmtId="0" fontId="23" fillId="0" borderId="44" applyNumberFormat="0" applyFill="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4"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4"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4"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4"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4" fillId="33" borderId="0" applyNumberFormat="0" applyBorder="0" applyAlignment="0" applyProtection="0"/>
    <xf numFmtId="0" fontId="0" fillId="34" borderId="0" applyNumberFormat="0" applyBorder="0" applyAlignment="0" applyProtection="0"/>
    <xf numFmtId="0" fontId="0" fillId="35" borderId="0" applyNumberFormat="0" applyBorder="0" applyAlignment="0" applyProtection="0"/>
    <xf numFmtId="0" fontId="0" fillId="36" borderId="0" applyNumberFormat="0" applyBorder="0" applyAlignment="0" applyProtection="0"/>
    <xf numFmtId="0" fontId="4" fillId="37" borderId="0" applyNumberFormat="0" applyBorder="0" applyAlignment="0" applyProtection="0"/>
    <xf numFmtId="0" fontId="0" fillId="38" borderId="0" applyNumberFormat="0" applyBorder="0" applyAlignment="0" applyProtection="0"/>
    <xf numFmtId="0" fontId="0" fillId="39" borderId="0" applyNumberFormat="0" applyBorder="0" applyAlignment="0" applyProtection="0"/>
    <xf numFmtId="0" fontId="0" fillId="40" borderId="0" applyNumberFormat="0" applyBorder="0" applyAlignment="0" applyProtection="0"/>
    <xf numFmtId="0" fontId="27" fillId="0" borderId="0"/>
    <xf numFmtId="37" fontId="28" fillId="0" borderId="0"/>
    <xf numFmtId="0" fontId="27" fillId="0" borderId="0"/>
    <xf numFmtId="0" fontId="27" fillId="0" borderId="0"/>
  </cellStyleXfs>
  <cellXfs count="126">
    <xf numFmtId="0" fontId="0" fillId="0" borderId="0" xfId="0"/>
    <xf numFmtId="0" fontId="1" fillId="2" borderId="1" xfId="51" applyFont="1" applyFill="1" applyBorder="1" applyAlignment="1" applyProtection="1">
      <alignment horizontal="center" vertical="center" wrapText="1"/>
    </xf>
    <xf numFmtId="0" fontId="1" fillId="2" borderId="2" xfId="51" applyFont="1" applyFill="1" applyBorder="1" applyAlignment="1" applyProtection="1">
      <alignment horizontal="center" vertical="center" wrapText="1"/>
    </xf>
    <xf numFmtId="0" fontId="2" fillId="3" borderId="3" xfId="49" applyFont="1" applyFill="1" applyBorder="1" applyAlignment="1" applyProtection="1"/>
    <xf numFmtId="0" fontId="3" fillId="0" borderId="4" xfId="0" applyFont="1" applyBorder="1" applyAlignment="1">
      <alignment horizontal="left"/>
    </xf>
    <xf numFmtId="0" fontId="3" fillId="0" borderId="5" xfId="0" applyFont="1" applyBorder="1" applyAlignment="1">
      <alignment horizontal="left"/>
    </xf>
    <xf numFmtId="0" fontId="2" fillId="0" borderId="6" xfId="51" applyFont="1" applyFill="1" applyBorder="1" applyAlignment="1" applyProtection="1">
      <alignment horizontal="center" vertical="center"/>
    </xf>
    <xf numFmtId="0" fontId="2" fillId="0" borderId="2" xfId="51" applyFont="1" applyFill="1" applyBorder="1" applyAlignment="1" applyProtection="1">
      <alignment horizontal="center" vertical="center"/>
    </xf>
    <xf numFmtId="15" fontId="2" fillId="3" borderId="3" xfId="50" applyNumberFormat="1" applyFont="1" applyFill="1" applyBorder="1" applyAlignment="1" applyProtection="1">
      <alignment horizontal="left"/>
    </xf>
    <xf numFmtId="0" fontId="2" fillId="0" borderId="7" xfId="51" applyFont="1" applyFill="1" applyBorder="1" applyAlignment="1" applyProtection="1">
      <alignment horizontal="center" vertical="center"/>
    </xf>
    <xf numFmtId="0" fontId="2" fillId="0" borderId="0" xfId="51" applyFont="1" applyFill="1" applyBorder="1" applyAlignment="1" applyProtection="1">
      <alignment horizontal="center" vertical="center"/>
    </xf>
    <xf numFmtId="37" fontId="2" fillId="3" borderId="3" xfId="50" applyFont="1" applyFill="1" applyBorder="1" applyProtection="1"/>
    <xf numFmtId="0" fontId="2" fillId="0" borderId="8" xfId="51" applyFont="1" applyFill="1" applyBorder="1" applyAlignment="1" applyProtection="1">
      <alignment horizontal="center" vertical="center"/>
    </xf>
    <xf numFmtId="0" fontId="2" fillId="0" borderId="9" xfId="51" applyFont="1" applyFill="1" applyBorder="1" applyAlignment="1" applyProtection="1">
      <alignment horizontal="center" vertical="center"/>
    </xf>
    <xf numFmtId="0" fontId="2" fillId="0" borderId="10" xfId="51" applyFont="1" applyFill="1" applyBorder="1" applyAlignment="1" applyProtection="1">
      <alignment horizontal="center" vertical="center"/>
    </xf>
    <xf numFmtId="0" fontId="2" fillId="0" borderId="11" xfId="51" applyFont="1" applyFill="1" applyBorder="1" applyAlignment="1" applyProtection="1">
      <alignment horizontal="center" vertical="center"/>
    </xf>
    <xf numFmtId="0" fontId="3" fillId="0" borderId="0" xfId="51" applyFont="1" applyFill="1" applyBorder="1" applyAlignment="1" applyProtection="1">
      <alignment vertical="center"/>
    </xf>
    <xf numFmtId="176" fontId="3" fillId="0" borderId="0" xfId="51" applyNumberFormat="1" applyFont="1" applyFill="1" applyBorder="1" applyAlignment="1" applyProtection="1">
      <alignment horizontal="center" vertical="center"/>
    </xf>
    <xf numFmtId="0" fontId="3" fillId="0" borderId="0" xfId="51" applyFont="1" applyBorder="1" applyAlignment="1" applyProtection="1">
      <alignment vertical="center"/>
    </xf>
    <xf numFmtId="0" fontId="2" fillId="4" borderId="12" xfId="51" applyFont="1" applyFill="1" applyBorder="1" applyAlignment="1" applyProtection="1">
      <alignment horizontal="center" vertical="center" wrapText="1"/>
    </xf>
    <xf numFmtId="0" fontId="2" fillId="4" borderId="13" xfId="51" applyFont="1" applyFill="1" applyBorder="1" applyAlignment="1" applyProtection="1">
      <alignment horizontal="center" vertical="center" wrapText="1"/>
    </xf>
    <xf numFmtId="0" fontId="2" fillId="4" borderId="14" xfId="51" applyFont="1" applyFill="1" applyBorder="1" applyAlignment="1" applyProtection="1">
      <alignment horizontal="center" vertical="center" wrapText="1"/>
    </xf>
    <xf numFmtId="0" fontId="2" fillId="4" borderId="15" xfId="51" applyFont="1" applyFill="1" applyBorder="1" applyAlignment="1" applyProtection="1">
      <alignment horizontal="center" vertical="center" wrapText="1"/>
    </xf>
    <xf numFmtId="0" fontId="1" fillId="4" borderId="15" xfId="51" applyFont="1" applyFill="1" applyBorder="1" applyAlignment="1" applyProtection="1">
      <alignment horizontal="center" vertical="center" wrapText="1"/>
    </xf>
    <xf numFmtId="0" fontId="2" fillId="5" borderId="3" xfId="51" applyFont="1" applyFill="1" applyBorder="1" applyAlignment="1" applyProtection="1">
      <alignment horizontal="center" vertical="center" wrapText="1"/>
    </xf>
    <xf numFmtId="0" fontId="3" fillId="5" borderId="16" xfId="51" applyNumberFormat="1" applyFont="1" applyFill="1" applyBorder="1" applyAlignment="1" applyProtection="1">
      <alignment horizontal="center" vertical="center" wrapText="1"/>
    </xf>
    <xf numFmtId="0" fontId="3" fillId="5" borderId="16" xfId="51" applyFont="1" applyFill="1" applyBorder="1" applyAlignment="1" applyProtection="1">
      <alignment horizontal="left" vertical="center" wrapText="1"/>
    </xf>
    <xf numFmtId="177" fontId="3" fillId="6" borderId="16" xfId="3" applyNumberFormat="1" applyFont="1" applyFill="1" applyBorder="1" applyAlignment="1" applyProtection="1">
      <alignment horizontal="center" vertical="center" wrapText="1"/>
    </xf>
    <xf numFmtId="0" fontId="2" fillId="5" borderId="16" xfId="51" applyFont="1" applyFill="1" applyBorder="1" applyAlignment="1" applyProtection="1">
      <alignment horizontal="center" vertical="center" wrapText="1"/>
    </xf>
    <xf numFmtId="0" fontId="3" fillId="5" borderId="5" xfId="51" applyNumberFormat="1" applyFont="1" applyFill="1" applyBorder="1" applyAlignment="1" applyProtection="1">
      <alignment horizontal="center" vertical="center" wrapText="1"/>
    </xf>
    <xf numFmtId="0" fontId="2" fillId="5" borderId="3" xfId="52" applyFont="1" applyFill="1" applyBorder="1" applyAlignment="1" applyProtection="1">
      <alignment horizontal="center" vertical="center" wrapText="1"/>
    </xf>
    <xf numFmtId="0" fontId="3" fillId="5" borderId="16" xfId="52" applyNumberFormat="1" applyFont="1" applyFill="1" applyBorder="1" applyAlignment="1" applyProtection="1">
      <alignment horizontal="center" vertical="center" wrapText="1"/>
    </xf>
    <xf numFmtId="0" fontId="3" fillId="5" borderId="16" xfId="52" applyFont="1" applyFill="1" applyBorder="1" applyAlignment="1" applyProtection="1">
      <alignment horizontal="left" vertical="center" wrapText="1"/>
    </xf>
    <xf numFmtId="177" fontId="3" fillId="7" borderId="16" xfId="3" applyNumberFormat="1" applyFont="1" applyFill="1" applyBorder="1" applyAlignment="1" applyProtection="1">
      <alignment horizontal="center" vertical="center" wrapText="1"/>
      <protection locked="0"/>
    </xf>
    <xf numFmtId="0" fontId="3" fillId="5" borderId="17" xfId="51" applyNumberFormat="1" applyFont="1" applyFill="1" applyBorder="1" applyAlignment="1" applyProtection="1">
      <alignment horizontal="center" vertical="center" wrapText="1"/>
    </xf>
    <xf numFmtId="0" fontId="3" fillId="5" borderId="17" xfId="51" applyFont="1" applyFill="1" applyBorder="1" applyAlignment="1" applyProtection="1">
      <alignment horizontal="left" vertical="center" wrapText="1"/>
    </xf>
    <xf numFmtId="0" fontId="2" fillId="5" borderId="18" xfId="51" applyFont="1" applyFill="1" applyBorder="1" applyAlignment="1" applyProtection="1">
      <alignment horizontal="center" vertical="center" wrapText="1"/>
    </xf>
    <xf numFmtId="0" fontId="3" fillId="5" borderId="19" xfId="51" applyNumberFormat="1" applyFont="1" applyFill="1" applyBorder="1" applyAlignment="1" applyProtection="1">
      <alignment horizontal="center" vertical="center" wrapText="1"/>
    </xf>
    <xf numFmtId="177" fontId="3" fillId="7" borderId="19" xfId="3" applyNumberFormat="1" applyFont="1" applyFill="1" applyBorder="1" applyAlignment="1" applyProtection="1">
      <alignment horizontal="center" vertical="center" wrapText="1"/>
      <protection locked="0"/>
    </xf>
    <xf numFmtId="0" fontId="2" fillId="5" borderId="19" xfId="51" applyFont="1" applyFill="1" applyBorder="1" applyAlignment="1" applyProtection="1">
      <alignment horizontal="center" vertical="center" wrapText="1"/>
    </xf>
    <xf numFmtId="0" fontId="3" fillId="5" borderId="19" xfId="51" applyFont="1" applyFill="1" applyBorder="1" applyAlignment="1" applyProtection="1">
      <alignment horizontal="left" vertical="center" wrapText="1"/>
    </xf>
    <xf numFmtId="0" fontId="2" fillId="5" borderId="20" xfId="51" applyFont="1" applyFill="1" applyBorder="1" applyAlignment="1" applyProtection="1">
      <alignment horizontal="center" vertical="center" wrapText="1"/>
    </xf>
    <xf numFmtId="49" fontId="3" fillId="5" borderId="0" xfId="51" applyNumberFormat="1" applyFont="1" applyFill="1" applyBorder="1" applyAlignment="1" applyProtection="1">
      <alignment horizontal="left" vertical="center" wrapText="1"/>
    </xf>
    <xf numFmtId="0" fontId="3" fillId="5" borderId="0" xfId="51" applyFont="1" applyFill="1" applyBorder="1" applyAlignment="1" applyProtection="1">
      <alignment horizontal="left" vertical="center" wrapText="1"/>
    </xf>
    <xf numFmtId="177" fontId="3" fillId="7" borderId="0" xfId="3" applyNumberFormat="1" applyFont="1" applyFill="1" applyBorder="1" applyAlignment="1" applyProtection="1">
      <alignment horizontal="center" vertical="center" wrapText="1"/>
    </xf>
    <xf numFmtId="0" fontId="2" fillId="5" borderId="0" xfId="51" applyFont="1" applyFill="1" applyBorder="1" applyAlignment="1" applyProtection="1">
      <alignment horizontal="center" vertical="center" wrapText="1"/>
    </xf>
    <xf numFmtId="177" fontId="2" fillId="4" borderId="15" xfId="51" applyNumberFormat="1" applyFont="1" applyFill="1" applyBorder="1" applyAlignment="1" applyProtection="1">
      <alignment horizontal="center" vertical="center" wrapText="1"/>
    </xf>
    <xf numFmtId="0" fontId="2" fillId="5" borderId="21" xfId="51" applyFont="1" applyFill="1" applyBorder="1" applyAlignment="1" applyProtection="1">
      <alignment horizontal="center" vertical="center" wrapText="1"/>
    </xf>
    <xf numFmtId="177" fontId="3" fillId="6" borderId="17" xfId="3" applyNumberFormat="1" applyFont="1" applyFill="1" applyBorder="1" applyAlignment="1" applyProtection="1">
      <alignment horizontal="center" vertical="center" wrapText="1"/>
    </xf>
    <xf numFmtId="0" fontId="2" fillId="5" borderId="17" xfId="51" applyFont="1" applyFill="1" applyBorder="1" applyAlignment="1" applyProtection="1">
      <alignment horizontal="center" vertical="center" wrapText="1"/>
    </xf>
    <xf numFmtId="177" fontId="3" fillId="6" borderId="19" xfId="3" applyNumberFormat="1" applyFont="1" applyFill="1" applyBorder="1" applyAlignment="1" applyProtection="1">
      <alignment horizontal="center" vertical="center" wrapText="1"/>
    </xf>
    <xf numFmtId="10" fontId="3" fillId="7" borderId="0" xfId="3" applyNumberFormat="1" applyFont="1" applyFill="1" applyBorder="1" applyAlignment="1" applyProtection="1">
      <alignment horizontal="center" vertical="center" wrapText="1"/>
    </xf>
    <xf numFmtId="0" fontId="2" fillId="4" borderId="22" xfId="51" applyFont="1" applyFill="1" applyBorder="1" applyAlignment="1" applyProtection="1">
      <alignment horizontal="center" vertical="center" wrapText="1"/>
    </xf>
    <xf numFmtId="0" fontId="2" fillId="4" borderId="3" xfId="51" applyFont="1" applyFill="1" applyBorder="1" applyAlignment="1" applyProtection="1">
      <alignment horizontal="center" vertical="center" wrapText="1"/>
    </xf>
    <xf numFmtId="0" fontId="2" fillId="4" borderId="4" xfId="51" applyFont="1" applyFill="1" applyBorder="1" applyAlignment="1" applyProtection="1">
      <alignment horizontal="left" vertical="center" wrapText="1"/>
    </xf>
    <xf numFmtId="0" fontId="2" fillId="4" borderId="5" xfId="51" applyFont="1" applyFill="1" applyBorder="1" applyAlignment="1" applyProtection="1">
      <alignment horizontal="left" vertical="center" wrapText="1"/>
    </xf>
    <xf numFmtId="3" fontId="2" fillId="6" borderId="23" xfId="51" applyNumberFormat="1" applyFont="1" applyFill="1" applyBorder="1" applyAlignment="1" applyProtection="1">
      <alignment horizontal="center" vertical="center" wrapText="1"/>
    </xf>
    <xf numFmtId="49" fontId="3" fillId="5" borderId="16" xfId="51" applyNumberFormat="1" applyFont="1" applyFill="1" applyBorder="1" applyAlignment="1" applyProtection="1">
      <alignment horizontal="left" vertical="center" wrapText="1"/>
    </xf>
    <xf numFmtId="3" fontId="3" fillId="7" borderId="23" xfId="51" applyNumberFormat="1" applyFont="1" applyFill="1" applyBorder="1" applyAlignment="1" applyProtection="1">
      <alignment horizontal="center" vertical="center" wrapText="1"/>
      <protection locked="0"/>
    </xf>
    <xf numFmtId="49" fontId="3" fillId="4" borderId="16" xfId="51" applyNumberFormat="1" applyFont="1" applyFill="1" applyBorder="1" applyAlignment="1" applyProtection="1">
      <alignment horizontal="left" vertical="center" wrapText="1"/>
    </xf>
    <xf numFmtId="0" fontId="3" fillId="4" borderId="16" xfId="51" applyFont="1" applyFill="1" applyBorder="1" applyAlignment="1" applyProtection="1">
      <alignment horizontal="left" vertical="center" wrapText="1"/>
    </xf>
    <xf numFmtId="3" fontId="3" fillId="6" borderId="23" xfId="51" applyNumberFormat="1" applyFont="1" applyFill="1" applyBorder="1" applyAlignment="1" applyProtection="1">
      <alignment horizontal="center" vertical="center" wrapText="1"/>
    </xf>
    <xf numFmtId="0" fontId="2" fillId="4" borderId="4" xfId="51" applyFont="1" applyFill="1" applyBorder="1" applyAlignment="1" applyProtection="1">
      <alignment vertical="center" wrapText="1"/>
    </xf>
    <xf numFmtId="49" fontId="3" fillId="5" borderId="16" xfId="51" applyNumberFormat="1" applyFont="1" applyFill="1" applyBorder="1" applyAlignment="1" applyProtection="1">
      <alignment horizontal="center" vertical="center" wrapText="1"/>
    </xf>
    <xf numFmtId="49" fontId="2" fillId="4" borderId="5" xfId="51" applyNumberFormat="1" applyFont="1" applyFill="1" applyBorder="1" applyAlignment="1" applyProtection="1">
      <alignment vertical="center" wrapText="1"/>
    </xf>
    <xf numFmtId="0" fontId="3" fillId="5" borderId="5" xfId="51" applyFont="1" applyFill="1" applyBorder="1" applyAlignment="1" applyProtection="1">
      <alignment horizontal="left" vertical="center" wrapText="1"/>
    </xf>
    <xf numFmtId="0" fontId="4" fillId="0" borderId="20" xfId="0" applyFont="1" applyBorder="1"/>
    <xf numFmtId="0" fontId="4" fillId="0" borderId="0" xfId="0" applyFont="1" applyBorder="1"/>
    <xf numFmtId="0" fontId="1" fillId="2" borderId="24" xfId="51" applyFont="1" applyFill="1" applyBorder="1" applyAlignment="1" applyProtection="1">
      <alignment horizontal="center" vertical="center" wrapText="1"/>
    </xf>
    <xf numFmtId="0" fontId="2" fillId="0" borderId="24" xfId="51" applyFont="1" applyFill="1" applyBorder="1" applyAlignment="1" applyProtection="1">
      <alignment horizontal="center" vertical="center"/>
    </xf>
    <xf numFmtId="0" fontId="2" fillId="0" borderId="25" xfId="51" applyFont="1" applyFill="1" applyBorder="1" applyAlignment="1" applyProtection="1">
      <alignment horizontal="center" vertical="center"/>
    </xf>
    <xf numFmtId="0" fontId="2" fillId="0" borderId="26" xfId="51" applyFont="1" applyFill="1" applyBorder="1" applyAlignment="1" applyProtection="1">
      <alignment horizontal="center" vertical="center"/>
    </xf>
    <xf numFmtId="0" fontId="3" fillId="0" borderId="25" xfId="51" applyFont="1" applyBorder="1" applyAlignment="1" applyProtection="1">
      <alignment horizontal="center" vertical="center"/>
    </xf>
    <xf numFmtId="177" fontId="3" fillId="6" borderId="23" xfId="3" applyNumberFormat="1" applyFont="1" applyFill="1" applyBorder="1" applyAlignment="1" applyProtection="1">
      <alignment horizontal="center" vertical="center" wrapText="1"/>
    </xf>
    <xf numFmtId="177" fontId="3" fillId="4" borderId="27" xfId="3" applyNumberFormat="1" applyFont="1" applyFill="1" applyBorder="1" applyAlignment="1" applyProtection="1">
      <alignment horizontal="center" vertical="center" wrapText="1"/>
    </xf>
    <xf numFmtId="177" fontId="3" fillId="7" borderId="28" xfId="3" applyNumberFormat="1" applyFont="1" applyFill="1" applyBorder="1" applyAlignment="1" applyProtection="1">
      <alignment horizontal="center" vertical="center" wrapText="1"/>
    </xf>
    <xf numFmtId="177" fontId="3" fillId="7" borderId="25" xfId="3" applyNumberFormat="1" applyFont="1" applyFill="1" applyBorder="1" applyAlignment="1" applyProtection="1">
      <alignment horizontal="center" vertical="center" wrapText="1"/>
    </xf>
    <xf numFmtId="177" fontId="2" fillId="4" borderId="22" xfId="51" applyNumberFormat="1" applyFont="1" applyFill="1" applyBorder="1" applyAlignment="1" applyProtection="1">
      <alignment horizontal="center" vertical="center" wrapText="1"/>
    </xf>
    <xf numFmtId="10" fontId="3" fillId="8" borderId="23" xfId="3" applyNumberFormat="1" applyFont="1" applyFill="1" applyBorder="1" applyAlignment="1" applyProtection="1">
      <alignment horizontal="center" vertical="center" wrapText="1"/>
    </xf>
    <xf numFmtId="178" fontId="3" fillId="9" borderId="27" xfId="51" applyNumberFormat="1" applyFont="1" applyFill="1" applyBorder="1" applyAlignment="1" applyProtection="1">
      <alignment horizontal="center" vertical="center" wrapText="1"/>
    </xf>
    <xf numFmtId="178" fontId="3" fillId="9" borderId="28" xfId="51" applyNumberFormat="1" applyFont="1" applyFill="1" applyBorder="1" applyAlignment="1" applyProtection="1">
      <alignment horizontal="center" vertical="center" wrapText="1"/>
    </xf>
    <xf numFmtId="10" fontId="3" fillId="7" borderId="25" xfId="3" applyNumberFormat="1" applyFont="1" applyFill="1" applyBorder="1" applyAlignment="1" applyProtection="1">
      <alignment horizontal="center" vertical="center" wrapText="1"/>
    </xf>
    <xf numFmtId="3" fontId="2" fillId="6" borderId="23" xfId="52" applyNumberFormat="1" applyFont="1" applyFill="1" applyBorder="1" applyAlignment="1" applyProtection="1">
      <alignment horizontal="center" vertical="center" wrapText="1"/>
    </xf>
    <xf numFmtId="0" fontId="4" fillId="0" borderId="25" xfId="0" applyFont="1" applyBorder="1"/>
    <xf numFmtId="0" fontId="5" fillId="4" borderId="3" xfId="51" applyFont="1" applyFill="1" applyBorder="1" applyAlignment="1" applyProtection="1">
      <alignment horizontal="center" vertical="center" wrapText="1"/>
    </xf>
    <xf numFmtId="0" fontId="5" fillId="4" borderId="4" xfId="51" applyFont="1" applyFill="1" applyBorder="1" applyAlignment="1" applyProtection="1">
      <alignment horizontal="left" vertical="center" wrapText="1"/>
    </xf>
    <xf numFmtId="0" fontId="5" fillId="4" borderId="5" xfId="51" applyFont="1" applyFill="1" applyBorder="1" applyAlignment="1" applyProtection="1">
      <alignment horizontal="left" vertical="center" wrapText="1"/>
    </xf>
    <xf numFmtId="0" fontId="5" fillId="5" borderId="3" xfId="51" applyFont="1" applyFill="1" applyBorder="1" applyAlignment="1" applyProtection="1">
      <alignment horizontal="center" vertical="center" wrapText="1"/>
    </xf>
    <xf numFmtId="49" fontId="6" fillId="5" borderId="16" xfId="51" applyNumberFormat="1" applyFont="1" applyFill="1" applyBorder="1" applyAlignment="1" applyProtection="1">
      <alignment horizontal="center" vertical="center" wrapText="1"/>
    </xf>
    <xf numFmtId="0" fontId="6" fillId="5" borderId="16" xfId="51" applyFont="1" applyFill="1" applyBorder="1" applyAlignment="1" applyProtection="1">
      <alignment horizontal="left" vertical="center" wrapText="1"/>
    </xf>
    <xf numFmtId="0" fontId="1" fillId="4" borderId="3" xfId="51" applyFont="1" applyFill="1" applyBorder="1" applyAlignment="1" applyProtection="1">
      <alignment horizontal="center" vertical="center" wrapText="1"/>
    </xf>
    <xf numFmtId="49" fontId="1" fillId="4" borderId="16" xfId="52" applyNumberFormat="1" applyFont="1" applyFill="1" applyBorder="1" applyAlignment="1" applyProtection="1">
      <alignment horizontal="left" vertical="center" wrapText="1"/>
    </xf>
    <xf numFmtId="0" fontId="3" fillId="4" borderId="3" xfId="51" applyFont="1" applyFill="1" applyBorder="1" applyAlignment="1" applyProtection="1">
      <alignment horizontal="center" vertical="center" wrapText="1"/>
    </xf>
    <xf numFmtId="49" fontId="2" fillId="4" borderId="5" xfId="52" applyNumberFormat="1" applyFont="1" applyFill="1" applyBorder="1" applyAlignment="1" applyProtection="1">
      <alignment vertical="center" wrapText="1"/>
    </xf>
    <xf numFmtId="49" fontId="3" fillId="5" borderId="16" xfId="51" applyNumberFormat="1" applyFont="1" applyFill="1" applyBorder="1" applyAlignment="1" applyProtection="1">
      <alignment vertical="center" wrapText="1"/>
    </xf>
    <xf numFmtId="0" fontId="4" fillId="5" borderId="20" xfId="0" applyFont="1" applyFill="1" applyBorder="1"/>
    <xf numFmtId="0" fontId="4" fillId="5" borderId="0" xfId="0" applyFont="1" applyFill="1" applyBorder="1"/>
    <xf numFmtId="0" fontId="2" fillId="4" borderId="18" xfId="51" applyFont="1" applyFill="1" applyBorder="1" applyAlignment="1" applyProtection="1">
      <alignment horizontal="center" vertical="center" wrapText="1"/>
    </xf>
    <xf numFmtId="49" fontId="3" fillId="4" borderId="19" xfId="51" applyNumberFormat="1" applyFont="1" applyFill="1" applyBorder="1" applyAlignment="1" applyProtection="1">
      <alignment horizontal="left" vertical="center" wrapText="1"/>
    </xf>
    <xf numFmtId="49" fontId="2" fillId="4" borderId="29" xfId="51" applyNumberFormat="1" applyFont="1" applyFill="1" applyBorder="1" applyAlignment="1" applyProtection="1">
      <alignment vertical="center" wrapText="1"/>
    </xf>
    <xf numFmtId="3" fontId="2" fillId="6" borderId="28" xfId="51" applyNumberFormat="1" applyFont="1" applyFill="1" applyBorder="1" applyAlignment="1" applyProtection="1">
      <alignment horizontal="center" vertical="center" wrapText="1"/>
    </xf>
    <xf numFmtId="0" fontId="4" fillId="5" borderId="10" xfId="0" applyFont="1" applyFill="1" applyBorder="1"/>
    <xf numFmtId="0" fontId="4" fillId="5" borderId="11" xfId="0" applyFont="1" applyFill="1" applyBorder="1"/>
    <xf numFmtId="0" fontId="3" fillId="9" borderId="12" xfId="51" applyFont="1" applyFill="1" applyBorder="1" applyAlignment="1" applyProtection="1">
      <alignment horizontal="center" vertical="center"/>
    </xf>
    <xf numFmtId="0" fontId="3" fillId="5" borderId="13" xfId="51" applyFont="1" applyFill="1" applyBorder="1" applyAlignment="1" applyProtection="1">
      <alignment horizontal="left" vertical="center" wrapText="1"/>
    </xf>
    <xf numFmtId="0" fontId="3" fillId="5" borderId="30" xfId="51" applyFont="1" applyFill="1" applyBorder="1" applyAlignment="1" applyProtection="1">
      <alignment horizontal="left" vertical="center" wrapText="1"/>
    </xf>
    <xf numFmtId="0" fontId="3" fillId="9" borderId="3" xfId="51" applyFont="1" applyFill="1" applyBorder="1" applyAlignment="1" applyProtection="1">
      <alignment horizontal="center" vertical="center"/>
    </xf>
    <xf numFmtId="0" fontId="3" fillId="9" borderId="18" xfId="51" applyFont="1" applyFill="1" applyBorder="1" applyAlignment="1" applyProtection="1">
      <alignment horizontal="center" vertical="center"/>
    </xf>
    <xf numFmtId="0" fontId="3" fillId="5" borderId="31" xfId="51" applyFont="1" applyFill="1" applyBorder="1" applyAlignment="1" applyProtection="1">
      <alignment horizontal="left" vertical="center" wrapText="1"/>
    </xf>
    <xf numFmtId="0" fontId="3" fillId="5" borderId="32" xfId="51" applyFont="1" applyFill="1" applyBorder="1" applyAlignment="1" applyProtection="1">
      <alignment horizontal="left" vertical="center" wrapText="1"/>
    </xf>
    <xf numFmtId="0" fontId="7" fillId="5" borderId="0" xfId="0" applyFont="1" applyFill="1" applyBorder="1"/>
    <xf numFmtId="0" fontId="7" fillId="5" borderId="16" xfId="0" applyFont="1" applyFill="1" applyBorder="1"/>
    <xf numFmtId="0" fontId="8" fillId="0" borderId="16" xfId="51" applyFont="1" applyBorder="1" applyAlignment="1" applyProtection="1">
      <alignment vertical="center"/>
    </xf>
    <xf numFmtId="0" fontId="8" fillId="0" borderId="16" xfId="51" applyFont="1" applyBorder="1" applyAlignment="1" applyProtection="1">
      <alignment horizontal="center" vertical="center"/>
    </xf>
    <xf numFmtId="176" fontId="8" fillId="0" borderId="16" xfId="51" applyNumberFormat="1" applyFont="1" applyFill="1" applyBorder="1" applyAlignment="1" applyProtection="1">
      <alignment vertical="center"/>
    </xf>
    <xf numFmtId="0" fontId="7" fillId="5" borderId="0" xfId="0" applyFont="1" applyFill="1"/>
    <xf numFmtId="0" fontId="7" fillId="0" borderId="0" xfId="0" applyFont="1"/>
    <xf numFmtId="0" fontId="9" fillId="0" borderId="0" xfId="0" applyFont="1"/>
    <xf numFmtId="9" fontId="6" fillId="6" borderId="23" xfId="3" applyFont="1" applyFill="1" applyBorder="1" applyAlignment="1" applyProtection="1">
      <alignment horizontal="center" vertical="center" wrapText="1"/>
    </xf>
    <xf numFmtId="3" fontId="8" fillId="6" borderId="23" xfId="51" applyNumberFormat="1" applyFont="1" applyFill="1" applyBorder="1" applyAlignment="1" applyProtection="1">
      <alignment horizontal="center" vertical="center" wrapText="1"/>
    </xf>
    <xf numFmtId="3" fontId="10" fillId="6" borderId="23" xfId="52" applyNumberFormat="1" applyFont="1" applyFill="1" applyBorder="1" applyAlignment="1" applyProtection="1">
      <alignment horizontal="center" vertical="center" wrapText="1"/>
    </xf>
    <xf numFmtId="179" fontId="3" fillId="7" borderId="23" xfId="51" applyNumberFormat="1" applyFont="1" applyFill="1" applyBorder="1" applyAlignment="1" applyProtection="1">
      <alignment horizontal="center" vertical="center" wrapText="1"/>
      <protection locked="0"/>
    </xf>
    <xf numFmtId="0" fontId="4" fillId="5" borderId="25" xfId="0" applyFont="1" applyFill="1" applyBorder="1"/>
    <xf numFmtId="0" fontId="4" fillId="5" borderId="33" xfId="0" applyFont="1" applyFill="1" applyBorder="1"/>
    <xf numFmtId="0" fontId="3" fillId="5" borderId="34" xfId="51" applyFont="1" applyFill="1" applyBorder="1" applyAlignment="1" applyProtection="1">
      <alignment horizontal="left" vertical="center" wrapText="1"/>
    </xf>
    <xf numFmtId="0" fontId="3" fillId="5" borderId="35" xfId="51" applyFont="1" applyFill="1" applyBorder="1" applyAlignment="1" applyProtection="1">
      <alignment horizontal="left" vertical="center" wrapText="1"/>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Normal 5" xfId="51"/>
    <cellStyle name="Normal 5 2 2" xfId="52"/>
  </cellStyles>
  <tableStyles count="0" defaultTableStyle="TableStyleMedium2" defaultPivotStyle="PivotStyleLight16"/>
  <colors>
    <mruColors>
      <color rgb="00D9D9D9"/>
      <color rgb="00C0C0C0"/>
      <color rgb="00F2F2F2"/>
      <color rgb="00BFBFBF"/>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66"/>
  <sheetViews>
    <sheetView showGridLines="0" tabSelected="1" zoomScale="102" zoomScaleNormal="102" zoomScaleSheetLayoutView="60" workbookViewId="0">
      <selection activeCell="D1" sqref="D1"/>
    </sheetView>
  </sheetViews>
  <sheetFormatPr defaultColWidth="0" defaultRowHeight="14.4" zeroHeight="1"/>
  <cols>
    <col min="1" max="1" width="6.10909090909091" customWidth="1"/>
    <col min="2" max="2" width="5.66363636363636"/>
    <col min="3" max="3" width="7.89090909090909"/>
    <col min="4" max="4" width="62.5545454545455" customWidth="1"/>
    <col min="5" max="5" width="26.8909090909091" customWidth="1"/>
    <col min="6" max="6" width="10"/>
    <col min="7" max="7" width="5.66363636363636"/>
    <col min="8" max="8" width="72" customWidth="1"/>
    <col min="9" max="9" width="17.8909090909091" customWidth="1"/>
    <col min="10" max="10" width="8.89090909090909" customWidth="1"/>
    <col min="11" max="16384" width="8.89090909090909" hidden="1"/>
  </cols>
  <sheetData>
    <row r="1" ht="15.15"/>
    <row r="2" ht="15.15" spans="2:9">
      <c r="B2" s="1" t="s">
        <v>0</v>
      </c>
      <c r="C2" s="2"/>
      <c r="D2" s="2"/>
      <c r="E2" s="2"/>
      <c r="F2" s="2"/>
      <c r="G2" s="2"/>
      <c r="H2" s="2"/>
      <c r="I2" s="68"/>
    </row>
    <row r="3" spans="2:9">
      <c r="B3" s="3" t="s">
        <v>1</v>
      </c>
      <c r="C3" s="4" t="s">
        <v>2</v>
      </c>
      <c r="D3" s="5"/>
      <c r="E3" s="6"/>
      <c r="F3" s="7"/>
      <c r="G3" s="7"/>
      <c r="H3" s="7"/>
      <c r="I3" s="69"/>
    </row>
    <row r="4" spans="2:9">
      <c r="B4" s="8" t="s">
        <v>3</v>
      </c>
      <c r="C4" s="4" t="s">
        <v>4</v>
      </c>
      <c r="D4" s="5"/>
      <c r="E4" s="9"/>
      <c r="F4" s="10"/>
      <c r="G4" s="10"/>
      <c r="H4" s="10"/>
      <c r="I4" s="70"/>
    </row>
    <row r="5" spans="2:9">
      <c r="B5" s="11" t="s">
        <v>5</v>
      </c>
      <c r="C5" s="4"/>
      <c r="D5" s="5"/>
      <c r="E5" s="12"/>
      <c r="F5" s="13"/>
      <c r="G5" s="13"/>
      <c r="H5" s="13"/>
      <c r="I5" s="71"/>
    </row>
    <row r="6" ht="15.15" spans="2:9">
      <c r="B6" s="14"/>
      <c r="C6" s="15"/>
      <c r="D6" s="16"/>
      <c r="E6" s="17"/>
      <c r="F6" s="15"/>
      <c r="G6" s="15"/>
      <c r="H6" s="18"/>
      <c r="I6" s="72"/>
    </row>
    <row r="7" spans="2:9">
      <c r="B7" s="19" t="s">
        <v>6</v>
      </c>
      <c r="C7" s="20" t="s">
        <v>7</v>
      </c>
      <c r="D7" s="21"/>
      <c r="E7" s="22" t="s">
        <v>8</v>
      </c>
      <c r="F7" s="22" t="s">
        <v>6</v>
      </c>
      <c r="G7" s="23" t="s">
        <v>9</v>
      </c>
      <c r="H7" s="23"/>
      <c r="I7" s="52" t="s">
        <v>8</v>
      </c>
    </row>
    <row r="8" spans="2:9">
      <c r="B8" s="24">
        <v>1</v>
      </c>
      <c r="C8" s="25">
        <v>1.1</v>
      </c>
      <c r="D8" s="26" t="s">
        <v>10</v>
      </c>
      <c r="E8" s="27">
        <v>0.07</v>
      </c>
      <c r="F8" s="28">
        <v>2</v>
      </c>
      <c r="G8" s="25">
        <v>2.1</v>
      </c>
      <c r="H8" s="26" t="s">
        <v>10</v>
      </c>
      <c r="I8" s="73" t="str">
        <f>+IFERROR(E26/I33,"0.00000")</f>
        <v>0.00000</v>
      </c>
    </row>
    <row r="9" spans="2:9">
      <c r="B9" s="24"/>
      <c r="C9" s="25">
        <v>1.2</v>
      </c>
      <c r="D9" s="26" t="s">
        <v>11</v>
      </c>
      <c r="E9" s="27">
        <v>0.085</v>
      </c>
      <c r="F9" s="28"/>
      <c r="G9" s="25" t="s">
        <v>12</v>
      </c>
      <c r="H9" s="26" t="s">
        <v>13</v>
      </c>
      <c r="I9" s="73" t="str">
        <f>+IFERROR(E73/I33,"0.00000")</f>
        <v>0.00000</v>
      </c>
    </row>
    <row r="10" spans="2:9">
      <c r="B10" s="24"/>
      <c r="C10" s="25">
        <v>1.3</v>
      </c>
      <c r="D10" s="26" t="s">
        <v>14</v>
      </c>
      <c r="E10" s="27">
        <v>0.105</v>
      </c>
      <c r="F10" s="28"/>
      <c r="G10" s="25">
        <v>2.2</v>
      </c>
      <c r="H10" s="26" t="s">
        <v>11</v>
      </c>
      <c r="I10" s="73" t="str">
        <f>IFERROR((E79)/I33,"0.00000")</f>
        <v>0.00000</v>
      </c>
    </row>
    <row r="11" spans="2:9">
      <c r="B11" s="24"/>
      <c r="C11" s="25">
        <v>1.4</v>
      </c>
      <c r="D11" s="26" t="s">
        <v>15</v>
      </c>
      <c r="E11" s="27">
        <f>+SUM(E12:E15)</f>
        <v>0.025</v>
      </c>
      <c r="F11" s="28"/>
      <c r="G11" s="25" t="s">
        <v>16</v>
      </c>
      <c r="H11" s="26" t="s">
        <v>17</v>
      </c>
      <c r="I11" s="73" t="str">
        <f>+IFERROR(I25/I33,"0.00000")</f>
        <v>0.00000</v>
      </c>
    </row>
    <row r="12" spans="2:9">
      <c r="B12" s="24"/>
      <c r="C12" s="25" t="s">
        <v>18</v>
      </c>
      <c r="D12" s="26" t="s">
        <v>19</v>
      </c>
      <c r="E12" s="27">
        <v>0.025</v>
      </c>
      <c r="F12" s="28"/>
      <c r="G12" s="29">
        <v>2.3</v>
      </c>
      <c r="H12" s="26" t="s">
        <v>14</v>
      </c>
      <c r="I12" s="73" t="str">
        <f>IFERROR(+E25/I33,"0.00000")</f>
        <v>0.00000</v>
      </c>
    </row>
    <row r="13" spans="2:9">
      <c r="B13" s="30"/>
      <c r="C13" s="31" t="s">
        <v>20</v>
      </c>
      <c r="D13" s="32" t="s">
        <v>21</v>
      </c>
      <c r="E13" s="27">
        <v>0</v>
      </c>
      <c r="F13" s="28"/>
      <c r="G13" s="25">
        <v>2.4</v>
      </c>
      <c r="H13" s="26" t="s">
        <v>22</v>
      </c>
      <c r="I13" s="73">
        <f>IFERROR(+F94,"0.00000")</f>
        <v>-0.105</v>
      </c>
    </row>
    <row r="14" ht="20" spans="2:9">
      <c r="B14" s="30"/>
      <c r="C14" s="31" t="s">
        <v>23</v>
      </c>
      <c r="D14" s="32" t="s">
        <v>24</v>
      </c>
      <c r="E14" s="33">
        <v>0</v>
      </c>
      <c r="F14" s="28"/>
      <c r="G14" s="34">
        <v>2.5</v>
      </c>
      <c r="H14" s="35" t="s">
        <v>25</v>
      </c>
      <c r="I14" s="74" t="str">
        <f>+IFERROR(VLOOKUP(I13,D86:E91,2,TRUE),"0.00000")</f>
        <v>Below minimum; 100% conservation</v>
      </c>
    </row>
    <row r="15" ht="20.75" spans="2:9">
      <c r="B15" s="36"/>
      <c r="C15" s="37" t="s">
        <v>26</v>
      </c>
      <c r="D15" s="32" t="s">
        <v>27</v>
      </c>
      <c r="E15" s="38">
        <v>0</v>
      </c>
      <c r="F15" s="39"/>
      <c r="G15" s="37"/>
      <c r="H15" s="40"/>
      <c r="I15" s="75"/>
    </row>
    <row r="16" ht="15.15" spans="2:9">
      <c r="B16" s="41"/>
      <c r="C16" s="42"/>
      <c r="D16" s="43"/>
      <c r="E16" s="44"/>
      <c r="F16" s="45"/>
      <c r="G16" s="42"/>
      <c r="H16" s="43"/>
      <c r="I16" s="76"/>
    </row>
    <row r="17" spans="2:9">
      <c r="B17" s="19" t="s">
        <v>6</v>
      </c>
      <c r="C17" s="20" t="s">
        <v>28</v>
      </c>
      <c r="D17" s="21"/>
      <c r="E17" s="46" t="s">
        <v>8</v>
      </c>
      <c r="F17" s="22" t="s">
        <v>6</v>
      </c>
      <c r="G17" s="23" t="s">
        <v>9</v>
      </c>
      <c r="H17" s="23"/>
      <c r="I17" s="77" t="s">
        <v>8</v>
      </c>
    </row>
    <row r="18" ht="20.75" spans="2:9">
      <c r="B18" s="24">
        <v>3</v>
      </c>
      <c r="C18" s="25">
        <v>3.1</v>
      </c>
      <c r="D18" s="26" t="s">
        <v>29</v>
      </c>
      <c r="E18" s="38">
        <v>0</v>
      </c>
      <c r="F18" s="28">
        <v>4</v>
      </c>
      <c r="G18" s="25">
        <v>4.1</v>
      </c>
      <c r="H18" s="26" t="s">
        <v>22</v>
      </c>
      <c r="I18" s="73">
        <f>IFERROR(+F94-E18,"0.00000")</f>
        <v>-0.105</v>
      </c>
    </row>
    <row r="19" ht="25.8" customHeight="1" spans="2:9">
      <c r="B19" s="24"/>
      <c r="C19" s="25">
        <v>3.2</v>
      </c>
      <c r="D19" s="26" t="s">
        <v>30</v>
      </c>
      <c r="E19" s="27">
        <f>E18+E8</f>
        <v>0.07</v>
      </c>
      <c r="F19" s="28"/>
      <c r="G19" s="25">
        <v>4.2</v>
      </c>
      <c r="H19" s="26" t="s">
        <v>31</v>
      </c>
      <c r="I19" s="73" t="str">
        <f>+IFERROR(VLOOKUP(I18,D86:E91,2,TRUE),"0.00000")</f>
        <v>Below minimum; 100% conservation</v>
      </c>
    </row>
    <row r="20" spans="2:9">
      <c r="B20" s="24"/>
      <c r="C20" s="25">
        <v>3.3</v>
      </c>
      <c r="D20" s="26" t="s">
        <v>32</v>
      </c>
      <c r="E20" s="27">
        <f>E18+E9</f>
        <v>0.085</v>
      </c>
      <c r="F20" s="28"/>
      <c r="G20" s="25"/>
      <c r="H20" s="26"/>
      <c r="I20" s="78"/>
    </row>
    <row r="21" spans="2:9">
      <c r="B21" s="47"/>
      <c r="C21" s="34">
        <v>3.4</v>
      </c>
      <c r="D21" s="35" t="s">
        <v>33</v>
      </c>
      <c r="E21" s="48">
        <f>E18+E10</f>
        <v>0.105</v>
      </c>
      <c r="F21" s="49"/>
      <c r="G21" s="34"/>
      <c r="H21" s="35"/>
      <c r="I21" s="79"/>
    </row>
    <row r="22" ht="15.15" spans="2:9">
      <c r="B22" s="36"/>
      <c r="C22" s="37">
        <v>3.5</v>
      </c>
      <c r="D22" s="40" t="s">
        <v>15</v>
      </c>
      <c r="E22" s="50">
        <f>E11</f>
        <v>0.025</v>
      </c>
      <c r="F22" s="39"/>
      <c r="G22" s="37"/>
      <c r="H22" s="40"/>
      <c r="I22" s="80"/>
    </row>
    <row r="23" ht="15.15" spans="2:9">
      <c r="B23" s="41"/>
      <c r="C23" s="42"/>
      <c r="D23" s="43"/>
      <c r="E23" s="51"/>
      <c r="F23" s="45"/>
      <c r="G23" s="42"/>
      <c r="H23" s="43"/>
      <c r="I23" s="81"/>
    </row>
    <row r="24" spans="2:9">
      <c r="B24" s="19" t="s">
        <v>6</v>
      </c>
      <c r="C24" s="22" t="s">
        <v>34</v>
      </c>
      <c r="D24" s="22"/>
      <c r="E24" s="52" t="s">
        <v>35</v>
      </c>
      <c r="F24" s="19" t="s">
        <v>6</v>
      </c>
      <c r="G24" s="22" t="s">
        <v>34</v>
      </c>
      <c r="H24" s="22"/>
      <c r="I24" s="52" t="s">
        <v>35</v>
      </c>
    </row>
    <row r="25" spans="2:9">
      <c r="B25" s="53">
        <v>5</v>
      </c>
      <c r="C25" s="54" t="s">
        <v>36</v>
      </c>
      <c r="D25" s="55"/>
      <c r="E25" s="56">
        <f>E79+I32</f>
        <v>0</v>
      </c>
      <c r="F25" s="53">
        <v>5.3</v>
      </c>
      <c r="G25" s="54" t="s">
        <v>37</v>
      </c>
      <c r="H25" s="55"/>
      <c r="I25" s="56">
        <f>I32</f>
        <v>0</v>
      </c>
    </row>
    <row r="26" spans="2:9">
      <c r="B26" s="53">
        <v>5.1</v>
      </c>
      <c r="C26" s="54" t="s">
        <v>38</v>
      </c>
      <c r="D26" s="55"/>
      <c r="E26" s="56">
        <f>E72</f>
        <v>0</v>
      </c>
      <c r="F26" s="24"/>
      <c r="G26" s="57" t="s">
        <v>39</v>
      </c>
      <c r="H26" s="26" t="s">
        <v>40</v>
      </c>
      <c r="I26" s="58">
        <v>0</v>
      </c>
    </row>
    <row r="27" spans="2:9">
      <c r="B27" s="24"/>
      <c r="C27" s="57" t="s">
        <v>41</v>
      </c>
      <c r="D27" s="26" t="s">
        <v>42</v>
      </c>
      <c r="E27" s="58">
        <v>0</v>
      </c>
      <c r="F27" s="24"/>
      <c r="G27" s="57" t="s">
        <v>43</v>
      </c>
      <c r="H27" s="26" t="s">
        <v>44</v>
      </c>
      <c r="I27" s="58">
        <v>0</v>
      </c>
    </row>
    <row r="28" ht="30" spans="2:9">
      <c r="B28" s="24"/>
      <c r="C28" s="57" t="s">
        <v>45</v>
      </c>
      <c r="D28" s="26" t="s">
        <v>46</v>
      </c>
      <c r="E28" s="58">
        <v>0</v>
      </c>
      <c r="F28" s="24"/>
      <c r="G28" s="57" t="s">
        <v>47</v>
      </c>
      <c r="H28" s="26" t="s">
        <v>48</v>
      </c>
      <c r="I28" s="58">
        <v>0</v>
      </c>
    </row>
    <row r="29" ht="20" spans="2:9">
      <c r="B29" s="24"/>
      <c r="C29" s="59" t="s">
        <v>49</v>
      </c>
      <c r="D29" s="60" t="s">
        <v>50</v>
      </c>
      <c r="E29" s="61">
        <f>E30+E31+E32+E33</f>
        <v>0</v>
      </c>
      <c r="F29" s="24"/>
      <c r="G29" s="57" t="s">
        <v>51</v>
      </c>
      <c r="H29" s="26" t="s">
        <v>52</v>
      </c>
      <c r="I29" s="58">
        <v>0</v>
      </c>
    </row>
    <row r="30" spans="2:9">
      <c r="B30" s="24"/>
      <c r="C30" s="57" t="s">
        <v>53</v>
      </c>
      <c r="D30" s="26" t="s">
        <v>54</v>
      </c>
      <c r="E30" s="58">
        <v>0</v>
      </c>
      <c r="F30" s="24"/>
      <c r="G30" s="57" t="s">
        <v>55</v>
      </c>
      <c r="H30" s="26" t="s">
        <v>56</v>
      </c>
      <c r="I30" s="58">
        <v>0</v>
      </c>
    </row>
    <row r="31" ht="20" spans="2:9">
      <c r="B31" s="24"/>
      <c r="C31" s="57" t="s">
        <v>57</v>
      </c>
      <c r="D31" s="26" t="s">
        <v>58</v>
      </c>
      <c r="E31" s="58">
        <v>0</v>
      </c>
      <c r="F31" s="24"/>
      <c r="G31" s="57" t="s">
        <v>59</v>
      </c>
      <c r="H31" s="26" t="s">
        <v>60</v>
      </c>
      <c r="I31" s="58">
        <v>0</v>
      </c>
    </row>
    <row r="32" spans="2:9">
      <c r="B32" s="24"/>
      <c r="C32" s="57" t="s">
        <v>61</v>
      </c>
      <c r="D32" s="26" t="s">
        <v>62</v>
      </c>
      <c r="E32" s="58">
        <v>0</v>
      </c>
      <c r="F32" s="53"/>
      <c r="G32" s="59"/>
      <c r="H32" s="62" t="s">
        <v>63</v>
      </c>
      <c r="I32" s="82">
        <f>I26+I27+I28+I30+I31</f>
        <v>0</v>
      </c>
    </row>
    <row r="33" spans="2:9">
      <c r="B33" s="24"/>
      <c r="C33" s="57" t="s">
        <v>64</v>
      </c>
      <c r="D33" s="26" t="s">
        <v>65</v>
      </c>
      <c r="E33" s="58">
        <v>0</v>
      </c>
      <c r="F33" s="53">
        <v>6</v>
      </c>
      <c r="G33" s="54" t="s">
        <v>66</v>
      </c>
      <c r="H33" s="55"/>
      <c r="I33" s="56">
        <f>I34+I55+I61</f>
        <v>0</v>
      </c>
    </row>
    <row r="34" spans="2:9">
      <c r="B34" s="24"/>
      <c r="C34" s="59" t="s">
        <v>67</v>
      </c>
      <c r="D34" s="60" t="s">
        <v>68</v>
      </c>
      <c r="E34" s="61">
        <f>E35+E36-E37+E38-E39</f>
        <v>0</v>
      </c>
      <c r="F34" s="53">
        <v>6.1</v>
      </c>
      <c r="G34" s="54" t="s">
        <v>69</v>
      </c>
      <c r="H34" s="55"/>
      <c r="I34" s="56">
        <f>I35+I36+I40+I41+I42+I43+I44+I45+I46+I47+I48+I49+I50+I51+I52+I53+I54</f>
        <v>0</v>
      </c>
    </row>
    <row r="35" spans="2:9">
      <c r="B35" s="24"/>
      <c r="C35" s="57" t="s">
        <v>70</v>
      </c>
      <c r="D35" s="26" t="s">
        <v>71</v>
      </c>
      <c r="E35" s="58">
        <v>0</v>
      </c>
      <c r="F35" s="24"/>
      <c r="G35" s="63" t="s">
        <v>72</v>
      </c>
      <c r="H35" s="26" t="s">
        <v>73</v>
      </c>
      <c r="I35" s="58">
        <v>0</v>
      </c>
    </row>
    <row r="36" ht="20" spans="2:9">
      <c r="B36" s="24"/>
      <c r="C36" s="57" t="s">
        <v>74</v>
      </c>
      <c r="D36" s="26" t="s">
        <v>75</v>
      </c>
      <c r="E36" s="58">
        <v>0</v>
      </c>
      <c r="F36" s="24"/>
      <c r="G36" s="63" t="s">
        <v>76</v>
      </c>
      <c r="H36" s="26" t="s">
        <v>77</v>
      </c>
      <c r="I36" s="61">
        <f>I37+I38+I39</f>
        <v>0</v>
      </c>
    </row>
    <row r="37" spans="2:9">
      <c r="B37" s="24"/>
      <c r="C37" s="57" t="s">
        <v>78</v>
      </c>
      <c r="D37" s="26" t="s">
        <v>79</v>
      </c>
      <c r="E37" s="58">
        <v>0</v>
      </c>
      <c r="F37" s="24"/>
      <c r="G37" s="63" t="s">
        <v>80</v>
      </c>
      <c r="H37" s="26" t="s">
        <v>81</v>
      </c>
      <c r="I37" s="58">
        <v>0</v>
      </c>
    </row>
    <row r="38" ht="20" spans="2:9">
      <c r="B38" s="24"/>
      <c r="C38" s="57" t="s">
        <v>82</v>
      </c>
      <c r="D38" s="26" t="s">
        <v>83</v>
      </c>
      <c r="E38" s="58">
        <v>0</v>
      </c>
      <c r="F38" s="24"/>
      <c r="G38" s="63" t="s">
        <v>84</v>
      </c>
      <c r="H38" s="26" t="s">
        <v>85</v>
      </c>
      <c r="I38" s="58">
        <v>0</v>
      </c>
    </row>
    <row r="39" spans="2:9">
      <c r="B39" s="24"/>
      <c r="C39" s="57" t="s">
        <v>86</v>
      </c>
      <c r="D39" s="26" t="s">
        <v>87</v>
      </c>
      <c r="E39" s="58">
        <v>0</v>
      </c>
      <c r="F39" s="24"/>
      <c r="G39" s="63" t="s">
        <v>88</v>
      </c>
      <c r="H39" s="26" t="s">
        <v>89</v>
      </c>
      <c r="I39" s="58">
        <v>0</v>
      </c>
    </row>
    <row r="40" spans="2:9">
      <c r="B40" s="24"/>
      <c r="C40" s="57" t="s">
        <v>90</v>
      </c>
      <c r="D40" s="26" t="s">
        <v>56</v>
      </c>
      <c r="E40" s="58">
        <v>0</v>
      </c>
      <c r="F40" s="24"/>
      <c r="G40" s="63" t="s">
        <v>91</v>
      </c>
      <c r="H40" s="26" t="s">
        <v>92</v>
      </c>
      <c r="I40" s="58">
        <v>0</v>
      </c>
    </row>
    <row r="41" spans="2:9">
      <c r="B41" s="24"/>
      <c r="C41" s="57" t="s">
        <v>93</v>
      </c>
      <c r="D41" s="26" t="s">
        <v>94</v>
      </c>
      <c r="E41" s="58">
        <v>0</v>
      </c>
      <c r="F41" s="24"/>
      <c r="G41" s="63" t="s">
        <v>95</v>
      </c>
      <c r="H41" s="26" t="s">
        <v>96</v>
      </c>
      <c r="I41" s="58">
        <v>0</v>
      </c>
    </row>
    <row r="42" spans="2:9">
      <c r="B42" s="24"/>
      <c r="C42" s="57" t="s">
        <v>97</v>
      </c>
      <c r="D42" s="26" t="s">
        <v>98</v>
      </c>
      <c r="E42" s="58">
        <v>0</v>
      </c>
      <c r="F42" s="24"/>
      <c r="G42" s="63" t="s">
        <v>99</v>
      </c>
      <c r="H42" s="26" t="s">
        <v>100</v>
      </c>
      <c r="I42" s="58">
        <v>0</v>
      </c>
    </row>
    <row r="43" spans="2:9">
      <c r="B43" s="24"/>
      <c r="C43" s="59"/>
      <c r="D43" s="64" t="s">
        <v>101</v>
      </c>
      <c r="E43" s="56">
        <f>E27+E28+E29+E34+E40-E41-E42</f>
        <v>0</v>
      </c>
      <c r="F43" s="24"/>
      <c r="G43" s="63" t="s">
        <v>102</v>
      </c>
      <c r="H43" s="26" t="s">
        <v>103</v>
      </c>
      <c r="I43" s="58">
        <v>0</v>
      </c>
    </row>
    <row r="44" spans="2:9">
      <c r="B44" s="24"/>
      <c r="C44" s="59" t="s">
        <v>104</v>
      </c>
      <c r="D44" s="64" t="s">
        <v>105</v>
      </c>
      <c r="E44" s="56">
        <f>SUM(E45:E52)</f>
        <v>0</v>
      </c>
      <c r="F44" s="24"/>
      <c r="G44" s="63" t="s">
        <v>106</v>
      </c>
      <c r="H44" s="26" t="s">
        <v>107</v>
      </c>
      <c r="I44" s="58">
        <v>0</v>
      </c>
    </row>
    <row r="45" spans="2:9">
      <c r="B45" s="24"/>
      <c r="C45" s="57" t="s">
        <v>108</v>
      </c>
      <c r="D45" s="26" t="s">
        <v>109</v>
      </c>
      <c r="E45" s="58">
        <v>0</v>
      </c>
      <c r="F45" s="24"/>
      <c r="G45" s="63" t="s">
        <v>110</v>
      </c>
      <c r="H45" s="26" t="s">
        <v>111</v>
      </c>
      <c r="I45" s="58">
        <v>0</v>
      </c>
    </row>
    <row r="46" spans="2:9">
      <c r="B46" s="24"/>
      <c r="C46" s="57" t="s">
        <v>112</v>
      </c>
      <c r="D46" s="26" t="s">
        <v>113</v>
      </c>
      <c r="E46" s="58">
        <v>0</v>
      </c>
      <c r="F46" s="24"/>
      <c r="G46" s="63" t="s">
        <v>114</v>
      </c>
      <c r="H46" s="26" t="s">
        <v>115</v>
      </c>
      <c r="I46" s="58">
        <v>0</v>
      </c>
    </row>
    <row r="47" spans="2:9">
      <c r="B47" s="24"/>
      <c r="C47" s="57" t="s">
        <v>116</v>
      </c>
      <c r="D47" s="26" t="s">
        <v>117</v>
      </c>
      <c r="E47" s="58">
        <v>0</v>
      </c>
      <c r="F47" s="24"/>
      <c r="G47" s="63" t="s">
        <v>118</v>
      </c>
      <c r="H47" s="26" t="s">
        <v>119</v>
      </c>
      <c r="I47" s="58">
        <v>0</v>
      </c>
    </row>
    <row r="48" spans="2:9">
      <c r="B48" s="24"/>
      <c r="C48" s="57" t="s">
        <v>120</v>
      </c>
      <c r="D48" s="26" t="s">
        <v>121</v>
      </c>
      <c r="E48" s="58">
        <v>0</v>
      </c>
      <c r="F48" s="24"/>
      <c r="G48" s="63" t="s">
        <v>122</v>
      </c>
      <c r="H48" s="26" t="s">
        <v>123</v>
      </c>
      <c r="I48" s="58">
        <v>0</v>
      </c>
    </row>
    <row r="49" spans="2:9">
      <c r="B49" s="24"/>
      <c r="C49" s="57" t="s">
        <v>124</v>
      </c>
      <c r="D49" s="26" t="s">
        <v>125</v>
      </c>
      <c r="E49" s="58">
        <v>0</v>
      </c>
      <c r="F49" s="24"/>
      <c r="G49" s="63" t="s">
        <v>126</v>
      </c>
      <c r="H49" s="26" t="s">
        <v>127</v>
      </c>
      <c r="I49" s="58">
        <v>0</v>
      </c>
    </row>
    <row r="50" spans="2:9">
      <c r="B50" s="24"/>
      <c r="C50" s="57" t="s">
        <v>128</v>
      </c>
      <c r="D50" s="26" t="s">
        <v>129</v>
      </c>
      <c r="E50" s="58">
        <v>0</v>
      </c>
      <c r="F50" s="24"/>
      <c r="G50" s="63" t="s">
        <v>130</v>
      </c>
      <c r="H50" s="26" t="s">
        <v>131</v>
      </c>
      <c r="I50" s="58">
        <v>0</v>
      </c>
    </row>
    <row r="51" spans="2:9">
      <c r="B51" s="24"/>
      <c r="C51" s="57" t="s">
        <v>132</v>
      </c>
      <c r="D51" s="26" t="s">
        <v>133</v>
      </c>
      <c r="E51" s="58">
        <v>0</v>
      </c>
      <c r="F51" s="24"/>
      <c r="G51" s="63" t="s">
        <v>134</v>
      </c>
      <c r="H51" s="26" t="s">
        <v>135</v>
      </c>
      <c r="I51" s="58">
        <v>0</v>
      </c>
    </row>
    <row r="52" spans="2:9">
      <c r="B52" s="24"/>
      <c r="C52" s="57" t="s">
        <v>136</v>
      </c>
      <c r="D52" s="26" t="s">
        <v>137</v>
      </c>
      <c r="E52" s="61">
        <f>E53+E54+E55</f>
        <v>0</v>
      </c>
      <c r="F52" s="24"/>
      <c r="G52" s="63" t="s">
        <v>138</v>
      </c>
      <c r="H52" s="26" t="s">
        <v>139</v>
      </c>
      <c r="I52" s="58">
        <v>0</v>
      </c>
    </row>
    <row r="53" spans="2:9">
      <c r="B53" s="24"/>
      <c r="C53" s="57" t="s">
        <v>140</v>
      </c>
      <c r="D53" s="26" t="s">
        <v>141</v>
      </c>
      <c r="E53" s="58">
        <v>0</v>
      </c>
      <c r="F53" s="24"/>
      <c r="G53" s="63" t="s">
        <v>142</v>
      </c>
      <c r="H53" s="26" t="s">
        <v>143</v>
      </c>
      <c r="I53" s="58">
        <v>0</v>
      </c>
    </row>
    <row r="54" spans="2:9">
      <c r="B54" s="24"/>
      <c r="C54" s="57" t="s">
        <v>144</v>
      </c>
      <c r="D54" s="26" t="s">
        <v>145</v>
      </c>
      <c r="E54" s="58">
        <v>0</v>
      </c>
      <c r="F54" s="24"/>
      <c r="G54" s="63" t="s">
        <v>146</v>
      </c>
      <c r="H54" s="26" t="s">
        <v>147</v>
      </c>
      <c r="I54" s="58">
        <v>0</v>
      </c>
    </row>
    <row r="55" spans="2:9">
      <c r="B55" s="24"/>
      <c r="C55" s="57" t="s">
        <v>148</v>
      </c>
      <c r="D55" s="26" t="s">
        <v>149</v>
      </c>
      <c r="E55" s="58">
        <v>0</v>
      </c>
      <c r="F55" s="53">
        <v>6.2</v>
      </c>
      <c r="G55" s="54" t="s">
        <v>150</v>
      </c>
      <c r="H55" s="55"/>
      <c r="I55" s="61">
        <f>I56+I57+I58+I59+I60</f>
        <v>0</v>
      </c>
    </row>
    <row r="56" spans="2:9">
      <c r="B56" s="24"/>
      <c r="C56" s="59"/>
      <c r="D56" s="64" t="s">
        <v>151</v>
      </c>
      <c r="E56" s="56">
        <f>E43-E44</f>
        <v>0</v>
      </c>
      <c r="F56" s="24"/>
      <c r="G56" s="63" t="s">
        <v>152</v>
      </c>
      <c r="H56" s="26" t="s">
        <v>153</v>
      </c>
      <c r="I56" s="58">
        <v>0</v>
      </c>
    </row>
    <row r="57" ht="20" spans="2:9">
      <c r="B57" s="24"/>
      <c r="C57" s="59" t="s">
        <v>154</v>
      </c>
      <c r="D57" s="60" t="s">
        <v>155</v>
      </c>
      <c r="E57" s="61">
        <f>E58+E59+E60</f>
        <v>0</v>
      </c>
      <c r="F57" s="24"/>
      <c r="G57" s="63" t="s">
        <v>156</v>
      </c>
      <c r="H57" s="26" t="s">
        <v>157</v>
      </c>
      <c r="I57" s="58">
        <v>0</v>
      </c>
    </row>
    <row r="58" spans="2:9">
      <c r="B58" s="24"/>
      <c r="C58" s="57" t="s">
        <v>158</v>
      </c>
      <c r="D58" s="65" t="s">
        <v>159</v>
      </c>
      <c r="E58" s="58">
        <v>0</v>
      </c>
      <c r="F58" s="24"/>
      <c r="G58" s="63" t="s">
        <v>160</v>
      </c>
      <c r="H58" s="26" t="s">
        <v>161</v>
      </c>
      <c r="I58" s="58">
        <v>0</v>
      </c>
    </row>
    <row r="59" spans="2:9">
      <c r="B59" s="24"/>
      <c r="C59" s="57" t="s">
        <v>162</v>
      </c>
      <c r="D59" s="65" t="s">
        <v>163</v>
      </c>
      <c r="E59" s="58">
        <v>0</v>
      </c>
      <c r="F59" s="24"/>
      <c r="G59" s="63" t="s">
        <v>164</v>
      </c>
      <c r="H59" s="26" t="s">
        <v>165</v>
      </c>
      <c r="I59" s="58">
        <v>0</v>
      </c>
    </row>
    <row r="60" spans="2:9">
      <c r="B60" s="24"/>
      <c r="C60" s="57" t="s">
        <v>166</v>
      </c>
      <c r="D60" s="65" t="s">
        <v>167</v>
      </c>
      <c r="E60" s="58">
        <v>0</v>
      </c>
      <c r="F60" s="24"/>
      <c r="G60" s="63" t="s">
        <v>168</v>
      </c>
      <c r="H60" s="26" t="s">
        <v>169</v>
      </c>
      <c r="I60" s="58">
        <v>0</v>
      </c>
    </row>
    <row r="61" spans="2:9">
      <c r="B61" s="24"/>
      <c r="C61" s="59"/>
      <c r="D61" s="64" t="s">
        <v>170</v>
      </c>
      <c r="E61" s="56">
        <f>E56-E57</f>
        <v>0</v>
      </c>
      <c r="F61" s="53">
        <v>6.3</v>
      </c>
      <c r="G61" s="54" t="s">
        <v>171</v>
      </c>
      <c r="H61" s="55"/>
      <c r="I61" s="61">
        <f>I62+I63</f>
        <v>0</v>
      </c>
    </row>
    <row r="62" ht="20" spans="2:9">
      <c r="B62" s="24"/>
      <c r="C62" s="59" t="s">
        <v>172</v>
      </c>
      <c r="D62" s="60" t="s">
        <v>173</v>
      </c>
      <c r="E62" s="61">
        <f>E63+E64+E65</f>
        <v>0</v>
      </c>
      <c r="F62" s="24"/>
      <c r="G62" s="63" t="s">
        <v>174</v>
      </c>
      <c r="H62" s="26" t="s">
        <v>175</v>
      </c>
      <c r="I62" s="58">
        <v>0</v>
      </c>
    </row>
    <row r="63" spans="2:9">
      <c r="B63" s="24"/>
      <c r="C63" s="57" t="s">
        <v>176</v>
      </c>
      <c r="D63" s="65" t="s">
        <v>159</v>
      </c>
      <c r="E63" s="58">
        <v>0</v>
      </c>
      <c r="F63" s="24"/>
      <c r="G63" s="63" t="s">
        <v>177</v>
      </c>
      <c r="H63" s="26" t="s">
        <v>178</v>
      </c>
      <c r="I63" s="58">
        <v>0</v>
      </c>
    </row>
    <row r="64" ht="14.5" spans="2:9">
      <c r="B64" s="24"/>
      <c r="C64" s="57" t="s">
        <v>179</v>
      </c>
      <c r="D64" s="65" t="s">
        <v>163</v>
      </c>
      <c r="E64" s="58">
        <v>0</v>
      </c>
      <c r="F64" s="66"/>
      <c r="G64" s="67"/>
      <c r="H64" s="67"/>
      <c r="I64" s="83"/>
    </row>
    <row r="65" spans="2:9">
      <c r="B65" s="24"/>
      <c r="C65" s="57" t="s">
        <v>180</v>
      </c>
      <c r="D65" s="65" t="s">
        <v>167</v>
      </c>
      <c r="E65" s="58">
        <v>0</v>
      </c>
      <c r="F65" s="53">
        <v>7</v>
      </c>
      <c r="G65" s="54" t="s">
        <v>181</v>
      </c>
      <c r="H65" s="55"/>
      <c r="I65" s="56"/>
    </row>
    <row r="66" spans="2:9">
      <c r="B66" s="24"/>
      <c r="C66" s="59"/>
      <c r="D66" s="64" t="s">
        <v>182</v>
      </c>
      <c r="E66" s="56">
        <f>E61-E62</f>
        <v>0</v>
      </c>
      <c r="F66" s="84"/>
      <c r="G66" s="85"/>
      <c r="H66" s="86"/>
      <c r="I66" s="118"/>
    </row>
    <row r="67" spans="2:9">
      <c r="B67" s="24"/>
      <c r="C67" s="59" t="s">
        <v>183</v>
      </c>
      <c r="D67" s="64" t="s">
        <v>184</v>
      </c>
      <c r="E67" s="56">
        <f>E68+E69</f>
        <v>0</v>
      </c>
      <c r="F67" s="87"/>
      <c r="G67" s="88"/>
      <c r="H67" s="89"/>
      <c r="I67" s="119">
        <f>0</f>
        <v>0</v>
      </c>
    </row>
    <row r="68" ht="20" spans="2:9">
      <c r="B68" s="24"/>
      <c r="C68" s="57" t="s">
        <v>185</v>
      </c>
      <c r="D68" s="26" t="s">
        <v>186</v>
      </c>
      <c r="E68" s="58">
        <v>0</v>
      </c>
      <c r="F68" s="87"/>
      <c r="G68" s="88"/>
      <c r="H68" s="89"/>
      <c r="I68" s="119">
        <f>0</f>
        <v>0</v>
      </c>
    </row>
    <row r="69" spans="2:9">
      <c r="B69" s="24"/>
      <c r="C69" s="57" t="s">
        <v>187</v>
      </c>
      <c r="D69" s="26" t="s">
        <v>188</v>
      </c>
      <c r="E69" s="58">
        <v>0</v>
      </c>
      <c r="F69" s="87"/>
      <c r="G69" s="88"/>
      <c r="H69" s="89"/>
      <c r="I69" s="119">
        <f>0</f>
        <v>0</v>
      </c>
    </row>
    <row r="70" spans="2:9">
      <c r="B70" s="53"/>
      <c r="C70" s="59"/>
      <c r="D70" s="64" t="s">
        <v>189</v>
      </c>
      <c r="E70" s="56">
        <f>E66-E67</f>
        <v>0</v>
      </c>
      <c r="F70" s="90">
        <v>8</v>
      </c>
      <c r="G70" s="91" t="s">
        <v>190</v>
      </c>
      <c r="H70" s="91"/>
      <c r="I70" s="120"/>
    </row>
    <row r="71" spans="2:9">
      <c r="B71" s="24"/>
      <c r="C71" s="57" t="s">
        <v>191</v>
      </c>
      <c r="D71" s="26" t="s">
        <v>192</v>
      </c>
      <c r="E71" s="58">
        <v>0</v>
      </c>
      <c r="F71" s="24"/>
      <c r="G71" s="92">
        <v>8.1</v>
      </c>
      <c r="H71" s="26" t="s">
        <v>10</v>
      </c>
      <c r="I71" s="121">
        <v>0</v>
      </c>
    </row>
    <row r="72" spans="2:9">
      <c r="B72" s="53"/>
      <c r="C72" s="93"/>
      <c r="D72" s="64" t="s">
        <v>193</v>
      </c>
      <c r="E72" s="56">
        <f>E70-E71</f>
        <v>0</v>
      </c>
      <c r="F72" s="24"/>
      <c r="G72" s="92">
        <v>8.2</v>
      </c>
      <c r="H72" s="94" t="s">
        <v>11</v>
      </c>
      <c r="I72" s="121">
        <v>0</v>
      </c>
    </row>
    <row r="73" spans="2:9">
      <c r="B73" s="53">
        <v>5.2</v>
      </c>
      <c r="C73" s="54" t="s">
        <v>194</v>
      </c>
      <c r="D73" s="55"/>
      <c r="E73" s="56">
        <f>E78</f>
        <v>0</v>
      </c>
      <c r="F73" s="24"/>
      <c r="G73" s="92">
        <v>8.3</v>
      </c>
      <c r="H73" s="94" t="s">
        <v>14</v>
      </c>
      <c r="I73" s="121">
        <v>0</v>
      </c>
    </row>
    <row r="74" ht="20" spans="2:9">
      <c r="B74" s="24"/>
      <c r="C74" s="57" t="s">
        <v>195</v>
      </c>
      <c r="D74" s="26" t="s">
        <v>196</v>
      </c>
      <c r="E74" s="58">
        <v>0</v>
      </c>
      <c r="F74" s="24"/>
      <c r="G74" s="92">
        <v>8.4</v>
      </c>
      <c r="H74" s="94" t="s">
        <v>22</v>
      </c>
      <c r="I74" s="121">
        <v>0</v>
      </c>
    </row>
    <row r="75" ht="30" spans="2:9">
      <c r="B75" s="24"/>
      <c r="C75" s="57" t="s">
        <v>197</v>
      </c>
      <c r="D75" s="26" t="s">
        <v>198</v>
      </c>
      <c r="E75" s="58">
        <v>0</v>
      </c>
      <c r="F75" s="24"/>
      <c r="G75" s="92">
        <v>8.5</v>
      </c>
      <c r="H75" s="94" t="s">
        <v>25</v>
      </c>
      <c r="I75" s="58" t="s">
        <v>199</v>
      </c>
    </row>
    <row r="76" spans="2:9">
      <c r="B76" s="24"/>
      <c r="C76" s="57" t="s">
        <v>200</v>
      </c>
      <c r="D76" s="26" t="s">
        <v>201</v>
      </c>
      <c r="E76" s="58">
        <v>0</v>
      </c>
      <c r="F76" s="24"/>
      <c r="G76" s="92">
        <v>8.6</v>
      </c>
      <c r="H76" s="94" t="s">
        <v>66</v>
      </c>
      <c r="I76" s="58">
        <v>0</v>
      </c>
    </row>
    <row r="77" ht="14.5" spans="2:9">
      <c r="B77" s="24"/>
      <c r="C77" s="57" t="s">
        <v>202</v>
      </c>
      <c r="D77" s="26" t="s">
        <v>56</v>
      </c>
      <c r="E77" s="58">
        <v>0</v>
      </c>
      <c r="F77" s="95"/>
      <c r="G77" s="96"/>
      <c r="H77" s="96"/>
      <c r="I77" s="122"/>
    </row>
    <row r="78" ht="14.5" spans="2:9">
      <c r="B78" s="53"/>
      <c r="C78" s="59"/>
      <c r="D78" s="64" t="s">
        <v>203</v>
      </c>
      <c r="E78" s="56">
        <f>E74+E76+E77</f>
        <v>0</v>
      </c>
      <c r="F78" s="95"/>
      <c r="G78" s="96"/>
      <c r="H78" s="96"/>
      <c r="I78" s="122"/>
    </row>
    <row r="79" ht="15.25" spans="2:9">
      <c r="B79" s="97"/>
      <c r="C79" s="98"/>
      <c r="D79" s="99" t="s">
        <v>204</v>
      </c>
      <c r="E79" s="100">
        <f>E73+E26</f>
        <v>0</v>
      </c>
      <c r="F79" s="101"/>
      <c r="G79" s="102"/>
      <c r="H79" s="102"/>
      <c r="I79" s="123"/>
    </row>
    <row r="80" ht="40.05" customHeight="1" spans="2:9">
      <c r="B80" s="103">
        <v>1</v>
      </c>
      <c r="C80" s="104" t="s">
        <v>205</v>
      </c>
      <c r="D80" s="105"/>
      <c r="E80" s="105"/>
      <c r="F80" s="105"/>
      <c r="G80" s="105"/>
      <c r="H80" s="105"/>
      <c r="I80" s="124"/>
    </row>
    <row r="81" ht="24" customHeight="1" spans="2:9">
      <c r="B81" s="106">
        <v>2</v>
      </c>
      <c r="C81" s="104" t="s">
        <v>206</v>
      </c>
      <c r="D81" s="105"/>
      <c r="E81" s="105"/>
      <c r="F81" s="105"/>
      <c r="G81" s="105"/>
      <c r="H81" s="105"/>
      <c r="I81" s="124"/>
    </row>
    <row r="82" ht="15.15" spans="2:9">
      <c r="B82" s="107">
        <v>3</v>
      </c>
      <c r="C82" s="108" t="s">
        <v>207</v>
      </c>
      <c r="D82" s="109"/>
      <c r="E82" s="109"/>
      <c r="F82" s="109"/>
      <c r="G82" s="109"/>
      <c r="H82" s="109"/>
      <c r="I82" s="125"/>
    </row>
    <row r="83" ht="14.5" spans="2:10">
      <c r="B83" s="110"/>
      <c r="C83" s="110"/>
      <c r="D83" s="110"/>
      <c r="E83" s="110"/>
      <c r="F83" s="110"/>
      <c r="G83" s="110"/>
      <c r="H83" s="110"/>
      <c r="I83" s="110"/>
      <c r="J83" s="115"/>
    </row>
    <row r="84" ht="14.5" spans="2:10">
      <c r="B84" s="111"/>
      <c r="C84" s="111"/>
      <c r="D84" s="111"/>
      <c r="E84" s="111"/>
      <c r="F84" s="111"/>
      <c r="G84" s="111"/>
      <c r="H84" s="111"/>
      <c r="I84" s="111"/>
      <c r="J84" s="115"/>
    </row>
    <row r="85" ht="14.5" spans="2:10">
      <c r="B85" s="111"/>
      <c r="C85" s="111"/>
      <c r="D85" s="112" t="s">
        <v>208</v>
      </c>
      <c r="E85" s="113" t="s">
        <v>209</v>
      </c>
      <c r="F85" s="114"/>
      <c r="G85" s="114"/>
      <c r="H85" s="112"/>
      <c r="I85" s="111"/>
      <c r="J85" s="115"/>
    </row>
    <row r="86" ht="14.5" spans="2:10">
      <c r="B86" s="111"/>
      <c r="C86" s="111"/>
      <c r="D86" s="112">
        <f>-E10</f>
        <v>-0.105</v>
      </c>
      <c r="E86" s="113" t="s">
        <v>210</v>
      </c>
      <c r="F86" s="114"/>
      <c r="G86" s="114"/>
      <c r="H86" s="112"/>
      <c r="I86" s="111"/>
      <c r="J86" s="115"/>
    </row>
    <row r="87" ht="14.5" spans="2:10">
      <c r="B87" s="111"/>
      <c r="C87" s="111"/>
      <c r="D87" s="112">
        <v>0</v>
      </c>
      <c r="E87" s="113" t="s">
        <v>211</v>
      </c>
      <c r="F87" s="114"/>
      <c r="G87" s="114"/>
      <c r="H87" s="112"/>
      <c r="I87" s="111"/>
      <c r="J87" s="115"/>
    </row>
    <row r="88" ht="14.5" spans="2:10">
      <c r="B88" s="111"/>
      <c r="C88" s="111"/>
      <c r="D88" s="112">
        <f>+E11/4</f>
        <v>0.00625</v>
      </c>
      <c r="E88" s="113" t="s">
        <v>212</v>
      </c>
      <c r="F88" s="114"/>
      <c r="G88" s="114"/>
      <c r="H88" s="112"/>
      <c r="I88" s="111"/>
      <c r="J88" s="115"/>
    </row>
    <row r="89" ht="14.5" spans="2:10">
      <c r="B89" s="111"/>
      <c r="C89" s="111"/>
      <c r="D89" s="112">
        <f>+D88*2</f>
        <v>0.0125</v>
      </c>
      <c r="E89" s="113" t="s">
        <v>213</v>
      </c>
      <c r="F89" s="114"/>
      <c r="G89" s="114"/>
      <c r="H89" s="112"/>
      <c r="I89" s="111"/>
      <c r="J89" s="115"/>
    </row>
    <row r="90" ht="14.5" spans="2:10">
      <c r="B90" s="111"/>
      <c r="C90" s="111"/>
      <c r="D90" s="112">
        <f>+D88*3</f>
        <v>0.01875</v>
      </c>
      <c r="E90" s="113" t="s">
        <v>214</v>
      </c>
      <c r="F90" s="114"/>
      <c r="G90" s="114"/>
      <c r="H90" s="112"/>
      <c r="I90" s="111"/>
      <c r="J90" s="115"/>
    </row>
    <row r="91" ht="14.5" spans="2:10">
      <c r="B91" s="111"/>
      <c r="C91" s="111"/>
      <c r="D91" s="112">
        <f>+D88*4</f>
        <v>0.025</v>
      </c>
      <c r="E91" s="113" t="s">
        <v>215</v>
      </c>
      <c r="F91" s="114"/>
      <c r="G91" s="114"/>
      <c r="H91" s="112"/>
      <c r="I91" s="111"/>
      <c r="J91" s="115"/>
    </row>
    <row r="92" ht="14.5" spans="2:10">
      <c r="B92" s="111"/>
      <c r="C92" s="111"/>
      <c r="D92" s="112"/>
      <c r="E92" s="113"/>
      <c r="F92" s="114"/>
      <c r="G92" s="114"/>
      <c r="H92" s="112"/>
      <c r="I92" s="111"/>
      <c r="J92" s="115"/>
    </row>
    <row r="93" ht="14.5" spans="2:10">
      <c r="B93" s="111"/>
      <c r="C93" s="111"/>
      <c r="D93" s="112"/>
      <c r="E93" s="113" t="s">
        <v>216</v>
      </c>
      <c r="F93" s="114" t="s">
        <v>217</v>
      </c>
      <c r="G93" s="114"/>
      <c r="H93" s="112" t="s">
        <v>216</v>
      </c>
      <c r="I93" s="111"/>
      <c r="J93" s="115"/>
    </row>
    <row r="94" ht="14.5" spans="2:10">
      <c r="B94" s="111"/>
      <c r="C94" s="111"/>
      <c r="D94" s="112" t="s">
        <v>218</v>
      </c>
      <c r="E94" s="113">
        <f>I8-E8</f>
        <v>-0.07</v>
      </c>
      <c r="F94" s="114">
        <f>+IF(F95&lt;0,F95+E94,E94)</f>
        <v>-0.105</v>
      </c>
      <c r="G94" s="114" t="s">
        <v>218</v>
      </c>
      <c r="H94" s="112">
        <f>I8-E19</f>
        <v>-0.07</v>
      </c>
      <c r="I94" s="111"/>
      <c r="J94" s="115"/>
    </row>
    <row r="95" ht="14.5" spans="2:10">
      <c r="B95" s="111"/>
      <c r="C95" s="111"/>
      <c r="D95" s="112" t="s">
        <v>219</v>
      </c>
      <c r="E95" s="113">
        <f>+I10-I8-(E9-E8)</f>
        <v>-0.015</v>
      </c>
      <c r="F95" s="114">
        <f>+IF(E96&lt;0,E95+E96,E95)</f>
        <v>-0.035</v>
      </c>
      <c r="G95" s="114" t="s">
        <v>219</v>
      </c>
      <c r="H95" s="112">
        <f>(I10-I8-(E20-E19))</f>
        <v>-0.015</v>
      </c>
      <c r="I95" s="111"/>
      <c r="J95" s="115"/>
    </row>
    <row r="96" ht="14.5" spans="2:10">
      <c r="B96" s="111"/>
      <c r="C96" s="111"/>
      <c r="D96" s="112" t="s">
        <v>220</v>
      </c>
      <c r="E96" s="113">
        <f>+I12-I10-(E10-E9)</f>
        <v>-0.02</v>
      </c>
      <c r="F96" s="114"/>
      <c r="G96" s="114" t="s">
        <v>220</v>
      </c>
      <c r="H96" s="112"/>
      <c r="I96" s="111"/>
      <c r="J96" s="115"/>
    </row>
    <row r="97" ht="14.5" spans="2:10">
      <c r="B97" s="111"/>
      <c r="C97" s="111"/>
      <c r="D97" s="111"/>
      <c r="E97" s="111"/>
      <c r="F97" s="111"/>
      <c r="G97" s="111"/>
      <c r="H97" s="111"/>
      <c r="I97" s="111"/>
      <c r="J97" s="115"/>
    </row>
    <row r="98" ht="14.5" spans="2:10">
      <c r="B98" s="111"/>
      <c r="C98" s="111"/>
      <c r="D98" s="111"/>
      <c r="E98" s="111"/>
      <c r="F98" s="111"/>
      <c r="G98" s="111"/>
      <c r="H98" s="111"/>
      <c r="I98" s="111"/>
      <c r="J98" s="115"/>
    </row>
    <row r="99" ht="14.5" spans="2:10">
      <c r="B99" s="115"/>
      <c r="C99" s="115"/>
      <c r="D99" s="115"/>
      <c r="E99" s="115"/>
      <c r="F99" s="115"/>
      <c r="G99" s="115"/>
      <c r="H99" s="115"/>
      <c r="I99" s="115"/>
      <c r="J99" s="115"/>
    </row>
    <row r="100" ht="14.5" hidden="1" spans="2:10">
      <c r="B100" s="115"/>
      <c r="C100" s="115"/>
      <c r="D100" s="115"/>
      <c r="E100" s="115"/>
      <c r="F100" s="115"/>
      <c r="G100" s="115"/>
      <c r="H100" s="115"/>
      <c r="I100" s="115"/>
      <c r="J100" s="115"/>
    </row>
    <row r="101" ht="14.5" hidden="1" spans="2:10">
      <c r="B101" s="115"/>
      <c r="C101" s="115"/>
      <c r="D101" s="115"/>
      <c r="E101" s="115"/>
      <c r="F101" s="115"/>
      <c r="G101" s="115"/>
      <c r="H101" s="115"/>
      <c r="I101" s="115"/>
      <c r="J101" s="115"/>
    </row>
    <row r="102" ht="14.5" hidden="1" spans="2:10">
      <c r="B102" s="115"/>
      <c r="C102" s="115"/>
      <c r="D102" s="115"/>
      <c r="E102" s="115"/>
      <c r="F102" s="115"/>
      <c r="G102" s="115"/>
      <c r="H102" s="115"/>
      <c r="I102" s="115"/>
      <c r="J102" s="115"/>
    </row>
    <row r="103" ht="14.5" hidden="1" spans="2:10">
      <c r="B103" s="115"/>
      <c r="C103" s="115"/>
      <c r="D103" s="115"/>
      <c r="E103" s="115"/>
      <c r="F103" s="115"/>
      <c r="G103" s="115"/>
      <c r="H103" s="115"/>
      <c r="I103" s="115"/>
      <c r="J103" s="115"/>
    </row>
    <row r="104" ht="14.5" hidden="1" spans="2:10">
      <c r="B104" s="115"/>
      <c r="C104" s="115"/>
      <c r="D104" s="115"/>
      <c r="E104" s="115"/>
      <c r="F104" s="115"/>
      <c r="G104" s="115"/>
      <c r="H104" s="115"/>
      <c r="I104" s="115"/>
      <c r="J104" s="115"/>
    </row>
    <row r="105" ht="14.5" hidden="1" spans="2:10">
      <c r="B105" s="115"/>
      <c r="C105" s="115"/>
      <c r="D105" s="115"/>
      <c r="E105" s="115"/>
      <c r="F105" s="115"/>
      <c r="G105" s="115"/>
      <c r="H105" s="115"/>
      <c r="I105" s="115"/>
      <c r="J105" s="115"/>
    </row>
    <row r="106" ht="14.5" hidden="1" spans="2:10">
      <c r="B106" s="115"/>
      <c r="C106" s="115"/>
      <c r="D106" s="115"/>
      <c r="E106" s="115"/>
      <c r="F106" s="115"/>
      <c r="G106" s="115"/>
      <c r="H106" s="115"/>
      <c r="I106" s="115"/>
      <c r="J106" s="115"/>
    </row>
    <row r="107" ht="14.5" hidden="1" spans="2:10">
      <c r="B107" s="115"/>
      <c r="C107" s="115"/>
      <c r="D107" s="115"/>
      <c r="E107" s="115"/>
      <c r="F107" s="115"/>
      <c r="G107" s="115"/>
      <c r="H107" s="115"/>
      <c r="I107" s="115"/>
      <c r="J107" s="115"/>
    </row>
    <row r="108" ht="14.5" hidden="1" spans="2:10">
      <c r="B108" s="115"/>
      <c r="C108" s="115"/>
      <c r="D108" s="115"/>
      <c r="E108" s="115"/>
      <c r="F108" s="115"/>
      <c r="G108" s="115"/>
      <c r="H108" s="115"/>
      <c r="I108" s="115"/>
      <c r="J108" s="115"/>
    </row>
    <row r="109" ht="14.5" hidden="1" spans="2:10">
      <c r="B109" s="115"/>
      <c r="C109" s="115"/>
      <c r="D109" s="115"/>
      <c r="E109" s="115"/>
      <c r="F109" s="115"/>
      <c r="G109" s="115"/>
      <c r="H109" s="115"/>
      <c r="I109" s="115"/>
      <c r="J109" s="115"/>
    </row>
    <row r="110" ht="14.5" hidden="1" spans="2:10">
      <c r="B110" s="115"/>
      <c r="C110" s="115"/>
      <c r="D110" s="115"/>
      <c r="E110" s="115"/>
      <c r="F110" s="115"/>
      <c r="G110" s="115"/>
      <c r="H110" s="115"/>
      <c r="I110" s="115"/>
      <c r="J110" s="115"/>
    </row>
    <row r="111" ht="14.5" hidden="1" spans="2:10">
      <c r="B111" s="115"/>
      <c r="C111" s="115"/>
      <c r="D111" s="115"/>
      <c r="E111" s="115"/>
      <c r="F111" s="115"/>
      <c r="G111" s="115"/>
      <c r="H111" s="115"/>
      <c r="I111" s="115"/>
      <c r="J111" s="115"/>
    </row>
    <row r="112" ht="14.5" hidden="1" spans="2:10">
      <c r="B112" s="115"/>
      <c r="C112" s="115"/>
      <c r="D112" s="115"/>
      <c r="E112" s="115"/>
      <c r="F112" s="115"/>
      <c r="G112" s="115"/>
      <c r="H112" s="115"/>
      <c r="I112" s="115"/>
      <c r="J112" s="115"/>
    </row>
    <row r="113" ht="14.5" hidden="1" spans="2:10">
      <c r="B113" s="115"/>
      <c r="C113" s="115"/>
      <c r="D113" s="115"/>
      <c r="E113" s="115"/>
      <c r="F113" s="115"/>
      <c r="G113" s="115"/>
      <c r="H113" s="115"/>
      <c r="I113" s="115"/>
      <c r="J113" s="115"/>
    </row>
    <row r="114" ht="14.5" hidden="1" spans="2:10">
      <c r="B114" s="115"/>
      <c r="C114" s="115"/>
      <c r="D114" s="115"/>
      <c r="E114" s="115"/>
      <c r="F114" s="115"/>
      <c r="G114" s="115"/>
      <c r="H114" s="115"/>
      <c r="I114" s="115"/>
      <c r="J114" s="115"/>
    </row>
    <row r="115" ht="14.5" hidden="1" spans="2:10">
      <c r="B115" s="115"/>
      <c r="C115" s="115"/>
      <c r="D115" s="115"/>
      <c r="E115" s="115"/>
      <c r="F115" s="115"/>
      <c r="G115" s="115"/>
      <c r="H115" s="115"/>
      <c r="I115" s="115"/>
      <c r="J115" s="115"/>
    </row>
    <row r="116" ht="14.5" hidden="1" spans="2:10">
      <c r="B116" s="115"/>
      <c r="C116" s="115"/>
      <c r="D116" s="115"/>
      <c r="E116" s="115"/>
      <c r="F116" s="115"/>
      <c r="G116" s="115"/>
      <c r="H116" s="115"/>
      <c r="I116" s="115"/>
      <c r="J116" s="115"/>
    </row>
    <row r="117" ht="14.5" hidden="1" spans="2:10">
      <c r="B117" s="115"/>
      <c r="C117" s="115"/>
      <c r="D117" s="115"/>
      <c r="E117" s="115"/>
      <c r="F117" s="115"/>
      <c r="G117" s="115"/>
      <c r="H117" s="115"/>
      <c r="I117" s="115"/>
      <c r="J117" s="115"/>
    </row>
    <row r="118" ht="14.5" hidden="1" spans="2:10">
      <c r="B118" s="115"/>
      <c r="C118" s="115"/>
      <c r="D118" s="115"/>
      <c r="E118" s="115"/>
      <c r="F118" s="115"/>
      <c r="G118" s="115"/>
      <c r="H118" s="115"/>
      <c r="I118" s="115"/>
      <c r="J118" s="115"/>
    </row>
    <row r="119" ht="14.5" hidden="1" spans="2:10">
      <c r="B119" s="116"/>
      <c r="C119" s="116"/>
      <c r="D119" s="116"/>
      <c r="E119" s="116"/>
      <c r="F119" s="116"/>
      <c r="G119" s="116"/>
      <c r="H119" s="116"/>
      <c r="I119" s="116"/>
      <c r="J119" s="116"/>
    </row>
    <row r="120" ht="14.5" hidden="1" spans="2:10">
      <c r="B120" s="116"/>
      <c r="C120" s="116"/>
      <c r="D120" s="116"/>
      <c r="E120" s="116"/>
      <c r="F120" s="116"/>
      <c r="G120" s="116"/>
      <c r="H120" s="116"/>
      <c r="I120" s="116"/>
      <c r="J120" s="116"/>
    </row>
    <row r="121" ht="14.5" hidden="1" spans="2:10">
      <c r="B121" s="116"/>
      <c r="C121" s="116"/>
      <c r="D121" s="116"/>
      <c r="E121" s="116"/>
      <c r="F121" s="116"/>
      <c r="G121" s="116"/>
      <c r="H121" s="116"/>
      <c r="I121" s="116"/>
      <c r="J121" s="116"/>
    </row>
    <row r="122" ht="14.5" hidden="1" spans="2:10">
      <c r="B122" s="116"/>
      <c r="C122" s="116"/>
      <c r="D122" s="116"/>
      <c r="E122" s="116"/>
      <c r="F122" s="116"/>
      <c r="G122" s="116"/>
      <c r="H122" s="116"/>
      <c r="I122" s="116"/>
      <c r="J122" s="116"/>
    </row>
    <row r="123" ht="14.5" hidden="1" spans="2:9">
      <c r="B123" s="117"/>
      <c r="C123" s="117"/>
      <c r="D123" s="117"/>
      <c r="E123" s="117"/>
      <c r="F123" s="117"/>
      <c r="G123" s="117"/>
      <c r="H123" s="117"/>
      <c r="I123" s="117"/>
    </row>
    <row r="124" ht="14.5" hidden="1" spans="2:9">
      <c r="B124" s="117"/>
      <c r="C124" s="117"/>
      <c r="D124" s="117"/>
      <c r="E124" s="117"/>
      <c r="F124" s="117"/>
      <c r="G124" s="117"/>
      <c r="H124" s="117"/>
      <c r="I124" s="117"/>
    </row>
    <row r="125" ht="14.5" hidden="1" spans="2:9">
      <c r="B125" s="117"/>
      <c r="C125" s="117"/>
      <c r="D125" s="117"/>
      <c r="E125" s="117"/>
      <c r="F125" s="117"/>
      <c r="G125" s="117"/>
      <c r="H125" s="117"/>
      <c r="I125" s="117"/>
    </row>
    <row r="126" ht="14.5" hidden="1" spans="2:9">
      <c r="B126" s="117"/>
      <c r="C126" s="117"/>
      <c r="D126" s="117"/>
      <c r="E126" s="117"/>
      <c r="F126" s="117"/>
      <c r="G126" s="117"/>
      <c r="H126" s="117"/>
      <c r="I126" s="117"/>
    </row>
    <row r="127" ht="14.5" hidden="1" spans="2:9">
      <c r="B127" s="117"/>
      <c r="C127" s="117"/>
      <c r="D127" s="117"/>
      <c r="E127" s="117"/>
      <c r="F127" s="117"/>
      <c r="G127" s="117"/>
      <c r="H127" s="117"/>
      <c r="I127" s="117"/>
    </row>
    <row r="128" ht="14.5" hidden="1" spans="2:9">
      <c r="B128" s="117"/>
      <c r="C128" s="117"/>
      <c r="D128" s="117"/>
      <c r="E128" s="117"/>
      <c r="F128" s="117"/>
      <c r="G128" s="117"/>
      <c r="H128" s="117"/>
      <c r="I128" s="117"/>
    </row>
    <row r="129" ht="14.5" hidden="1" spans="2:9">
      <c r="B129" s="117"/>
      <c r="C129" s="117"/>
      <c r="D129" s="117"/>
      <c r="E129" s="117"/>
      <c r="F129" s="117"/>
      <c r="G129" s="117"/>
      <c r="H129" s="117"/>
      <c r="I129" s="117"/>
    </row>
    <row r="130" ht="14.5" hidden="1" spans="2:9">
      <c r="B130" s="117"/>
      <c r="C130" s="117"/>
      <c r="D130" s="117"/>
      <c r="E130" s="117"/>
      <c r="F130" s="117"/>
      <c r="G130" s="117"/>
      <c r="H130" s="117"/>
      <c r="I130" s="117"/>
    </row>
    <row r="131" ht="14.5" hidden="1" spans="2:9">
      <c r="B131" s="117"/>
      <c r="C131" s="117"/>
      <c r="D131" s="117"/>
      <c r="E131" s="117"/>
      <c r="F131" s="117"/>
      <c r="G131" s="117"/>
      <c r="H131" s="117"/>
      <c r="I131" s="117"/>
    </row>
    <row r="132" ht="14.5" hidden="1" spans="2:9">
      <c r="B132" s="117"/>
      <c r="C132" s="117"/>
      <c r="D132" s="117"/>
      <c r="E132" s="117"/>
      <c r="F132" s="117"/>
      <c r="G132" s="117"/>
      <c r="H132" s="117"/>
      <c r="I132" s="117"/>
    </row>
    <row r="133" ht="14.5" hidden="1" spans="2:9">
      <c r="B133" s="117"/>
      <c r="C133" s="117"/>
      <c r="D133" s="117"/>
      <c r="E133" s="117"/>
      <c r="F133" s="117"/>
      <c r="G133" s="117"/>
      <c r="H133" s="117"/>
      <c r="I133" s="117"/>
    </row>
    <row r="134" ht="14.5" hidden="1" spans="2:9">
      <c r="B134" s="117"/>
      <c r="C134" s="117"/>
      <c r="D134" s="117"/>
      <c r="E134" s="117"/>
      <c r="F134" s="117"/>
      <c r="G134" s="117"/>
      <c r="H134" s="117"/>
      <c r="I134" s="117"/>
    </row>
    <row r="135" ht="14.5" hidden="1" spans="2:9">
      <c r="B135" s="117"/>
      <c r="C135" s="117"/>
      <c r="D135" s="117"/>
      <c r="E135" s="117"/>
      <c r="F135" s="117"/>
      <c r="G135" s="117"/>
      <c r="H135" s="117"/>
      <c r="I135" s="117"/>
    </row>
    <row r="136" ht="14.5" hidden="1" spans="2:9">
      <c r="B136" s="117"/>
      <c r="C136" s="117"/>
      <c r="D136" s="117"/>
      <c r="E136" s="117"/>
      <c r="F136" s="117"/>
      <c r="G136" s="117"/>
      <c r="H136" s="117"/>
      <c r="I136" s="117"/>
    </row>
    <row r="137" ht="14.5" hidden="1" spans="2:9">
      <c r="B137" s="117"/>
      <c r="C137" s="117"/>
      <c r="D137" s="117"/>
      <c r="E137" s="117"/>
      <c r="F137" s="117"/>
      <c r="G137" s="117"/>
      <c r="H137" s="117"/>
      <c r="I137" s="117"/>
    </row>
    <row r="138" ht="14.5" hidden="1" spans="2:9">
      <c r="B138" s="117"/>
      <c r="C138" s="117"/>
      <c r="D138" s="117"/>
      <c r="E138" s="117"/>
      <c r="F138" s="117"/>
      <c r="G138" s="117"/>
      <c r="H138" s="117"/>
      <c r="I138" s="117"/>
    </row>
    <row r="139" ht="14.5" hidden="1" spans="2:9">
      <c r="B139" s="117"/>
      <c r="C139" s="117"/>
      <c r="D139" s="117"/>
      <c r="E139" s="117"/>
      <c r="F139" s="117"/>
      <c r="G139" s="117"/>
      <c r="H139" s="117"/>
      <c r="I139" s="117"/>
    </row>
    <row r="140" ht="14.5" hidden="1" spans="2:9">
      <c r="B140" s="117"/>
      <c r="C140" s="117"/>
      <c r="D140" s="117"/>
      <c r="E140" s="117"/>
      <c r="F140" s="117"/>
      <c r="G140" s="117"/>
      <c r="H140" s="117"/>
      <c r="I140" s="117"/>
    </row>
    <row r="141" ht="14.5" hidden="1" spans="2:9">
      <c r="B141" s="117"/>
      <c r="C141" s="117"/>
      <c r="D141" s="117"/>
      <c r="E141" s="117"/>
      <c r="F141" s="117"/>
      <c r="G141" s="117"/>
      <c r="H141" s="117"/>
      <c r="I141" s="117"/>
    </row>
    <row r="142" ht="14.5" hidden="1" spans="2:9">
      <c r="B142" s="117"/>
      <c r="C142" s="117"/>
      <c r="D142" s="117"/>
      <c r="E142" s="117"/>
      <c r="F142" s="117"/>
      <c r="G142" s="117"/>
      <c r="H142" s="117"/>
      <c r="I142" s="117"/>
    </row>
    <row r="143" ht="14.5" hidden="1" spans="2:9">
      <c r="B143" s="117"/>
      <c r="C143" s="117"/>
      <c r="D143" s="117"/>
      <c r="E143" s="117"/>
      <c r="F143" s="117"/>
      <c r="G143" s="117"/>
      <c r="H143" s="117"/>
      <c r="I143" s="117"/>
    </row>
    <row r="144" ht="14.5" hidden="1" spans="2:9">
      <c r="B144" s="117"/>
      <c r="C144" s="117"/>
      <c r="D144" s="117"/>
      <c r="E144" s="117"/>
      <c r="F144" s="117"/>
      <c r="G144" s="117"/>
      <c r="H144" s="117"/>
      <c r="I144" s="117"/>
    </row>
    <row r="145" ht="14.5" hidden="1" spans="2:9">
      <c r="B145" s="117"/>
      <c r="C145" s="117"/>
      <c r="D145" s="117"/>
      <c r="E145" s="117"/>
      <c r="F145" s="117"/>
      <c r="G145" s="117"/>
      <c r="H145" s="117"/>
      <c r="I145" s="117"/>
    </row>
    <row r="146" ht="14.5" hidden="1" spans="2:9">
      <c r="B146" s="117"/>
      <c r="C146" s="117"/>
      <c r="D146" s="117"/>
      <c r="E146" s="117"/>
      <c r="F146" s="117"/>
      <c r="G146" s="117"/>
      <c r="H146" s="117"/>
      <c r="I146" s="117"/>
    </row>
    <row r="147" ht="14.5" hidden="1" spans="2:9">
      <c r="B147" s="117"/>
      <c r="C147" s="117"/>
      <c r="D147" s="117"/>
      <c r="E147" s="117"/>
      <c r="F147" s="117"/>
      <c r="G147" s="117"/>
      <c r="H147" s="117"/>
      <c r="I147" s="117"/>
    </row>
    <row r="148" ht="14.5" hidden="1" spans="2:9">
      <c r="B148" s="117"/>
      <c r="C148" s="117"/>
      <c r="D148" s="117"/>
      <c r="E148" s="117"/>
      <c r="F148" s="117"/>
      <c r="G148" s="117"/>
      <c r="H148" s="117"/>
      <c r="I148" s="117"/>
    </row>
    <row r="149" ht="14.5" hidden="1" spans="2:9">
      <c r="B149" s="117"/>
      <c r="C149" s="117"/>
      <c r="D149" s="117"/>
      <c r="E149" s="117"/>
      <c r="F149" s="117"/>
      <c r="G149" s="117"/>
      <c r="H149" s="117"/>
      <c r="I149" s="117"/>
    </row>
    <row r="150" ht="14.5" hidden="1" spans="2:9">
      <c r="B150" s="117"/>
      <c r="C150" s="117"/>
      <c r="D150" s="117"/>
      <c r="E150" s="117"/>
      <c r="F150" s="117"/>
      <c r="G150" s="117"/>
      <c r="H150" s="117"/>
      <c r="I150" s="117"/>
    </row>
    <row r="151" ht="14.5" hidden="1" spans="2:9">
      <c r="B151" s="117"/>
      <c r="C151" s="117"/>
      <c r="D151" s="117"/>
      <c r="E151" s="117"/>
      <c r="F151" s="117"/>
      <c r="G151" s="117"/>
      <c r="H151" s="117"/>
      <c r="I151" s="117"/>
    </row>
    <row r="152" ht="14.5" hidden="1" spans="2:9">
      <c r="B152" s="117"/>
      <c r="C152" s="117"/>
      <c r="D152" s="117"/>
      <c r="E152" s="117"/>
      <c r="F152" s="117"/>
      <c r="G152" s="117"/>
      <c r="H152" s="117"/>
      <c r="I152" s="117"/>
    </row>
    <row r="153" ht="14.5" hidden="1" spans="2:9">
      <c r="B153" s="117"/>
      <c r="C153" s="117"/>
      <c r="D153" s="117"/>
      <c r="E153" s="117"/>
      <c r="F153" s="117"/>
      <c r="G153" s="117"/>
      <c r="H153" s="117"/>
      <c r="I153" s="117"/>
    </row>
    <row r="154" ht="14.5" hidden="1" spans="2:9">
      <c r="B154" s="117"/>
      <c r="C154" s="117"/>
      <c r="D154" s="117"/>
      <c r="E154" s="117"/>
      <c r="F154" s="117"/>
      <c r="G154" s="117"/>
      <c r="H154" s="117"/>
      <c r="I154" s="117"/>
    </row>
    <row r="155" ht="14.5" hidden="1" spans="2:9">
      <c r="B155" s="117"/>
      <c r="C155" s="117"/>
      <c r="D155" s="117"/>
      <c r="E155" s="117"/>
      <c r="F155" s="117"/>
      <c r="G155" s="117"/>
      <c r="H155" s="117"/>
      <c r="I155" s="117"/>
    </row>
    <row r="156" ht="14.5" hidden="1" spans="2:9">
      <c r="B156" s="117"/>
      <c r="C156" s="117"/>
      <c r="D156" s="117"/>
      <c r="E156" s="117"/>
      <c r="F156" s="117"/>
      <c r="G156" s="117"/>
      <c r="H156" s="117"/>
      <c r="I156" s="117"/>
    </row>
    <row r="157" ht="14.5" hidden="1" spans="2:9">
      <c r="B157" s="117"/>
      <c r="C157" s="117"/>
      <c r="D157" s="117"/>
      <c r="E157" s="117"/>
      <c r="F157" s="117"/>
      <c r="G157" s="117"/>
      <c r="H157" s="117"/>
      <c r="I157" s="117"/>
    </row>
    <row r="158" ht="14.5" hidden="1" spans="2:9">
      <c r="B158" s="117"/>
      <c r="C158" s="117"/>
      <c r="D158" s="117"/>
      <c r="E158" s="117"/>
      <c r="F158" s="117"/>
      <c r="G158" s="117"/>
      <c r="H158" s="117"/>
      <c r="I158" s="117"/>
    </row>
    <row r="159" ht="14.5" hidden="1" spans="2:9">
      <c r="B159" s="117"/>
      <c r="C159" s="117"/>
      <c r="D159" s="117"/>
      <c r="E159" s="117"/>
      <c r="F159" s="117"/>
      <c r="G159" s="117"/>
      <c r="H159" s="117"/>
      <c r="I159" s="117"/>
    </row>
    <row r="160" ht="14.5" hidden="1" spans="2:9">
      <c r="B160" s="117"/>
      <c r="C160" s="117"/>
      <c r="D160" s="117"/>
      <c r="E160" s="117"/>
      <c r="F160" s="117"/>
      <c r="G160" s="117"/>
      <c r="H160" s="117"/>
      <c r="I160" s="117"/>
    </row>
    <row r="161" ht="14.5" hidden="1" spans="2:9">
      <c r="B161" s="117"/>
      <c r="C161" s="117"/>
      <c r="D161" s="117"/>
      <c r="E161" s="117"/>
      <c r="F161" s="117"/>
      <c r="G161" s="117"/>
      <c r="H161" s="117"/>
      <c r="I161" s="117"/>
    </row>
    <row r="162" ht="14.5" hidden="1" spans="2:9">
      <c r="B162" s="117"/>
      <c r="C162" s="117"/>
      <c r="D162" s="117"/>
      <c r="E162" s="117"/>
      <c r="F162" s="117"/>
      <c r="G162" s="117"/>
      <c r="H162" s="117"/>
      <c r="I162" s="117"/>
    </row>
    <row r="163" ht="14.5" hidden="1" spans="2:9">
      <c r="B163" s="117"/>
      <c r="C163" s="117"/>
      <c r="D163" s="117"/>
      <c r="E163" s="117"/>
      <c r="F163" s="117"/>
      <c r="G163" s="117"/>
      <c r="H163" s="117"/>
      <c r="I163" s="117"/>
    </row>
    <row r="164" ht="14.5" hidden="1" spans="2:9">
      <c r="B164" s="117"/>
      <c r="C164" s="117"/>
      <c r="D164" s="117"/>
      <c r="E164" s="117"/>
      <c r="F164" s="117"/>
      <c r="G164" s="117"/>
      <c r="H164" s="117"/>
      <c r="I164" s="117"/>
    </row>
    <row r="165" ht="14.5" hidden="1" spans="2:9">
      <c r="B165" s="117"/>
      <c r="C165" s="117"/>
      <c r="D165" s="117"/>
      <c r="E165" s="117"/>
      <c r="F165" s="117"/>
      <c r="G165" s="117"/>
      <c r="H165" s="117"/>
      <c r="I165" s="117"/>
    </row>
    <row r="166" ht="14.5" hidden="1" spans="2:9">
      <c r="B166" s="117"/>
      <c r="C166" s="117"/>
      <c r="D166" s="117"/>
      <c r="E166" s="117"/>
      <c r="F166" s="117"/>
      <c r="G166" s="117"/>
      <c r="H166" s="117"/>
      <c r="I166" s="117"/>
    </row>
    <row r="167" ht="14.5" hidden="1" spans="2:9">
      <c r="B167" s="117"/>
      <c r="C167" s="117"/>
      <c r="D167" s="117"/>
      <c r="E167" s="117"/>
      <c r="F167" s="117"/>
      <c r="G167" s="117"/>
      <c r="H167" s="117"/>
      <c r="I167" s="117"/>
    </row>
    <row r="168" ht="14.5" hidden="1" spans="2:9">
      <c r="B168" s="117"/>
      <c r="C168" s="117"/>
      <c r="D168" s="117"/>
      <c r="E168" s="117"/>
      <c r="F168" s="117"/>
      <c r="G168" s="117"/>
      <c r="H168" s="117"/>
      <c r="I168" s="117"/>
    </row>
    <row r="169" ht="14.5" hidden="1" spans="2:9">
      <c r="B169" s="117"/>
      <c r="C169" s="117"/>
      <c r="D169" s="117"/>
      <c r="E169" s="117"/>
      <c r="F169" s="117"/>
      <c r="G169" s="117"/>
      <c r="H169" s="117"/>
      <c r="I169" s="117"/>
    </row>
    <row r="170" ht="14.5" hidden="1" spans="2:9">
      <c r="B170" s="117"/>
      <c r="C170" s="117"/>
      <c r="D170" s="117"/>
      <c r="E170" s="117"/>
      <c r="F170" s="117"/>
      <c r="G170" s="117"/>
      <c r="H170" s="117"/>
      <c r="I170" s="117"/>
    </row>
    <row r="171" ht="14.5" hidden="1" spans="2:9">
      <c r="B171" s="117"/>
      <c r="C171" s="117"/>
      <c r="D171" s="117"/>
      <c r="E171" s="117"/>
      <c r="F171" s="117"/>
      <c r="G171" s="117"/>
      <c r="H171" s="117"/>
      <c r="I171" s="117"/>
    </row>
    <row r="172" ht="14.5" hidden="1" spans="2:9">
      <c r="B172" s="117"/>
      <c r="C172" s="117"/>
      <c r="D172" s="117"/>
      <c r="E172" s="117"/>
      <c r="F172" s="117"/>
      <c r="G172" s="117"/>
      <c r="H172" s="117"/>
      <c r="I172" s="117"/>
    </row>
    <row r="173" ht="14.5" hidden="1" spans="2:9">
      <c r="B173" s="117"/>
      <c r="C173" s="117"/>
      <c r="D173" s="117"/>
      <c r="E173" s="117"/>
      <c r="F173" s="117"/>
      <c r="G173" s="117"/>
      <c r="H173" s="117"/>
      <c r="I173" s="117"/>
    </row>
    <row r="174" ht="14.5" hidden="1" spans="2:9">
      <c r="B174" s="117"/>
      <c r="C174" s="117"/>
      <c r="D174" s="117"/>
      <c r="E174" s="117"/>
      <c r="F174" s="117"/>
      <c r="G174" s="117"/>
      <c r="H174" s="117"/>
      <c r="I174" s="117"/>
    </row>
    <row r="175" ht="14.5" hidden="1" spans="2:9">
      <c r="B175" s="117"/>
      <c r="C175" s="117"/>
      <c r="D175" s="117"/>
      <c r="E175" s="117"/>
      <c r="F175" s="117"/>
      <c r="G175" s="117"/>
      <c r="H175" s="117"/>
      <c r="I175" s="117"/>
    </row>
    <row r="176" ht="14.5" hidden="1" spans="2:9">
      <c r="B176" s="117"/>
      <c r="C176" s="117"/>
      <c r="D176" s="117"/>
      <c r="E176" s="117"/>
      <c r="F176" s="117"/>
      <c r="G176" s="117"/>
      <c r="H176" s="117"/>
      <c r="I176" s="117"/>
    </row>
    <row r="177" ht="14.5" hidden="1" spans="2:9">
      <c r="B177" s="117"/>
      <c r="C177" s="117"/>
      <c r="D177" s="117"/>
      <c r="E177" s="117"/>
      <c r="F177" s="117"/>
      <c r="G177" s="117"/>
      <c r="H177" s="117"/>
      <c r="I177" s="117"/>
    </row>
    <row r="178" ht="14.5" hidden="1" spans="2:9">
      <c r="B178" s="117"/>
      <c r="C178" s="117"/>
      <c r="D178" s="117"/>
      <c r="E178" s="117"/>
      <c r="F178" s="117"/>
      <c r="G178" s="117"/>
      <c r="H178" s="117"/>
      <c r="I178" s="117"/>
    </row>
    <row r="179" ht="14.5" hidden="1" spans="2:9">
      <c r="B179" s="117"/>
      <c r="C179" s="117"/>
      <c r="D179" s="117"/>
      <c r="E179" s="117"/>
      <c r="F179" s="117"/>
      <c r="G179" s="117"/>
      <c r="H179" s="117"/>
      <c r="I179" s="117"/>
    </row>
    <row r="180" ht="14.5" hidden="1" spans="2:9">
      <c r="B180" s="117"/>
      <c r="C180" s="117"/>
      <c r="D180" s="117"/>
      <c r="E180" s="117"/>
      <c r="F180" s="117"/>
      <c r="G180" s="117"/>
      <c r="H180" s="117"/>
      <c r="I180" s="117"/>
    </row>
    <row r="181" ht="14.5" hidden="1" spans="2:9">
      <c r="B181" s="117"/>
      <c r="C181" s="117"/>
      <c r="D181" s="117"/>
      <c r="E181" s="117"/>
      <c r="F181" s="117"/>
      <c r="G181" s="117"/>
      <c r="H181" s="117"/>
      <c r="I181" s="117"/>
    </row>
    <row r="182" ht="14.5" hidden="1" spans="2:9">
      <c r="B182" s="117"/>
      <c r="C182" s="117"/>
      <c r="D182" s="117"/>
      <c r="E182" s="117"/>
      <c r="F182" s="117"/>
      <c r="G182" s="117"/>
      <c r="H182" s="117"/>
      <c r="I182" s="117"/>
    </row>
    <row r="183" ht="14.5" hidden="1" spans="2:9">
      <c r="B183" s="117"/>
      <c r="C183" s="117"/>
      <c r="D183" s="117"/>
      <c r="E183" s="117"/>
      <c r="F183" s="117"/>
      <c r="G183" s="117"/>
      <c r="H183" s="117"/>
      <c r="I183" s="117"/>
    </row>
    <row r="184" ht="14.5" hidden="1" spans="2:9">
      <c r="B184" s="117"/>
      <c r="C184" s="117"/>
      <c r="D184" s="117"/>
      <c r="E184" s="117"/>
      <c r="F184" s="117"/>
      <c r="G184" s="117"/>
      <c r="H184" s="117"/>
      <c r="I184" s="117"/>
    </row>
    <row r="185" ht="14.5" hidden="1" spans="2:9">
      <c r="B185" s="117"/>
      <c r="C185" s="117"/>
      <c r="D185" s="117"/>
      <c r="E185" s="117"/>
      <c r="F185" s="117"/>
      <c r="G185" s="117"/>
      <c r="H185" s="117"/>
      <c r="I185" s="117"/>
    </row>
    <row r="186" ht="14.5" hidden="1" spans="2:9">
      <c r="B186" s="117"/>
      <c r="C186" s="117"/>
      <c r="D186" s="117"/>
      <c r="E186" s="117"/>
      <c r="F186" s="117"/>
      <c r="G186" s="117"/>
      <c r="H186" s="117"/>
      <c r="I186" s="117"/>
    </row>
    <row r="187" ht="14.5" hidden="1" spans="2:9">
      <c r="B187" s="117"/>
      <c r="C187" s="117"/>
      <c r="D187" s="117"/>
      <c r="E187" s="117"/>
      <c r="F187" s="117"/>
      <c r="G187" s="117"/>
      <c r="H187" s="117"/>
      <c r="I187" s="117"/>
    </row>
    <row r="188" ht="14.5" hidden="1" spans="2:9">
      <c r="B188" s="117"/>
      <c r="C188" s="117"/>
      <c r="D188" s="117"/>
      <c r="E188" s="117"/>
      <c r="F188" s="117"/>
      <c r="G188" s="117"/>
      <c r="H188" s="117"/>
      <c r="I188" s="117"/>
    </row>
    <row r="189" ht="14.5" hidden="1" spans="2:9">
      <c r="B189" s="117"/>
      <c r="C189" s="117"/>
      <c r="D189" s="117"/>
      <c r="E189" s="117"/>
      <c r="F189" s="117"/>
      <c r="G189" s="117"/>
      <c r="H189" s="117"/>
      <c r="I189" s="117"/>
    </row>
    <row r="190" ht="14.5" hidden="1" spans="2:9">
      <c r="B190" s="117"/>
      <c r="C190" s="117"/>
      <c r="D190" s="117"/>
      <c r="E190" s="117"/>
      <c r="F190" s="117"/>
      <c r="G190" s="117"/>
      <c r="H190" s="117"/>
      <c r="I190" s="117"/>
    </row>
    <row r="191" ht="14.5" hidden="1" spans="2:9">
      <c r="B191" s="117"/>
      <c r="C191" s="117"/>
      <c r="D191" s="117"/>
      <c r="E191" s="117"/>
      <c r="F191" s="117"/>
      <c r="G191" s="117"/>
      <c r="H191" s="117"/>
      <c r="I191" s="117"/>
    </row>
    <row r="192" ht="14.5" hidden="1" spans="2:9">
      <c r="B192" s="117"/>
      <c r="C192" s="117"/>
      <c r="D192" s="117"/>
      <c r="E192" s="117"/>
      <c r="F192" s="117"/>
      <c r="G192" s="117"/>
      <c r="H192" s="117"/>
      <c r="I192" s="117"/>
    </row>
    <row r="193" ht="14.5" hidden="1" spans="2:9">
      <c r="B193" s="117"/>
      <c r="C193" s="117"/>
      <c r="D193" s="117"/>
      <c r="E193" s="117"/>
      <c r="F193" s="117"/>
      <c r="G193" s="117"/>
      <c r="H193" s="117"/>
      <c r="I193" s="117"/>
    </row>
    <row r="194" ht="14.5" hidden="1" spans="2:9">
      <c r="B194" s="117"/>
      <c r="C194" s="117"/>
      <c r="D194" s="117"/>
      <c r="E194" s="117"/>
      <c r="F194" s="117"/>
      <c r="G194" s="117"/>
      <c r="H194" s="117"/>
      <c r="I194" s="117"/>
    </row>
    <row r="195" ht="14.5" hidden="1" spans="2:9">
      <c r="B195" s="117"/>
      <c r="C195" s="117"/>
      <c r="D195" s="117"/>
      <c r="E195" s="117"/>
      <c r="F195" s="117"/>
      <c r="G195" s="117"/>
      <c r="H195" s="117"/>
      <c r="I195" s="117"/>
    </row>
    <row r="196" ht="14.5" hidden="1" spans="2:9">
      <c r="B196" s="117"/>
      <c r="C196" s="117"/>
      <c r="D196" s="117"/>
      <c r="E196" s="117"/>
      <c r="F196" s="117"/>
      <c r="G196" s="117"/>
      <c r="H196" s="117"/>
      <c r="I196" s="117"/>
    </row>
    <row r="197" ht="14.5" hidden="1" spans="2:9">
      <c r="B197" s="117"/>
      <c r="C197" s="117"/>
      <c r="D197" s="117"/>
      <c r="E197" s="117"/>
      <c r="F197" s="117"/>
      <c r="G197" s="117"/>
      <c r="H197" s="117"/>
      <c r="I197" s="117"/>
    </row>
    <row r="198" ht="14.5" hidden="1" spans="2:9">
      <c r="B198" s="117"/>
      <c r="C198" s="117"/>
      <c r="D198" s="117"/>
      <c r="E198" s="117"/>
      <c r="F198" s="117"/>
      <c r="G198" s="117"/>
      <c r="H198" s="117"/>
      <c r="I198" s="117"/>
    </row>
    <row r="199" ht="14.5" hidden="1" spans="2:9">
      <c r="B199" s="117"/>
      <c r="C199" s="117"/>
      <c r="D199" s="117"/>
      <c r="E199" s="117"/>
      <c r="F199" s="117"/>
      <c r="G199" s="117"/>
      <c r="H199" s="117"/>
      <c r="I199" s="117"/>
    </row>
    <row r="200" ht="14.5" hidden="1" spans="2:9">
      <c r="B200" s="117"/>
      <c r="C200" s="117"/>
      <c r="D200" s="117"/>
      <c r="E200" s="117"/>
      <c r="F200" s="117"/>
      <c r="G200" s="117"/>
      <c r="H200" s="117"/>
      <c r="I200" s="117"/>
    </row>
    <row r="201" ht="14.5" hidden="1" spans="2:9">
      <c r="B201" s="117"/>
      <c r="C201" s="117"/>
      <c r="D201" s="117"/>
      <c r="E201" s="117"/>
      <c r="F201" s="117"/>
      <c r="G201" s="117"/>
      <c r="H201" s="117"/>
      <c r="I201" s="117"/>
    </row>
    <row r="202" ht="14.5" hidden="1" spans="2:9">
      <c r="B202" s="117"/>
      <c r="C202" s="117"/>
      <c r="D202" s="117"/>
      <c r="E202" s="117"/>
      <c r="F202" s="117"/>
      <c r="G202" s="117"/>
      <c r="H202" s="117"/>
      <c r="I202" s="117"/>
    </row>
    <row r="203" ht="14.5" hidden="1" spans="2:9">
      <c r="B203" s="117"/>
      <c r="C203" s="117"/>
      <c r="D203" s="117"/>
      <c r="E203" s="117"/>
      <c r="F203" s="117"/>
      <c r="G203" s="117"/>
      <c r="H203" s="117"/>
      <c r="I203" s="117"/>
    </row>
    <row r="204" ht="14.5" hidden="1" spans="2:9">
      <c r="B204" s="117"/>
      <c r="C204" s="117"/>
      <c r="D204" s="117"/>
      <c r="E204" s="117"/>
      <c r="F204" s="117"/>
      <c r="G204" s="117"/>
      <c r="H204" s="117"/>
      <c r="I204" s="117"/>
    </row>
    <row r="205" ht="14.5" hidden="1" spans="2:9">
      <c r="B205" s="117"/>
      <c r="C205" s="117"/>
      <c r="D205" s="117"/>
      <c r="E205" s="117"/>
      <c r="F205" s="117"/>
      <c r="G205" s="117"/>
      <c r="H205" s="117"/>
      <c r="I205" s="117"/>
    </row>
    <row r="206" ht="14.5" hidden="1" spans="2:9">
      <c r="B206" s="117"/>
      <c r="C206" s="117"/>
      <c r="D206" s="117"/>
      <c r="E206" s="117"/>
      <c r="F206" s="117"/>
      <c r="G206" s="117"/>
      <c r="H206" s="117"/>
      <c r="I206" s="117"/>
    </row>
    <row r="207" ht="14.5" hidden="1" spans="2:9">
      <c r="B207" s="117"/>
      <c r="C207" s="117"/>
      <c r="D207" s="117"/>
      <c r="E207" s="117"/>
      <c r="F207" s="117"/>
      <c r="G207" s="117"/>
      <c r="H207" s="117"/>
      <c r="I207" s="117"/>
    </row>
    <row r="208" ht="14.5" hidden="1" spans="2:9">
      <c r="B208" s="117"/>
      <c r="C208" s="117"/>
      <c r="D208" s="117"/>
      <c r="E208" s="117"/>
      <c r="F208" s="117"/>
      <c r="G208" s="117"/>
      <c r="H208" s="117"/>
      <c r="I208" s="117"/>
    </row>
    <row r="209" ht="14.5" hidden="1" spans="2:9">
      <c r="B209" s="117"/>
      <c r="C209" s="117"/>
      <c r="D209" s="117"/>
      <c r="E209" s="117"/>
      <c r="F209" s="117"/>
      <c r="G209" s="117"/>
      <c r="H209" s="117"/>
      <c r="I209" s="117"/>
    </row>
    <row r="210" ht="14.5" hidden="1" spans="2:9">
      <c r="B210" s="117"/>
      <c r="C210" s="117"/>
      <c r="D210" s="117"/>
      <c r="E210" s="117"/>
      <c r="F210" s="117"/>
      <c r="G210" s="117"/>
      <c r="H210" s="117"/>
      <c r="I210" s="117"/>
    </row>
    <row r="211" ht="14.5" hidden="1" spans="2:9">
      <c r="B211" s="117"/>
      <c r="C211" s="117"/>
      <c r="D211" s="117"/>
      <c r="E211" s="117"/>
      <c r="F211" s="117"/>
      <c r="G211" s="117"/>
      <c r="H211" s="117"/>
      <c r="I211" s="117"/>
    </row>
    <row r="212" ht="14.5" hidden="1" spans="2:9">
      <c r="B212" s="117"/>
      <c r="C212" s="117"/>
      <c r="D212" s="117"/>
      <c r="E212" s="117"/>
      <c r="F212" s="117"/>
      <c r="G212" s="117"/>
      <c r="H212" s="117"/>
      <c r="I212" s="117"/>
    </row>
    <row r="213" ht="14.5" hidden="1" spans="2:9">
      <c r="B213" s="117"/>
      <c r="C213" s="117"/>
      <c r="D213" s="117"/>
      <c r="E213" s="117"/>
      <c r="F213" s="117"/>
      <c r="G213" s="117"/>
      <c r="H213" s="117"/>
      <c r="I213" s="117"/>
    </row>
    <row r="214" ht="14.5" hidden="1" spans="2:9">
      <c r="B214" s="117"/>
      <c r="C214" s="117"/>
      <c r="D214" s="117"/>
      <c r="E214" s="117"/>
      <c r="F214" s="117"/>
      <c r="G214" s="117"/>
      <c r="H214" s="117"/>
      <c r="I214" s="117"/>
    </row>
    <row r="215" ht="14.5" hidden="1" spans="2:9">
      <c r="B215" s="117"/>
      <c r="C215" s="117"/>
      <c r="D215" s="117"/>
      <c r="E215" s="117"/>
      <c r="F215" s="117"/>
      <c r="G215" s="117"/>
      <c r="H215" s="117"/>
      <c r="I215" s="117"/>
    </row>
    <row r="216" ht="14.5" hidden="1" spans="2:9">
      <c r="B216" s="117"/>
      <c r="C216" s="117"/>
      <c r="D216" s="117"/>
      <c r="E216" s="117"/>
      <c r="F216" s="117"/>
      <c r="G216" s="117"/>
      <c r="H216" s="117"/>
      <c r="I216" s="117"/>
    </row>
    <row r="217" ht="14.5" hidden="1" spans="2:9">
      <c r="B217" s="117"/>
      <c r="C217" s="117"/>
      <c r="D217" s="117"/>
      <c r="E217" s="117"/>
      <c r="F217" s="117"/>
      <c r="G217" s="117"/>
      <c r="H217" s="117"/>
      <c r="I217" s="117"/>
    </row>
    <row r="218" ht="14.5" hidden="1" spans="2:9">
      <c r="B218" s="117"/>
      <c r="C218" s="117"/>
      <c r="D218" s="117"/>
      <c r="E218" s="117"/>
      <c r="F218" s="117"/>
      <c r="G218" s="117"/>
      <c r="H218" s="117"/>
      <c r="I218" s="117"/>
    </row>
    <row r="219" ht="14.5" hidden="1" spans="2:9">
      <c r="B219" s="117"/>
      <c r="C219" s="117"/>
      <c r="D219" s="117"/>
      <c r="E219" s="117"/>
      <c r="F219" s="117"/>
      <c r="G219" s="117"/>
      <c r="H219" s="117"/>
      <c r="I219" s="117"/>
    </row>
    <row r="220" ht="14.5" hidden="1" spans="2:9">
      <c r="B220" s="117"/>
      <c r="C220" s="117"/>
      <c r="D220" s="117"/>
      <c r="E220" s="117"/>
      <c r="F220" s="117"/>
      <c r="G220" s="117"/>
      <c r="H220" s="117"/>
      <c r="I220" s="117"/>
    </row>
    <row r="221" ht="14.5" hidden="1" spans="2:9">
      <c r="B221" s="117"/>
      <c r="C221" s="117"/>
      <c r="D221" s="117"/>
      <c r="E221" s="117"/>
      <c r="F221" s="117"/>
      <c r="G221" s="117"/>
      <c r="H221" s="117"/>
      <c r="I221" s="117"/>
    </row>
    <row r="222" ht="14.5" hidden="1" spans="2:9">
      <c r="B222" s="117"/>
      <c r="C222" s="117"/>
      <c r="D222" s="117"/>
      <c r="E222" s="117"/>
      <c r="F222" s="117"/>
      <c r="G222" s="117"/>
      <c r="H222" s="117"/>
      <c r="I222" s="117"/>
    </row>
    <row r="223" ht="14.5" hidden="1" spans="2:9">
      <c r="B223" s="117"/>
      <c r="C223" s="117"/>
      <c r="D223" s="117"/>
      <c r="E223" s="117"/>
      <c r="F223" s="117"/>
      <c r="G223" s="117"/>
      <c r="H223" s="117"/>
      <c r="I223" s="117"/>
    </row>
    <row r="224" ht="14.5" hidden="1" spans="2:9">
      <c r="B224" s="117"/>
      <c r="C224" s="117"/>
      <c r="D224" s="117"/>
      <c r="E224" s="117"/>
      <c r="F224" s="117"/>
      <c r="G224" s="117"/>
      <c r="H224" s="117"/>
      <c r="I224" s="117"/>
    </row>
    <row r="225" ht="14.5" hidden="1" spans="2:9">
      <c r="B225" s="117"/>
      <c r="C225" s="117"/>
      <c r="D225" s="117"/>
      <c r="E225" s="117"/>
      <c r="F225" s="117"/>
      <c r="G225" s="117"/>
      <c r="H225" s="117"/>
      <c r="I225" s="117"/>
    </row>
    <row r="226" ht="14.5" hidden="1" spans="2:9">
      <c r="B226" s="117"/>
      <c r="C226" s="117"/>
      <c r="D226" s="117"/>
      <c r="E226" s="117"/>
      <c r="F226" s="117"/>
      <c r="G226" s="117"/>
      <c r="H226" s="117"/>
      <c r="I226" s="117"/>
    </row>
    <row r="227" ht="14.5" hidden="1" spans="2:9">
      <c r="B227" s="117"/>
      <c r="C227" s="117"/>
      <c r="D227" s="117"/>
      <c r="E227" s="117"/>
      <c r="F227" s="117"/>
      <c r="G227" s="117"/>
      <c r="H227" s="117"/>
      <c r="I227" s="117"/>
    </row>
    <row r="228" ht="14.5" hidden="1" spans="2:9">
      <c r="B228" s="117"/>
      <c r="C228" s="117"/>
      <c r="D228" s="117"/>
      <c r="E228" s="117"/>
      <c r="F228" s="117"/>
      <c r="G228" s="117"/>
      <c r="H228" s="117"/>
      <c r="I228" s="117"/>
    </row>
    <row r="229" ht="14.5" hidden="1" spans="2:9">
      <c r="B229" s="117"/>
      <c r="C229" s="117"/>
      <c r="D229" s="117"/>
      <c r="E229" s="117"/>
      <c r="F229" s="117"/>
      <c r="G229" s="117"/>
      <c r="H229" s="117"/>
      <c r="I229" s="117"/>
    </row>
    <row r="230" ht="14.5" hidden="1" spans="2:9">
      <c r="B230" s="117"/>
      <c r="C230" s="117"/>
      <c r="D230" s="117"/>
      <c r="E230" s="117"/>
      <c r="F230" s="117"/>
      <c r="G230" s="117"/>
      <c r="H230" s="117"/>
      <c r="I230" s="117"/>
    </row>
    <row r="231" ht="14.5" hidden="1" spans="2:9">
      <c r="B231" s="117"/>
      <c r="C231" s="117"/>
      <c r="D231" s="117"/>
      <c r="E231" s="117"/>
      <c r="F231" s="117"/>
      <c r="G231" s="117"/>
      <c r="H231" s="117"/>
      <c r="I231" s="117"/>
    </row>
    <row r="232" ht="14.5" hidden="1" spans="2:9">
      <c r="B232" s="117"/>
      <c r="C232" s="117"/>
      <c r="D232" s="117"/>
      <c r="E232" s="117"/>
      <c r="F232" s="117"/>
      <c r="G232" s="117"/>
      <c r="H232" s="117"/>
      <c r="I232" s="117"/>
    </row>
    <row r="233" ht="14.5" hidden="1" spans="2:9">
      <c r="B233" s="117"/>
      <c r="C233" s="117"/>
      <c r="D233" s="117"/>
      <c r="E233" s="117"/>
      <c r="F233" s="117"/>
      <c r="G233" s="117"/>
      <c r="H233" s="117"/>
      <c r="I233" s="117"/>
    </row>
    <row r="234" ht="14.5" hidden="1" spans="2:9">
      <c r="B234" s="117"/>
      <c r="C234" s="117"/>
      <c r="D234" s="117"/>
      <c r="E234" s="117"/>
      <c r="F234" s="117"/>
      <c r="G234" s="117"/>
      <c r="H234" s="117"/>
      <c r="I234" s="117"/>
    </row>
    <row r="235" ht="14.5" hidden="1" spans="2:9">
      <c r="B235" s="117"/>
      <c r="C235" s="117"/>
      <c r="D235" s="117"/>
      <c r="E235" s="117"/>
      <c r="F235" s="117"/>
      <c r="G235" s="117"/>
      <c r="H235" s="117"/>
      <c r="I235" s="117"/>
    </row>
    <row r="236" ht="14.5" hidden="1" spans="2:9">
      <c r="B236" s="117"/>
      <c r="C236" s="117"/>
      <c r="D236" s="117"/>
      <c r="E236" s="117"/>
      <c r="F236" s="117"/>
      <c r="G236" s="117"/>
      <c r="H236" s="117"/>
      <c r="I236" s="117"/>
    </row>
    <row r="237" ht="14.5" hidden="1" spans="2:9">
      <c r="B237" s="117"/>
      <c r="C237" s="117"/>
      <c r="D237" s="117"/>
      <c r="E237" s="117"/>
      <c r="F237" s="117"/>
      <c r="G237" s="117"/>
      <c r="H237" s="117"/>
      <c r="I237" s="117"/>
    </row>
    <row r="238" ht="14.5" hidden="1" spans="2:9">
      <c r="B238" s="117"/>
      <c r="C238" s="117"/>
      <c r="D238" s="117"/>
      <c r="E238" s="117"/>
      <c r="F238" s="117"/>
      <c r="G238" s="117"/>
      <c r="H238" s="117"/>
      <c r="I238" s="117"/>
    </row>
    <row r="239" ht="14.5" hidden="1" spans="2:9">
      <c r="B239" s="117"/>
      <c r="C239" s="117"/>
      <c r="D239" s="117"/>
      <c r="E239" s="117"/>
      <c r="F239" s="117"/>
      <c r="G239" s="117"/>
      <c r="H239" s="117"/>
      <c r="I239" s="117"/>
    </row>
    <row r="240" ht="14.5" hidden="1" spans="2:9">
      <c r="B240" s="117"/>
      <c r="C240" s="117"/>
      <c r="D240" s="117"/>
      <c r="E240" s="117"/>
      <c r="F240" s="117"/>
      <c r="G240" s="117"/>
      <c r="H240" s="117"/>
      <c r="I240" s="117"/>
    </row>
    <row r="241" ht="14.5" hidden="1" spans="2:9">
      <c r="B241" s="117"/>
      <c r="C241" s="117"/>
      <c r="D241" s="117"/>
      <c r="E241" s="117"/>
      <c r="F241" s="117"/>
      <c r="G241" s="117"/>
      <c r="H241" s="117"/>
      <c r="I241" s="117"/>
    </row>
    <row r="242" ht="14.5" hidden="1" spans="2:9">
      <c r="B242" s="117"/>
      <c r="C242" s="117"/>
      <c r="D242" s="117"/>
      <c r="E242" s="117"/>
      <c r="F242" s="117"/>
      <c r="G242" s="117"/>
      <c r="H242" s="117"/>
      <c r="I242" s="117"/>
    </row>
    <row r="243" ht="14.5" hidden="1" spans="2:9">
      <c r="B243" s="117"/>
      <c r="C243" s="117"/>
      <c r="D243" s="117"/>
      <c r="E243" s="117"/>
      <c r="F243" s="117"/>
      <c r="G243" s="117"/>
      <c r="H243" s="117"/>
      <c r="I243" s="117"/>
    </row>
    <row r="244" ht="14.5" hidden="1" spans="2:9">
      <c r="B244" s="117"/>
      <c r="C244" s="117"/>
      <c r="D244" s="117"/>
      <c r="E244" s="117"/>
      <c r="F244" s="117"/>
      <c r="G244" s="117"/>
      <c r="H244" s="117"/>
      <c r="I244" s="117"/>
    </row>
    <row r="245" ht="14.5" hidden="1" spans="2:9">
      <c r="B245" s="117"/>
      <c r="C245" s="117"/>
      <c r="D245" s="117"/>
      <c r="E245" s="117"/>
      <c r="F245" s="117"/>
      <c r="G245" s="117"/>
      <c r="H245" s="117"/>
      <c r="I245" s="117"/>
    </row>
    <row r="246" ht="14.5" hidden="1" spans="2:9">
      <c r="B246" s="117"/>
      <c r="C246" s="117"/>
      <c r="D246" s="117"/>
      <c r="E246" s="117"/>
      <c r="F246" s="117"/>
      <c r="G246" s="117"/>
      <c r="H246" s="117"/>
      <c r="I246" s="117"/>
    </row>
    <row r="247" ht="14.5" hidden="1" spans="2:9">
      <c r="B247" s="117"/>
      <c r="C247" s="117"/>
      <c r="D247" s="117"/>
      <c r="E247" s="117"/>
      <c r="F247" s="117"/>
      <c r="G247" s="117"/>
      <c r="H247" s="117"/>
      <c r="I247" s="117"/>
    </row>
    <row r="248" ht="14.5" hidden="1" spans="2:9">
      <c r="B248" s="117"/>
      <c r="C248" s="117"/>
      <c r="D248" s="117"/>
      <c r="E248" s="117"/>
      <c r="F248" s="117"/>
      <c r="G248" s="117"/>
      <c r="H248" s="117"/>
      <c r="I248" s="117"/>
    </row>
    <row r="249" ht="14.5" hidden="1" spans="2:9">
      <c r="B249" s="117"/>
      <c r="C249" s="117"/>
      <c r="D249" s="117"/>
      <c r="E249" s="117"/>
      <c r="F249" s="117"/>
      <c r="G249" s="117"/>
      <c r="H249" s="117"/>
      <c r="I249" s="117"/>
    </row>
    <row r="250" ht="14.5" hidden="1" spans="2:9">
      <c r="B250" s="117"/>
      <c r="C250" s="117"/>
      <c r="D250" s="117"/>
      <c r="E250" s="117"/>
      <c r="F250" s="117"/>
      <c r="G250" s="117"/>
      <c r="H250" s="117"/>
      <c r="I250" s="117"/>
    </row>
    <row r="251" ht="14.5" hidden="1" spans="2:9">
      <c r="B251" s="117"/>
      <c r="C251" s="117"/>
      <c r="D251" s="117"/>
      <c r="E251" s="117"/>
      <c r="F251" s="117"/>
      <c r="G251" s="117"/>
      <c r="H251" s="117"/>
      <c r="I251" s="117"/>
    </row>
    <row r="252" ht="14.5" hidden="1" spans="2:9">
      <c r="B252" s="117"/>
      <c r="C252" s="117"/>
      <c r="D252" s="117"/>
      <c r="E252" s="117"/>
      <c r="F252" s="117"/>
      <c r="G252" s="117"/>
      <c r="H252" s="117"/>
      <c r="I252" s="117"/>
    </row>
    <row r="253" ht="14.5" hidden="1" spans="2:9">
      <c r="B253" s="117"/>
      <c r="C253" s="117"/>
      <c r="D253" s="117"/>
      <c r="E253" s="117"/>
      <c r="F253" s="117"/>
      <c r="G253" s="117"/>
      <c r="H253" s="117"/>
      <c r="I253" s="117"/>
    </row>
    <row r="254" ht="14.5" hidden="1" spans="2:9">
      <c r="B254" s="117"/>
      <c r="C254" s="117"/>
      <c r="D254" s="117"/>
      <c r="E254" s="117"/>
      <c r="F254" s="117"/>
      <c r="G254" s="117"/>
      <c r="H254" s="117"/>
      <c r="I254" s="117"/>
    </row>
    <row r="255" ht="14.5" hidden="1" spans="2:9">
      <c r="B255" s="117"/>
      <c r="C255" s="117"/>
      <c r="D255" s="117"/>
      <c r="E255" s="117"/>
      <c r="F255" s="117"/>
      <c r="G255" s="117"/>
      <c r="H255" s="117"/>
      <c r="I255" s="117"/>
    </row>
    <row r="256" ht="14.5" hidden="1" spans="2:9">
      <c r="B256" s="117"/>
      <c r="C256" s="117"/>
      <c r="D256" s="117"/>
      <c r="E256" s="117"/>
      <c r="F256" s="117"/>
      <c r="G256" s="117"/>
      <c r="H256" s="117"/>
      <c r="I256" s="117"/>
    </row>
    <row r="257" ht="14.5" hidden="1" spans="2:9">
      <c r="B257" s="117"/>
      <c r="C257" s="117"/>
      <c r="D257" s="117"/>
      <c r="E257" s="117"/>
      <c r="F257" s="117"/>
      <c r="G257" s="117"/>
      <c r="H257" s="117"/>
      <c r="I257" s="117"/>
    </row>
    <row r="258" ht="14.5" hidden="1" spans="2:9">
      <c r="B258" s="117"/>
      <c r="C258" s="117"/>
      <c r="D258" s="117"/>
      <c r="E258" s="117"/>
      <c r="F258" s="117"/>
      <c r="G258" s="117"/>
      <c r="H258" s="117"/>
      <c r="I258" s="117"/>
    </row>
    <row r="259" ht="14.5" hidden="1" spans="2:9">
      <c r="B259" s="117"/>
      <c r="C259" s="117"/>
      <c r="D259" s="117"/>
      <c r="E259" s="117"/>
      <c r="F259" s="117"/>
      <c r="G259" s="117"/>
      <c r="H259" s="117"/>
      <c r="I259" s="117"/>
    </row>
    <row r="260" ht="14.5" hidden="1" spans="2:9">
      <c r="B260" s="117"/>
      <c r="C260" s="117"/>
      <c r="D260" s="117"/>
      <c r="E260" s="117"/>
      <c r="F260" s="117"/>
      <c r="G260" s="117"/>
      <c r="H260" s="117"/>
      <c r="I260" s="117"/>
    </row>
    <row r="261" ht="14.5" hidden="1" spans="2:9">
      <c r="B261" s="117"/>
      <c r="C261" s="117"/>
      <c r="D261" s="117"/>
      <c r="E261" s="117"/>
      <c r="F261" s="117"/>
      <c r="G261" s="117"/>
      <c r="H261" s="117"/>
      <c r="I261" s="117"/>
    </row>
    <row r="262" ht="14.5" hidden="1" spans="2:9">
      <c r="B262" s="117"/>
      <c r="C262" s="117"/>
      <c r="D262" s="117"/>
      <c r="E262" s="117"/>
      <c r="F262" s="117"/>
      <c r="G262" s="117"/>
      <c r="H262" s="117"/>
      <c r="I262" s="117"/>
    </row>
    <row r="263" ht="14.5" hidden="1" spans="2:9">
      <c r="B263" s="117"/>
      <c r="C263" s="117"/>
      <c r="D263" s="117"/>
      <c r="E263" s="117"/>
      <c r="F263" s="117"/>
      <c r="G263" s="117"/>
      <c r="H263" s="117"/>
      <c r="I263" s="117"/>
    </row>
    <row r="264" ht="14.5" hidden="1" spans="2:9">
      <c r="B264" s="117"/>
      <c r="C264" s="117"/>
      <c r="D264" s="117"/>
      <c r="E264" s="117"/>
      <c r="F264" s="117"/>
      <c r="G264" s="117"/>
      <c r="H264" s="117"/>
      <c r="I264" s="117"/>
    </row>
    <row r="265" ht="14.5" hidden="1" spans="2:9">
      <c r="B265" s="117"/>
      <c r="C265" s="117"/>
      <c r="D265" s="117"/>
      <c r="E265" s="117"/>
      <c r="F265" s="117"/>
      <c r="G265" s="117"/>
      <c r="H265" s="117"/>
      <c r="I265" s="117"/>
    </row>
    <row r="266" ht="14.5" hidden="1" spans="2:9">
      <c r="B266" s="117"/>
      <c r="C266" s="117"/>
      <c r="D266" s="117"/>
      <c r="E266" s="117"/>
      <c r="F266" s="117"/>
      <c r="G266" s="117"/>
      <c r="H266" s="117"/>
      <c r="I266" s="117"/>
    </row>
  </sheetData>
  <sheetProtection password="DE1B" sheet="1"/>
  <mergeCells count="24">
    <mergeCell ref="B2:I2"/>
    <mergeCell ref="C3:D3"/>
    <mergeCell ref="C4:D4"/>
    <mergeCell ref="C5:D5"/>
    <mergeCell ref="C7:D7"/>
    <mergeCell ref="G7:H7"/>
    <mergeCell ref="C17:D17"/>
    <mergeCell ref="G17:H17"/>
    <mergeCell ref="C24:D24"/>
    <mergeCell ref="G24:H24"/>
    <mergeCell ref="C25:D25"/>
    <mergeCell ref="G25:H25"/>
    <mergeCell ref="C26:D26"/>
    <mergeCell ref="G33:H33"/>
    <mergeCell ref="G34:H34"/>
    <mergeCell ref="G55:H55"/>
    <mergeCell ref="G61:H61"/>
    <mergeCell ref="G65:H65"/>
    <mergeCell ref="G66:H66"/>
    <mergeCell ref="G70:H70"/>
    <mergeCell ref="C73:D73"/>
    <mergeCell ref="C80:I80"/>
    <mergeCell ref="C81:I81"/>
    <mergeCell ref="C82:I82"/>
  </mergeCells>
  <dataValidations count="2">
    <dataValidation type="decimal" operator="between" allowBlank="1" showInputMessage="1" showErrorMessage="1" sqref="E18 I18 I76 E8:E15 E25:E37 E40:E79 I8:I13 I25:I36 I40:I63 I65:I74">
      <formula1>-1000000000</formula1>
      <formula2>1000000000</formula2>
    </dataValidation>
    <dataValidation type="whole" operator="between" allowBlank="1" showInputMessage="1" showErrorMessage="1" sqref="E38:E39">
      <formula1>-1000000000</formula1>
      <formula2>1000000000</formula2>
    </dataValidation>
  </dataValidations>
  <pageMargins left="0.7" right="0.7" top="0.75" bottom="0.75" header="0.3" footer="0.3"/>
  <pageSetup paperSize="9" scale="63" fitToHeight="0" orientation="landscape" horizontalDpi="600"/>
  <headerFooter>
    <oddHeader>&amp;L&amp;"Calibri"&amp;10&amp;K0078D7CBUAE Classification: Restricted&amp;1#</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BRF109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Feby Imthias</dc:creator>
  <cp:lastModifiedBy>user</cp:lastModifiedBy>
  <dcterms:created xsi:type="dcterms:W3CDTF">2023-12-19T11:41:09Z</dcterms:created>
  <dcterms:modified xsi:type="dcterms:W3CDTF">2024-02-22T06:40:18Z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9e9404-3739-4dbf-9fa8-b6ae9df09a7a_Enabled">
    <vt:lpwstr>true</vt:lpwstr>
  </property>
  <property fmtid="{D5CDD505-2E9C-101B-9397-08002B2CF9AE}" pid="3" name="MSIP_Label_1d9e9404-3739-4dbf-9fa8-b6ae9df09a7a_SetDate">
    <vt:lpwstr>2023-12-27T10:34:39Z</vt:lpwstr>
  </property>
  <property fmtid="{D5CDD505-2E9C-101B-9397-08002B2CF9AE}" pid="4" name="MSIP_Label_1d9e9404-3739-4dbf-9fa8-b6ae9df09a7a_Method">
    <vt:lpwstr>Standard</vt:lpwstr>
  </property>
  <property fmtid="{D5CDD505-2E9C-101B-9397-08002B2CF9AE}" pid="5" name="MSIP_Label_1d9e9404-3739-4dbf-9fa8-b6ae9df09a7a_Name">
    <vt:lpwstr>Personal</vt:lpwstr>
  </property>
  <property fmtid="{D5CDD505-2E9C-101B-9397-08002B2CF9AE}" pid="6" name="MSIP_Label_1d9e9404-3739-4dbf-9fa8-b6ae9df09a7a_SiteId">
    <vt:lpwstr>fba6ee03-9647-4c58-86a3-db85ac6de45e</vt:lpwstr>
  </property>
  <property fmtid="{D5CDD505-2E9C-101B-9397-08002B2CF9AE}" pid="7" name="MSIP_Label_1d9e9404-3739-4dbf-9fa8-b6ae9df09a7a_ActionId">
    <vt:lpwstr>a77c8e16-8076-4e3c-8ada-c965d9fad386</vt:lpwstr>
  </property>
  <property fmtid="{D5CDD505-2E9C-101B-9397-08002B2CF9AE}" pid="8" name="MSIP_Label_1d9e9404-3739-4dbf-9fa8-b6ae9df09a7a_ContentBits">
    <vt:lpwstr>1</vt:lpwstr>
  </property>
  <property fmtid="{D5CDD505-2E9C-101B-9397-08002B2CF9AE}" pid="9" name="ICV">
    <vt:lpwstr>C1C2A107CF664BBD97F62903E4CAFCC2_13</vt:lpwstr>
  </property>
  <property fmtid="{D5CDD505-2E9C-101B-9397-08002B2CF9AE}" pid="10" name="KSOProductBuildVer">
    <vt:lpwstr>1033-12.2.0.13431</vt:lpwstr>
  </property>
</Properties>
</file>