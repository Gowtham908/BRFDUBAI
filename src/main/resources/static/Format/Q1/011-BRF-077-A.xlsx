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77" sheetId="1" r:id="rId1"/>
    <sheet name="Drop_Down" sheetId="2" r:id="rId2"/>
  </sheets>
  <definedNames>
    <definedName name="B1END">BRF77!$A$11</definedName>
    <definedName name="B1START">BRF77!$A$9</definedName>
    <definedName name="CODE">Drop_Down!$D$3:$D$261</definedName>
    <definedName name="COUNTRIES">Drop_Down!$E$3:$E$261</definedName>
    <definedName name="CREDITRATINGTYPECODE">Drop_Down!$L$3:$L$6</definedName>
    <definedName name="CREDITREP">Drop_Down!$G$3:$G$24</definedName>
    <definedName name="CURRENCYCODE">Drop_Down!$O$3:$O$175</definedName>
    <definedName name="ECONOMICSECTORCODE">Drop_Down!#REF!</definedName>
    <definedName name="_xlnm.Print_Area" localSheetId="0">BRF77!$B$2:$V$15</definedName>
    <definedName name="RANGED8">BRF77!$D$8</definedName>
    <definedName name="RESCODE">Drop_Down!$A$3:$A$4</definedName>
  </definedNames>
  <calcPr calcId="144525"/>
</workbook>
</file>

<file path=xl/sharedStrings.xml><?xml version="1.0" encoding="utf-8"?>
<sst xmlns="http://schemas.openxmlformats.org/spreadsheetml/2006/main" count="1075" uniqueCount="1004">
  <si>
    <t>LR</t>
  </si>
  <si>
    <t>CT1</t>
  </si>
  <si>
    <t>CT2</t>
  </si>
  <si>
    <t>BANKING AND MONETARY STATISTICS - LE UAE FEDERAL GOVT, ITS NON COMMERCIAL ENTITIES, CENTRAL BANKS AND OTHER FOREIGN SOVEREIGNS * - BRF 77 (AED 000)</t>
  </si>
  <si>
    <t>Template ID:</t>
  </si>
  <si>
    <t>4-77-2-4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</si>
  <si>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</si>
  <si>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</si>
  <si>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</si>
  <si>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</si>
  <si>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</si>
  <si>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S.No</t>
  </si>
  <si>
    <t>Name of the Borrowing Entity*</t>
  </si>
  <si>
    <t>CIN /FIGI / GLEI ID</t>
  </si>
  <si>
    <t>Resident / Non Resident **</t>
  </si>
  <si>
    <t>Country Incorporated</t>
  </si>
  <si>
    <t>Credit Rating of the Borrower</t>
  </si>
  <si>
    <t>Credit Rating Type</t>
  </si>
  <si>
    <t>Currency</t>
  </si>
  <si>
    <t xml:space="preserve">Funded O/S (excl. Debt Securities) </t>
  </si>
  <si>
    <t xml:space="preserve">Debt Securities </t>
  </si>
  <si>
    <t>Unfunded O/S</t>
  </si>
  <si>
    <t>CCF equivalent of unfunded O/s</t>
  </si>
  <si>
    <t>CCF equivalent of committed unused funded and unfunded limits</t>
  </si>
  <si>
    <t>Total Exposures (CCF based) net of Credit Risk Mitigation after hair cut</t>
  </si>
  <si>
    <t>As % of Tier 1 Capital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</si>
  <si>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</si>
  <si>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</si>
  <si>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</si>
  <si>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</si>
  <si>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</si>
  <si>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/Additional Information</t>
  </si>
  <si>
    <t>B1</t>
  </si>
  <si>
    <t>NA</t>
  </si>
  <si>
    <t>GT</t>
  </si>
  <si>
    <t>Total</t>
  </si>
  <si>
    <t>Note: 1. * UAE Federal Govt, its non commercial entities, Central Bank of the UAE and other foreign Sovereign rated at least AA- and their Central Banks. Report also multilateral development banks for which a 0% risk weight applies under the Central Bank's credit risk standards.</t>
  </si>
  <si>
    <t>Note 2. ** Resident and Non Resident as reported in BRF 1</t>
  </si>
  <si>
    <t xml:space="preserve">Note: 3. These exposures fall in the exempted category, however these are required to be reported for information purpose, regardless of the amount. </t>
  </si>
  <si>
    <t>FORM NO: BSD/BRF 77 - LE FED GOVT / NOV23</t>
  </si>
  <si>
    <t>Resident / Non Resident</t>
  </si>
  <si>
    <t>Credit Risk Mitigation</t>
  </si>
  <si>
    <t>Code</t>
  </si>
  <si>
    <t>Description</t>
  </si>
  <si>
    <t>Country Name</t>
  </si>
  <si>
    <t>S&amp;P</t>
  </si>
  <si>
    <t>Moody’s</t>
  </si>
  <si>
    <t>Fitch</t>
  </si>
  <si>
    <t>R</t>
  </si>
  <si>
    <t>Resident</t>
  </si>
  <si>
    <t>AD</t>
  </si>
  <si>
    <t>Andorra</t>
  </si>
  <si>
    <t>AAA</t>
  </si>
  <si>
    <t>Aaa</t>
  </si>
  <si>
    <t>External Rating - S&amp;P</t>
  </si>
  <si>
    <t>AED</t>
  </si>
  <si>
    <t>UAE Dirham</t>
  </si>
  <si>
    <t>A</t>
  </si>
  <si>
    <t xml:space="preserve">Cash (as well as certificates of deposit or comparable instruments issued </t>
  </si>
  <si>
    <t>NR</t>
  </si>
  <si>
    <t>Non Resident</t>
  </si>
  <si>
    <t>AE</t>
  </si>
  <si>
    <t>United Arab Emirates</t>
  </si>
  <si>
    <t>AA+</t>
  </si>
  <si>
    <t>Aa1</t>
  </si>
  <si>
    <t>Moody's</t>
  </si>
  <si>
    <t>External Rating - Moody's</t>
  </si>
  <si>
    <t>AFN</t>
  </si>
  <si>
    <t>Afghani</t>
  </si>
  <si>
    <t>by the lending bank) on deposit with the bank which is incurring the</t>
  </si>
  <si>
    <t>AF</t>
  </si>
  <si>
    <t>Afghanistan</t>
  </si>
  <si>
    <t>AA</t>
  </si>
  <si>
    <t>Aa2</t>
  </si>
  <si>
    <t>External Rating - Fitch</t>
  </si>
  <si>
    <t>ALL</t>
  </si>
  <si>
    <t>Lek</t>
  </si>
  <si>
    <t xml:space="preserve"> counterparty exposure.</t>
  </si>
  <si>
    <t>AG</t>
  </si>
  <si>
    <t>Antigua and Barbuda</t>
  </si>
  <si>
    <t>AA-</t>
  </si>
  <si>
    <t>Aa3</t>
  </si>
  <si>
    <t>Internal</t>
  </si>
  <si>
    <t>Internal Rating</t>
  </si>
  <si>
    <t>AMD</t>
  </si>
  <si>
    <t>Armenian Dram</t>
  </si>
  <si>
    <t>Note 1: Cash funded credit linked notes issued by the bank against</t>
  </si>
  <si>
    <t>AI</t>
  </si>
  <si>
    <t>Anguilla</t>
  </si>
  <si>
    <t>A+</t>
  </si>
  <si>
    <t>A1</t>
  </si>
  <si>
    <t>ANG</t>
  </si>
  <si>
    <t>Netherlands Antillean Guilder</t>
  </si>
  <si>
    <t>exposures in the banking book which fulfil the criteria for credit</t>
  </si>
  <si>
    <t>AL</t>
  </si>
  <si>
    <t>Albania</t>
  </si>
  <si>
    <t>A2</t>
  </si>
  <si>
    <t>AOA</t>
  </si>
  <si>
    <t>Kwanza</t>
  </si>
  <si>
    <t>derivatives will be treated as cash collateralised transactions.</t>
  </si>
  <si>
    <t>AM</t>
  </si>
  <si>
    <t>Armenia</t>
  </si>
  <si>
    <t>A-</t>
  </si>
  <si>
    <t>A3</t>
  </si>
  <si>
    <t>ARS</t>
  </si>
  <si>
    <t>Argentine Peso</t>
  </si>
  <si>
    <t>Note 2: When cash on deposit, certificates of deposit or comparable</t>
  </si>
  <si>
    <t>AO</t>
  </si>
  <si>
    <t>Angola</t>
  </si>
  <si>
    <t>BBB+</t>
  </si>
  <si>
    <t>Baa1</t>
  </si>
  <si>
    <t>AUD</t>
  </si>
  <si>
    <t>Australian Dollar</t>
  </si>
  <si>
    <t>instruments issued by the lending bank are held as collateral at a</t>
  </si>
  <si>
    <t>AQ</t>
  </si>
  <si>
    <t>Antarctica</t>
  </si>
  <si>
    <t>BBB</t>
  </si>
  <si>
    <t>Baa2</t>
  </si>
  <si>
    <t>AWG</t>
  </si>
  <si>
    <t>Aruban Florin</t>
  </si>
  <si>
    <t>third-party bank in a noncustodial arrangement, if they are openly</t>
  </si>
  <si>
    <t>AR</t>
  </si>
  <si>
    <t>Argentina</t>
  </si>
  <si>
    <t>BBB-</t>
  </si>
  <si>
    <t>Baa3</t>
  </si>
  <si>
    <t>AZN</t>
  </si>
  <si>
    <t>Azerbaijan Manat</t>
  </si>
  <si>
    <t>pledged/assigned to the lending bank and if the pledge/assignment is</t>
  </si>
  <si>
    <t>AS</t>
  </si>
  <si>
    <t>American Samoa</t>
  </si>
  <si>
    <t>BB+</t>
  </si>
  <si>
    <t>Ba1</t>
  </si>
  <si>
    <t>BAM</t>
  </si>
  <si>
    <t>Convertible Mark</t>
  </si>
  <si>
    <t>unconditional and irrevocable, the exposure amount covered by the</t>
  </si>
  <si>
    <t>AT</t>
  </si>
  <si>
    <t>Austria</t>
  </si>
  <si>
    <t>BB</t>
  </si>
  <si>
    <t>Ba2</t>
  </si>
  <si>
    <t>BBD</t>
  </si>
  <si>
    <t>Barbados Dollar</t>
  </si>
  <si>
    <t>collateral (after any necessary haircuts for currency risk) will receive the</t>
  </si>
  <si>
    <t>AU</t>
  </si>
  <si>
    <t>Australia</t>
  </si>
  <si>
    <t>BB-</t>
  </si>
  <si>
    <t>Ba3</t>
  </si>
  <si>
    <t>BDT</t>
  </si>
  <si>
    <t>Taka</t>
  </si>
  <si>
    <t>risk weight of the third-party bank);</t>
  </si>
  <si>
    <t>AW</t>
  </si>
  <si>
    <t>Aruba</t>
  </si>
  <si>
    <t>B+</t>
  </si>
  <si>
    <t>BGN</t>
  </si>
  <si>
    <t>Bulgarian Lev</t>
  </si>
  <si>
    <t>B</t>
  </si>
  <si>
    <t>Gold</t>
  </si>
  <si>
    <t>AX</t>
  </si>
  <si>
    <t>Aland Islands+C3</t>
  </si>
  <si>
    <t>B2</t>
  </si>
  <si>
    <t>BHD</t>
  </si>
  <si>
    <t>Bahraini Dinar</t>
  </si>
  <si>
    <t>C</t>
  </si>
  <si>
    <t>Debt securities rated by a recognised external credit assessment</t>
  </si>
  <si>
    <t>AZ</t>
  </si>
  <si>
    <t>Azerbaijan</t>
  </si>
  <si>
    <t>B-</t>
  </si>
  <si>
    <t>B3</t>
  </si>
  <si>
    <t>BIF</t>
  </si>
  <si>
    <t>Burundi Franc</t>
  </si>
  <si>
    <t>institution where these are either:</t>
  </si>
  <si>
    <t>BA</t>
  </si>
  <si>
    <t>Bosnia and Herzegovina</t>
  </si>
  <si>
    <t>CCC+</t>
  </si>
  <si>
    <t>Caa1</t>
  </si>
  <si>
    <t>BMD</t>
  </si>
  <si>
    <t>Bermudian Dollar</t>
  </si>
  <si>
    <t>Rated at least BB- when issued by sovereigns or PSEs that are treated as</t>
  </si>
  <si>
    <t>Barbados</t>
  </si>
  <si>
    <t>CCC</t>
  </si>
  <si>
    <t>Caa2</t>
  </si>
  <si>
    <t>BND</t>
  </si>
  <si>
    <t>Brunei Dollar</t>
  </si>
  <si>
    <t>sovereigns by the Central Bank; or</t>
  </si>
  <si>
    <t>BD</t>
  </si>
  <si>
    <t>Bangladesh</t>
  </si>
  <si>
    <t>CCC-</t>
  </si>
  <si>
    <t>Caa3</t>
  </si>
  <si>
    <t>BOB</t>
  </si>
  <si>
    <t>Boliviano</t>
  </si>
  <si>
    <t>At least BBB- when issued by other entities (including banks and</t>
  </si>
  <si>
    <t>BE</t>
  </si>
  <si>
    <t>Belgium</t>
  </si>
  <si>
    <t>CC</t>
  </si>
  <si>
    <t>Ca</t>
  </si>
  <si>
    <t>BOV</t>
  </si>
  <si>
    <t>Mvdol</t>
  </si>
  <si>
    <t xml:space="preserve"> securities firms); or </t>
  </si>
  <si>
    <t>BF</t>
  </si>
  <si>
    <t>Burkina Faso</t>
  </si>
  <si>
    <t>BRL</t>
  </si>
  <si>
    <t>Brazilian Real</t>
  </si>
  <si>
    <t>At least A-3/P-3 for short-term debt instruments.</t>
  </si>
  <si>
    <t>BG</t>
  </si>
  <si>
    <t>Bulgaria</t>
  </si>
  <si>
    <t>D</t>
  </si>
  <si>
    <t>-</t>
  </si>
  <si>
    <t>BSD</t>
  </si>
  <si>
    <t>Bahamian Dollar</t>
  </si>
  <si>
    <t>Debt securities not rated by a recognised external credit assessment</t>
  </si>
  <si>
    <t>BH</t>
  </si>
  <si>
    <t>Bahrain</t>
  </si>
  <si>
    <t>BTN</t>
  </si>
  <si>
    <t>Ngultrum</t>
  </si>
  <si>
    <t>institution where these are:</t>
  </si>
  <si>
    <t>BI</t>
  </si>
  <si>
    <t>Burundi</t>
  </si>
  <si>
    <t>BWP</t>
  </si>
  <si>
    <t>Pula</t>
  </si>
  <si>
    <t>Issued by a bank; and</t>
  </si>
  <si>
    <t>BJ</t>
  </si>
  <si>
    <t>Benin</t>
  </si>
  <si>
    <t>BYN</t>
  </si>
  <si>
    <t>Belarusian Ruble</t>
  </si>
  <si>
    <t>Listed on a recognised exchange; and</t>
  </si>
  <si>
    <t>BL</t>
  </si>
  <si>
    <t>Saint Barthélemy</t>
  </si>
  <si>
    <t>BZD</t>
  </si>
  <si>
    <t>Belize Dollar</t>
  </si>
  <si>
    <t>Classified as senior debt; and</t>
  </si>
  <si>
    <t>BM</t>
  </si>
  <si>
    <t>Bermuda</t>
  </si>
  <si>
    <t>CAD</t>
  </si>
  <si>
    <t>Canadian Dollar</t>
  </si>
  <si>
    <t>All rated issues of the same seniority by the issuing bank must be rated at</t>
  </si>
  <si>
    <t>BN</t>
  </si>
  <si>
    <t>Brunei Darussalam</t>
  </si>
  <si>
    <t>CDF</t>
  </si>
  <si>
    <t>Congolese Franc</t>
  </si>
  <si>
    <t>least BBB- or A-3/P-3 by a recognised external credit assessment</t>
  </si>
  <si>
    <t>BO</t>
  </si>
  <si>
    <t>Bolivia, Plurinational State of</t>
  </si>
  <si>
    <t>CHE</t>
  </si>
  <si>
    <t>WIR Euro</t>
  </si>
  <si>
    <t>institution; and</t>
  </si>
  <si>
    <t>BQ</t>
  </si>
  <si>
    <t>Bonaire, Sint Eustatius and Saba</t>
  </si>
  <si>
    <t>CHF</t>
  </si>
  <si>
    <t>Swiss Franc</t>
  </si>
  <si>
    <t>The bank holding the securities as collateral has no information to</t>
  </si>
  <si>
    <t>Brazil</t>
  </si>
  <si>
    <t>CHW</t>
  </si>
  <si>
    <t>WIR Franc</t>
  </si>
  <si>
    <t>suggest that the issue justifies a rating below BBB- or A-3/P-3 (as</t>
  </si>
  <si>
    <t>BS</t>
  </si>
  <si>
    <t>Bahamas</t>
  </si>
  <si>
    <t>CLF</t>
  </si>
  <si>
    <t>Unidad de Fomento</t>
  </si>
  <si>
    <t>applicable); and</t>
  </si>
  <si>
    <t>BT</t>
  </si>
  <si>
    <t>Bhutan</t>
  </si>
  <si>
    <t>CLP</t>
  </si>
  <si>
    <t>Chilean Peso</t>
  </si>
  <si>
    <t>The Central Bank is sufficiently confident about the market liquidity of</t>
  </si>
  <si>
    <t>BV</t>
  </si>
  <si>
    <t>Bouvet Island</t>
  </si>
  <si>
    <t>CNY</t>
  </si>
  <si>
    <t>Yuan Renminbi</t>
  </si>
  <si>
    <t>the security.</t>
  </si>
  <si>
    <t>BW</t>
  </si>
  <si>
    <t>Botswana</t>
  </si>
  <si>
    <t>COP</t>
  </si>
  <si>
    <t>Colombian Peso</t>
  </si>
  <si>
    <t>E</t>
  </si>
  <si>
    <t>Equities (including convertible bonds) as per paragraph 95 of the CBUAE</t>
  </si>
  <si>
    <t>BY</t>
  </si>
  <si>
    <t>Belarus</t>
  </si>
  <si>
    <t>COU</t>
  </si>
  <si>
    <t>Unidad de Valor Real</t>
  </si>
  <si>
    <t>Standards re Capital Adequacy of Banks in the UAE</t>
  </si>
  <si>
    <t>BZ</t>
  </si>
  <si>
    <t>Belize</t>
  </si>
  <si>
    <t>CRC</t>
  </si>
  <si>
    <t>Costa Rican Colon</t>
  </si>
  <si>
    <t>F</t>
  </si>
  <si>
    <t>Equities (including convertible bonds) as per paragraph 96 of the CBUAE</t>
  </si>
  <si>
    <t>CA</t>
  </si>
  <si>
    <t>Canada</t>
  </si>
  <si>
    <t>CUC</t>
  </si>
  <si>
    <t>Peso Convertible</t>
  </si>
  <si>
    <t>Cocos (Keeling) Islands</t>
  </si>
  <si>
    <t>CUP</t>
  </si>
  <si>
    <t>Cuban Peso</t>
  </si>
  <si>
    <t>G</t>
  </si>
  <si>
    <t>UCITS and mutual funds as per paragraph 95 of the CBUAE Standards re</t>
  </si>
  <si>
    <t>CD</t>
  </si>
  <si>
    <t>Congo, the Democratic Republic of the</t>
  </si>
  <si>
    <t>CVE</t>
  </si>
  <si>
    <t>Cabo Verde Escudo</t>
  </si>
  <si>
    <t>Capital Adequacy in the UAE</t>
  </si>
  <si>
    <t>CF</t>
  </si>
  <si>
    <t>Central African Republic</t>
  </si>
  <si>
    <t>CZK</t>
  </si>
  <si>
    <t>Czech Koruna</t>
  </si>
  <si>
    <t>H</t>
  </si>
  <si>
    <t>UCITS and mutual funds as per paragraph 96 of the CBUAE Standards re</t>
  </si>
  <si>
    <t>CG</t>
  </si>
  <si>
    <t>Congo</t>
  </si>
  <si>
    <t>DJF</t>
  </si>
  <si>
    <t>Djibouti Franc</t>
  </si>
  <si>
    <t>CH</t>
  </si>
  <si>
    <t>Switzerland</t>
  </si>
  <si>
    <t>DKK</t>
  </si>
  <si>
    <t>Danish Krone</t>
  </si>
  <si>
    <t>I</t>
  </si>
  <si>
    <t>Eligible Guarantees as prescribed in CBUAE Standards re Capital Adequacy in</t>
  </si>
  <si>
    <t>CI</t>
  </si>
  <si>
    <t>Côte d'Ivoire</t>
  </si>
  <si>
    <t>DOP</t>
  </si>
  <si>
    <t>Dominican Peso</t>
  </si>
  <si>
    <t>the UAE</t>
  </si>
  <si>
    <t>CK</t>
  </si>
  <si>
    <t>Cook Islands</t>
  </si>
  <si>
    <t>DZD</t>
  </si>
  <si>
    <t>Algerian Dinar</t>
  </si>
  <si>
    <t>CL</t>
  </si>
  <si>
    <t>Chile</t>
  </si>
  <si>
    <t>EGP</t>
  </si>
  <si>
    <t>Egyptian Pound</t>
  </si>
  <si>
    <t>CM</t>
  </si>
  <si>
    <t>Cameroon</t>
  </si>
  <si>
    <t>ERN</t>
  </si>
  <si>
    <t>Nakfa</t>
  </si>
  <si>
    <t>CN</t>
  </si>
  <si>
    <t>China</t>
  </si>
  <si>
    <t>ETB</t>
  </si>
  <si>
    <t>Ethiopian Birr</t>
  </si>
  <si>
    <t>CO</t>
  </si>
  <si>
    <t>Colombia</t>
  </si>
  <si>
    <t>EUR</t>
  </si>
  <si>
    <t>Euro</t>
  </si>
  <si>
    <t>CR</t>
  </si>
  <si>
    <t>Costa Rica</t>
  </si>
  <si>
    <t>FJD</t>
  </si>
  <si>
    <t>Fiji Dollar</t>
  </si>
  <si>
    <t>CU</t>
  </si>
  <si>
    <t>Cuba</t>
  </si>
  <si>
    <t>FKP</t>
  </si>
  <si>
    <t>Falkland Islands Pound</t>
  </si>
  <si>
    <t>CV</t>
  </si>
  <si>
    <t>Cape Verde</t>
  </si>
  <si>
    <t>GBP</t>
  </si>
  <si>
    <t>Pound Sterling</t>
  </si>
  <si>
    <t>CW</t>
  </si>
  <si>
    <t>Curaçao</t>
  </si>
  <si>
    <t>GEL</t>
  </si>
  <si>
    <t>Lari</t>
  </si>
  <si>
    <t>CX</t>
  </si>
  <si>
    <t>Christmas Island</t>
  </si>
  <si>
    <t>GHS</t>
  </si>
  <si>
    <t>Ghana Cedi</t>
  </si>
  <si>
    <t>CY</t>
  </si>
  <si>
    <t>Cyprus</t>
  </si>
  <si>
    <t>GIP</t>
  </si>
  <si>
    <t>Gibraltar Pound</t>
  </si>
  <si>
    <t>CZ</t>
  </si>
  <si>
    <t>Czech Republic</t>
  </si>
  <si>
    <t>GMD</t>
  </si>
  <si>
    <t>Dalasi</t>
  </si>
  <si>
    <t>DE</t>
  </si>
  <si>
    <t>Germany</t>
  </si>
  <si>
    <t>GNF</t>
  </si>
  <si>
    <t>Guinean Franc</t>
  </si>
  <si>
    <t>DJ</t>
  </si>
  <si>
    <t>Djibouti</t>
  </si>
  <si>
    <t>GTQ</t>
  </si>
  <si>
    <t>Quetzal</t>
  </si>
  <si>
    <t>DK</t>
  </si>
  <si>
    <t>Denmark</t>
  </si>
  <si>
    <t>GYD</t>
  </si>
  <si>
    <t>Guyana Dollar</t>
  </si>
  <si>
    <t>DM</t>
  </si>
  <si>
    <t>Dominica</t>
  </si>
  <si>
    <t>HKD</t>
  </si>
  <si>
    <t>Hong Kong Dollar</t>
  </si>
  <si>
    <t>DO</t>
  </si>
  <si>
    <t>Dominican Republic</t>
  </si>
  <si>
    <t>HNL</t>
  </si>
  <si>
    <t>Lempira</t>
  </si>
  <si>
    <t>DZ</t>
  </si>
  <si>
    <t>Algeria</t>
  </si>
  <si>
    <t>HRK</t>
  </si>
  <si>
    <t>Kuna</t>
  </si>
  <si>
    <t>EC</t>
  </si>
  <si>
    <t>Ecuador</t>
  </si>
  <si>
    <t>HTG</t>
  </si>
  <si>
    <t>Gourde</t>
  </si>
  <si>
    <t>EE</t>
  </si>
  <si>
    <t>Estonia</t>
  </si>
  <si>
    <t>HUF</t>
  </si>
  <si>
    <t>Forint</t>
  </si>
  <si>
    <t>EG</t>
  </si>
  <si>
    <t>Egypt</t>
  </si>
  <si>
    <t>IDR</t>
  </si>
  <si>
    <t>Rupiah</t>
  </si>
  <si>
    <t>EH</t>
  </si>
  <si>
    <t>Western Sahara</t>
  </si>
  <si>
    <t>ILS</t>
  </si>
  <si>
    <t>New Israeli Sheqel</t>
  </si>
  <si>
    <t>ER</t>
  </si>
  <si>
    <t>Eritrea</t>
  </si>
  <si>
    <t>INR</t>
  </si>
  <si>
    <t>Indian Rupee</t>
  </si>
  <si>
    <t>ES</t>
  </si>
  <si>
    <t>Spain</t>
  </si>
  <si>
    <t>IQD</t>
  </si>
  <si>
    <t>Iraqi Dinar</t>
  </si>
  <si>
    <t>ET</t>
  </si>
  <si>
    <t>Ethiopia</t>
  </si>
  <si>
    <t>IRR</t>
  </si>
  <si>
    <t>Iranian Rial</t>
  </si>
  <si>
    <t>FI</t>
  </si>
  <si>
    <t>Finland</t>
  </si>
  <si>
    <t>ISK</t>
  </si>
  <si>
    <t>Iceland Krona</t>
  </si>
  <si>
    <t>FJ</t>
  </si>
  <si>
    <t>Fiji</t>
  </si>
  <si>
    <t>JMD</t>
  </si>
  <si>
    <t>Jamaican Dollar</t>
  </si>
  <si>
    <t>FK</t>
  </si>
  <si>
    <t>Falkland Islands (Malvinas)</t>
  </si>
  <si>
    <t>JOD</t>
  </si>
  <si>
    <t>Jordanian Dinar</t>
  </si>
  <si>
    <t>FM</t>
  </si>
  <si>
    <t>Micronesia, Federated States of</t>
  </si>
  <si>
    <t>JPY</t>
  </si>
  <si>
    <t>Yen</t>
  </si>
  <si>
    <t>FO</t>
  </si>
  <si>
    <t>Faroe Islands</t>
  </si>
  <si>
    <t>KES</t>
  </si>
  <si>
    <t>Kenyan Shilling</t>
  </si>
  <si>
    <t>FR</t>
  </si>
  <si>
    <t>France</t>
  </si>
  <si>
    <t>KGS</t>
  </si>
  <si>
    <t>Som</t>
  </si>
  <si>
    <t>GA</t>
  </si>
  <si>
    <t>Gabon</t>
  </si>
  <si>
    <t>KHR</t>
  </si>
  <si>
    <t>Riel</t>
  </si>
  <si>
    <t>GB</t>
  </si>
  <si>
    <t>United Kingdom</t>
  </si>
  <si>
    <t>KMF</t>
  </si>
  <si>
    <t>Comorian Franc</t>
  </si>
  <si>
    <t>GD</t>
  </si>
  <si>
    <t>Grenada</t>
  </si>
  <si>
    <t>KPW</t>
  </si>
  <si>
    <t>North Korean Won</t>
  </si>
  <si>
    <t>GE</t>
  </si>
  <si>
    <t>Georgia</t>
  </si>
  <si>
    <t>KRW</t>
  </si>
  <si>
    <t>Won</t>
  </si>
  <si>
    <t>GF</t>
  </si>
  <si>
    <t>French Guiana</t>
  </si>
  <si>
    <t>KWD</t>
  </si>
  <si>
    <t>Kuwaiti Dinar</t>
  </si>
  <si>
    <t>GG</t>
  </si>
  <si>
    <t>Guernsey</t>
  </si>
  <si>
    <t>KYD</t>
  </si>
  <si>
    <t>Cayman Islands Dollar</t>
  </si>
  <si>
    <t>GH</t>
  </si>
  <si>
    <t>Ghana</t>
  </si>
  <si>
    <t>KZT</t>
  </si>
  <si>
    <t>Tenge</t>
  </si>
  <si>
    <t>GI</t>
  </si>
  <si>
    <t>Gibraltar</t>
  </si>
  <si>
    <t>LAK</t>
  </si>
  <si>
    <t>Lao Kip</t>
  </si>
  <si>
    <t>GL</t>
  </si>
  <si>
    <t>Greenland</t>
  </si>
  <si>
    <t>LBP</t>
  </si>
  <si>
    <t>Lebanese Pound</t>
  </si>
  <si>
    <t>GM</t>
  </si>
  <si>
    <t>Gambia</t>
  </si>
  <si>
    <t>LKR</t>
  </si>
  <si>
    <t>Sri Lanka Rupee</t>
  </si>
  <si>
    <t>GN</t>
  </si>
  <si>
    <t>Guinea</t>
  </si>
  <si>
    <t>LRD</t>
  </si>
  <si>
    <t>Liberian Dollar</t>
  </si>
  <si>
    <t>GP</t>
  </si>
  <si>
    <t>Guadeloupe</t>
  </si>
  <si>
    <t>LSL</t>
  </si>
  <si>
    <t>Loti</t>
  </si>
  <si>
    <t>GQ</t>
  </si>
  <si>
    <t>Equatorial Guinea</t>
  </si>
  <si>
    <t>LYD</t>
  </si>
  <si>
    <t>Libyan Dinar</t>
  </si>
  <si>
    <t>GR</t>
  </si>
  <si>
    <t>Greece</t>
  </si>
  <si>
    <t>MAD</t>
  </si>
  <si>
    <t>Moroccan Dirham</t>
  </si>
  <si>
    <t>GS</t>
  </si>
  <si>
    <t>South Georgia and the South Sandwich Islands</t>
  </si>
  <si>
    <t>MDL</t>
  </si>
  <si>
    <t>Moldovan Leu</t>
  </si>
  <si>
    <t>Guatemala</t>
  </si>
  <si>
    <t>MGA</t>
  </si>
  <si>
    <t>Malagasy Ariary</t>
  </si>
  <si>
    <t>GU</t>
  </si>
  <si>
    <t>Guam</t>
  </si>
  <si>
    <t>MKD</t>
  </si>
  <si>
    <t>Denar</t>
  </si>
  <si>
    <t>GW</t>
  </si>
  <si>
    <t>Guinea-Bissau</t>
  </si>
  <si>
    <t>MMK</t>
  </si>
  <si>
    <t>Kyat</t>
  </si>
  <si>
    <t>GY</t>
  </si>
  <si>
    <t>Guyana</t>
  </si>
  <si>
    <t>MNT</t>
  </si>
  <si>
    <t>Tugrik</t>
  </si>
  <si>
    <t>HK</t>
  </si>
  <si>
    <t>Hong Kong</t>
  </si>
  <si>
    <t>MOP</t>
  </si>
  <si>
    <t>Pataca</t>
  </si>
  <si>
    <t>HM</t>
  </si>
  <si>
    <t>Heard Island and McDonald Islands</t>
  </si>
  <si>
    <t>MRU</t>
  </si>
  <si>
    <t>Ouguiya</t>
  </si>
  <si>
    <t>HN</t>
  </si>
  <si>
    <t>Honduras</t>
  </si>
  <si>
    <t>MUR</t>
  </si>
  <si>
    <t>Mauritius Rupee</t>
  </si>
  <si>
    <t>HR</t>
  </si>
  <si>
    <t>Croatia</t>
  </si>
  <si>
    <t>MVR</t>
  </si>
  <si>
    <t>Rufiyaa</t>
  </si>
  <si>
    <t>HT</t>
  </si>
  <si>
    <t>Haiti</t>
  </si>
  <si>
    <t>MWK</t>
  </si>
  <si>
    <t>Malawi Kwacha</t>
  </si>
  <si>
    <t>HU</t>
  </si>
  <si>
    <t>Hungary</t>
  </si>
  <si>
    <t>MYR</t>
  </si>
  <si>
    <t>Malaysian Ringgit</t>
  </si>
  <si>
    <t>ID</t>
  </si>
  <si>
    <t>Indonesia</t>
  </si>
  <si>
    <t>MXN</t>
  </si>
  <si>
    <t>Mexican Peso</t>
  </si>
  <si>
    <t>IE</t>
  </si>
  <si>
    <t>Ireland</t>
  </si>
  <si>
    <t>MXV</t>
  </si>
  <si>
    <t>Mexican Unidad de Inversion (UDI)</t>
  </si>
  <si>
    <t>IL</t>
  </si>
  <si>
    <t>Israel</t>
  </si>
  <si>
    <t>MZN</t>
  </si>
  <si>
    <t>Mozambique Metical</t>
  </si>
  <si>
    <t>IM</t>
  </si>
  <si>
    <t>Isle of Man</t>
  </si>
  <si>
    <t>NAD</t>
  </si>
  <si>
    <t>Namibia Dollar</t>
  </si>
  <si>
    <t>IN</t>
  </si>
  <si>
    <t>India</t>
  </si>
  <si>
    <t>NGN</t>
  </si>
  <si>
    <t>Naira</t>
  </si>
  <si>
    <t>IO</t>
  </si>
  <si>
    <t>British Indian Ocean Territory</t>
  </si>
  <si>
    <t>NIO</t>
  </si>
  <si>
    <t>Cordoba Oro</t>
  </si>
  <si>
    <t>IQ</t>
  </si>
  <si>
    <t>Iraq</t>
  </si>
  <si>
    <t>NOK</t>
  </si>
  <si>
    <t>Norwegian Krone</t>
  </si>
  <si>
    <t>IR</t>
  </si>
  <si>
    <t>Iran, Islamic Republic of</t>
  </si>
  <si>
    <t>NPR</t>
  </si>
  <si>
    <t>Nepalese Rupee</t>
  </si>
  <si>
    <t>IS</t>
  </si>
  <si>
    <t>Iceland</t>
  </si>
  <si>
    <t>NZD</t>
  </si>
  <si>
    <t>New Zealand Dollar</t>
  </si>
  <si>
    <t>IT</t>
  </si>
  <si>
    <t>Italy</t>
  </si>
  <si>
    <t>OMR</t>
  </si>
  <si>
    <t>Rial Omani</t>
  </si>
  <si>
    <t>JE</t>
  </si>
  <si>
    <t>Jersey</t>
  </si>
  <si>
    <t>PAB</t>
  </si>
  <si>
    <t>Balboa</t>
  </si>
  <si>
    <t>JM</t>
  </si>
  <si>
    <t>Jamaica</t>
  </si>
  <si>
    <t>PEN</t>
  </si>
  <si>
    <t>Sol</t>
  </si>
  <si>
    <t>JO</t>
  </si>
  <si>
    <t>Jordan</t>
  </si>
  <si>
    <t>PGK</t>
  </si>
  <si>
    <t>Kina</t>
  </si>
  <si>
    <t>JP</t>
  </si>
  <si>
    <t>Japan</t>
  </si>
  <si>
    <t>PHP</t>
  </si>
  <si>
    <t>Philippine Peso</t>
  </si>
  <si>
    <t>KE</t>
  </si>
  <si>
    <t>Kenya</t>
  </si>
  <si>
    <t>PKR</t>
  </si>
  <si>
    <t>Pakistan Rupee</t>
  </si>
  <si>
    <t>KG</t>
  </si>
  <si>
    <t>Kyrgyzstan</t>
  </si>
  <si>
    <t>PLN</t>
  </si>
  <si>
    <t>Zloty</t>
  </si>
  <si>
    <t>KH</t>
  </si>
  <si>
    <t>Cambodia</t>
  </si>
  <si>
    <t>PYG</t>
  </si>
  <si>
    <t>Guarani</t>
  </si>
  <si>
    <t>KI</t>
  </si>
  <si>
    <t>Kiribati</t>
  </si>
  <si>
    <t>QAR</t>
  </si>
  <si>
    <t>Qatari Rial</t>
  </si>
  <si>
    <t>KM</t>
  </si>
  <si>
    <t>Comoros</t>
  </si>
  <si>
    <t>RON</t>
  </si>
  <si>
    <t>Romanian Leu</t>
  </si>
  <si>
    <t>KN</t>
  </si>
  <si>
    <t>Saint Kitts and Nevis</t>
  </si>
  <si>
    <t>RSD</t>
  </si>
  <si>
    <t>Serbian Dinar</t>
  </si>
  <si>
    <t>KP</t>
  </si>
  <si>
    <t>Korea, Democratic People's Republic of</t>
  </si>
  <si>
    <t>RUB</t>
  </si>
  <si>
    <t>Russian Ruble</t>
  </si>
  <si>
    <t>KR</t>
  </si>
  <si>
    <t>Korea, Republic of</t>
  </si>
  <si>
    <t>RWF</t>
  </si>
  <si>
    <t>Rwanda Franc</t>
  </si>
  <si>
    <t>KW</t>
  </si>
  <si>
    <t>Kuwait</t>
  </si>
  <si>
    <t>SAR</t>
  </si>
  <si>
    <t>Saudi Riyal</t>
  </si>
  <si>
    <t>KY</t>
  </si>
  <si>
    <t>Cayman Islands</t>
  </si>
  <si>
    <t>SBD</t>
  </si>
  <si>
    <t>Solomon Islands Dollar</t>
  </si>
  <si>
    <t>KZ</t>
  </si>
  <si>
    <t>Kazakhstan</t>
  </si>
  <si>
    <t>SCR</t>
  </si>
  <si>
    <t>Seychelles Rupee</t>
  </si>
  <si>
    <t>LA</t>
  </si>
  <si>
    <t>Lao People's Democratic Republic</t>
  </si>
  <si>
    <t>SDG</t>
  </si>
  <si>
    <t>Sudanese Pound</t>
  </si>
  <si>
    <t>LB</t>
  </si>
  <si>
    <t>Lebanon</t>
  </si>
  <si>
    <t>SEK</t>
  </si>
  <si>
    <t>Swedish Krona</t>
  </si>
  <si>
    <t>LC</t>
  </si>
  <si>
    <t>Saint Lucia</t>
  </si>
  <si>
    <t>SGD</t>
  </si>
  <si>
    <t>Singapore Dollar</t>
  </si>
  <si>
    <t>LI</t>
  </si>
  <si>
    <t>Liechtenstein</t>
  </si>
  <si>
    <t>SHP</t>
  </si>
  <si>
    <t>Saint Helena Pound</t>
  </si>
  <si>
    <t>LK</t>
  </si>
  <si>
    <t>Sri Lanka</t>
  </si>
  <si>
    <t>SLL</t>
  </si>
  <si>
    <t>Leone</t>
  </si>
  <si>
    <t>Liberia</t>
  </si>
  <si>
    <t>SOS</t>
  </si>
  <si>
    <t>Somali Shilling</t>
  </si>
  <si>
    <t>LS</t>
  </si>
  <si>
    <t>Lesotho</t>
  </si>
  <si>
    <t>SRD</t>
  </si>
  <si>
    <t>Surinam Dollar</t>
  </si>
  <si>
    <t>LT</t>
  </si>
  <si>
    <t>Lithuania</t>
  </si>
  <si>
    <t>SSP</t>
  </si>
  <si>
    <t>South Sudanese Pound</t>
  </si>
  <si>
    <t>LU</t>
  </si>
  <si>
    <t>Luxembourg</t>
  </si>
  <si>
    <t>STN</t>
  </si>
  <si>
    <t>Dobra</t>
  </si>
  <si>
    <t>LV</t>
  </si>
  <si>
    <t>Latvia</t>
  </si>
  <si>
    <t>SVC</t>
  </si>
  <si>
    <t>El Salvador Colon</t>
  </si>
  <si>
    <t>LY</t>
  </si>
  <si>
    <t>Libya</t>
  </si>
  <si>
    <t>SYP</t>
  </si>
  <si>
    <t>Syrian Pound</t>
  </si>
  <si>
    <t>MA</t>
  </si>
  <si>
    <t>Morocco</t>
  </si>
  <si>
    <t>SZL</t>
  </si>
  <si>
    <t>Lilangeni</t>
  </si>
  <si>
    <t>MC</t>
  </si>
  <si>
    <t>Monaco</t>
  </si>
  <si>
    <t>THB</t>
  </si>
  <si>
    <t>Baht</t>
  </si>
  <si>
    <t>MD</t>
  </si>
  <si>
    <t>Moldova, Republic of</t>
  </si>
  <si>
    <t>TJS</t>
  </si>
  <si>
    <t>Somoni</t>
  </si>
  <si>
    <t>ME</t>
  </si>
  <si>
    <t>Montenegro</t>
  </si>
  <si>
    <t>TMT</t>
  </si>
  <si>
    <t>Turkmenistan New Manat</t>
  </si>
  <si>
    <t>MF</t>
  </si>
  <si>
    <t>Saint Martin (French part)</t>
  </si>
  <si>
    <t>TND</t>
  </si>
  <si>
    <t>Tunisian Dinar</t>
  </si>
  <si>
    <t>MG</t>
  </si>
  <si>
    <t>Madagascar</t>
  </si>
  <si>
    <t>TOP</t>
  </si>
  <si>
    <t>Pa’anga</t>
  </si>
  <si>
    <t>MH</t>
  </si>
  <si>
    <t>Marshall Islands</t>
  </si>
  <si>
    <t>TRY</t>
  </si>
  <si>
    <t>Turkish Lira</t>
  </si>
  <si>
    <t>MK</t>
  </si>
  <si>
    <t>Macedonia, the former Yugoslav Republic of</t>
  </si>
  <si>
    <t>TTD</t>
  </si>
  <si>
    <t>Trinidad and Tobago Dollar</t>
  </si>
  <si>
    <t>ML</t>
  </si>
  <si>
    <t>Mali</t>
  </si>
  <si>
    <t>TWD</t>
  </si>
  <si>
    <t>New Taiwan Dollar</t>
  </si>
  <si>
    <t>MM</t>
  </si>
  <si>
    <t>Myanmar</t>
  </si>
  <si>
    <t>TZS</t>
  </si>
  <si>
    <t>Tanzanian Shilling</t>
  </si>
  <si>
    <t>MN</t>
  </si>
  <si>
    <t>Mongolia</t>
  </si>
  <si>
    <t>UAH</t>
  </si>
  <si>
    <t>Hryvnia</t>
  </si>
  <si>
    <t>MO</t>
  </si>
  <si>
    <t>Macao</t>
  </si>
  <si>
    <t>UGX</t>
  </si>
  <si>
    <t>Uganda Shilling</t>
  </si>
  <si>
    <t>MP</t>
  </si>
  <si>
    <t>Northern Mariana Islands</t>
  </si>
  <si>
    <t>USD</t>
  </si>
  <si>
    <t>US Dollar</t>
  </si>
  <si>
    <t>MQ</t>
  </si>
  <si>
    <t>Martinique</t>
  </si>
  <si>
    <t>USN</t>
  </si>
  <si>
    <t>US Dollar (Next day)</t>
  </si>
  <si>
    <t>MR</t>
  </si>
  <si>
    <t>Mauritania</t>
  </si>
  <si>
    <t>UYI</t>
  </si>
  <si>
    <t>Uruguay Peso en Unidades Indexadas (UI)</t>
  </si>
  <si>
    <t>MS</t>
  </si>
  <si>
    <t>Montserrat</t>
  </si>
  <si>
    <t>UYU</t>
  </si>
  <si>
    <t>Peso Uruguayo</t>
  </si>
  <si>
    <t>MT</t>
  </si>
  <si>
    <t>Malta</t>
  </si>
  <si>
    <t>UYW</t>
  </si>
  <si>
    <t>Unidad Previsional</t>
  </si>
  <si>
    <t>MU</t>
  </si>
  <si>
    <t>Mauritius</t>
  </si>
  <si>
    <t>UZS</t>
  </si>
  <si>
    <t>Uzbekistan Sum</t>
  </si>
  <si>
    <t>MV</t>
  </si>
  <si>
    <t>Maldives</t>
  </si>
  <si>
    <t>VES</t>
  </si>
  <si>
    <t>Bolivar Soberano</t>
  </si>
  <si>
    <t>MW</t>
  </si>
  <si>
    <t>Malawi</t>
  </si>
  <si>
    <t>VND</t>
  </si>
  <si>
    <t>Dong</t>
  </si>
  <si>
    <t>MX</t>
  </si>
  <si>
    <t>Mexico</t>
  </si>
  <si>
    <t>VUV</t>
  </si>
  <si>
    <t>Vatu</t>
  </si>
  <si>
    <t>MY</t>
  </si>
  <si>
    <t>Malaysia</t>
  </si>
  <si>
    <t>WST</t>
  </si>
  <si>
    <t>Tala</t>
  </si>
  <si>
    <t>MZ</t>
  </si>
  <si>
    <t>Mozambique</t>
  </si>
  <si>
    <t>XAF</t>
  </si>
  <si>
    <t>CFA Franc BEAC</t>
  </si>
  <si>
    <t>NB</t>
  </si>
  <si>
    <t>Namibia</t>
  </si>
  <si>
    <t>XCD</t>
  </si>
  <si>
    <t>East Caribbean Dollar</t>
  </si>
  <si>
    <t>NC</t>
  </si>
  <si>
    <t>New Caledonia</t>
  </si>
  <si>
    <t>XDR</t>
  </si>
  <si>
    <t>SDR (Special Drawing Right)</t>
  </si>
  <si>
    <t>NE</t>
  </si>
  <si>
    <t>Niger</t>
  </si>
  <si>
    <t>XOF</t>
  </si>
  <si>
    <t>CFA Franc BCEAO</t>
  </si>
  <si>
    <t>NF</t>
  </si>
  <si>
    <t>Norfolk Island</t>
  </si>
  <si>
    <t>XPF</t>
  </si>
  <si>
    <t>CFP Franc</t>
  </si>
  <si>
    <t>NG</t>
  </si>
  <si>
    <t>Nigeria</t>
  </si>
  <si>
    <t>XSU</t>
  </si>
  <si>
    <t>Sucre</t>
  </si>
  <si>
    <t>NI</t>
  </si>
  <si>
    <t>Nicaragua</t>
  </si>
  <si>
    <t>XUA</t>
  </si>
  <si>
    <t>ADB Unit of Account</t>
  </si>
  <si>
    <t>NL</t>
  </si>
  <si>
    <t>Netherlands</t>
  </si>
  <si>
    <t>YER</t>
  </si>
  <si>
    <t>Yemeni Rial</t>
  </si>
  <si>
    <t>NO</t>
  </si>
  <si>
    <t>Norway</t>
  </si>
  <si>
    <t>ZAR</t>
  </si>
  <si>
    <t>Rand</t>
  </si>
  <si>
    <t>NP</t>
  </si>
  <si>
    <t>Nepal</t>
  </si>
  <si>
    <t>ZMW</t>
  </si>
  <si>
    <t>Zambian Kwacha</t>
  </si>
  <si>
    <t>Nauru</t>
  </si>
  <si>
    <t>ZWL</t>
  </si>
  <si>
    <t>Zimbabwe Dollar</t>
  </si>
  <si>
    <t>NU</t>
  </si>
  <si>
    <t>Niue</t>
  </si>
  <si>
    <t>XAU</t>
  </si>
  <si>
    <t>NZ</t>
  </si>
  <si>
    <t>New Zealand</t>
  </si>
  <si>
    <t>XAG</t>
  </si>
  <si>
    <t>Silver</t>
  </si>
  <si>
    <t>OM</t>
  </si>
  <si>
    <t>Oman</t>
  </si>
  <si>
    <t>XPD</t>
  </si>
  <si>
    <t>Palladium</t>
  </si>
  <si>
    <t>PA</t>
  </si>
  <si>
    <t>Panama</t>
  </si>
  <si>
    <t>XPT</t>
  </si>
  <si>
    <t>Platinum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</si>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</sst>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4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0"/>
      <color rgb="FF000000"/>
      <name val="Arial"/>
      <family val="2"/>
      <charset val="0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0" fillId="7" borderId="13" applyNumberFormat="0" applyFont="0" applyAlignment="0" applyProtection="0"/>
    <xf numFmtId="0" fontId="1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4" applyNumberFormat="0" applyFill="0" applyAlignment="0" applyProtection="0"/>
    <xf numFmtId="0" fontId="21" fillId="0" borderId="15" applyNumberFormat="0" applyFill="0" applyAlignment="0" applyProtection="0"/>
    <xf numFmtId="0" fontId="22" fillId="0" borderId="16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17" applyNumberFormat="0" applyAlignment="0" applyProtection="0"/>
    <xf numFmtId="0" fontId="24" fillId="9" borderId="18" applyNumberFormat="0" applyAlignment="0" applyProtection="0"/>
    <xf numFmtId="0" fontId="25" fillId="9" borderId="17" applyNumberFormat="0" applyAlignment="0" applyProtection="0"/>
    <xf numFmtId="0" fontId="26" fillId="10" borderId="19" applyNumberFormat="0" applyAlignment="0" applyProtection="0"/>
    <xf numFmtId="0" fontId="27" fillId="0" borderId="20" applyNumberFormat="0" applyFill="0" applyAlignment="0" applyProtection="0"/>
    <xf numFmtId="0" fontId="28" fillId="0" borderId="21" applyNumberFormat="0" applyFill="0" applyAlignment="0" applyProtection="0"/>
    <xf numFmtId="0" fontId="29" fillId="11" borderId="0" applyNumberFormat="0" applyBorder="0" applyAlignment="0" applyProtection="0"/>
    <xf numFmtId="0" fontId="30" fillId="12" borderId="0" applyNumberFormat="0" applyBorder="0" applyAlignment="0" applyProtection="0"/>
    <xf numFmtId="0" fontId="31" fillId="13" borderId="0" applyNumberFormat="0" applyBorder="0" applyAlignment="0" applyProtection="0"/>
    <xf numFmtId="0" fontId="6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6" fillId="37" borderId="0" applyNumberFormat="0" applyBorder="0" applyAlignment="0" applyProtection="0"/>
    <xf numFmtId="0" fontId="32" fillId="0" borderId="0"/>
    <xf numFmtId="0" fontId="32" fillId="0" borderId="0"/>
    <xf numFmtId="0" fontId="33" fillId="0" borderId="0">
      <alignment vertical="center"/>
    </xf>
    <xf numFmtId="0" fontId="5" fillId="0" borderId="0"/>
  </cellStyleXfs>
  <cellXfs count="9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wrapText="1"/>
    </xf>
    <xf numFmtId="0" fontId="4" fillId="0" borderId="0" xfId="0" applyFont="1"/>
    <xf numFmtId="0" fontId="1" fillId="0" borderId="0" xfId="0" applyFont="1" applyBorder="1"/>
    <xf numFmtId="0" fontId="2" fillId="3" borderId="4" xfId="0" applyFont="1" applyFill="1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4" borderId="3" xfId="52" applyFill="1" applyBorder="1"/>
    <xf numFmtId="0" fontId="6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7" fillId="0" borderId="0" xfId="0" applyFont="1" applyFill="1" applyBorder="1"/>
    <xf numFmtId="0" fontId="8" fillId="3" borderId="3" xfId="51" applyFont="1" applyFill="1" applyBorder="1" applyAlignment="1" applyProtection="1">
      <alignment horizontal="center" vertical="center" wrapText="1"/>
    </xf>
    <xf numFmtId="0" fontId="8" fillId="3" borderId="4" xfId="51" applyFont="1" applyFill="1" applyBorder="1" applyAlignment="1" applyProtection="1">
      <alignment horizontal="center" vertical="center" wrapText="1"/>
    </xf>
    <xf numFmtId="0" fontId="9" fillId="5" borderId="1" xfId="49" applyFont="1" applyFill="1" applyBorder="1" applyAlignment="1" applyProtection="1"/>
    <xf numFmtId="15" fontId="10" fillId="0" borderId="1" xfId="50" applyNumberFormat="1" applyFont="1" applyFill="1" applyBorder="1" applyAlignment="1" applyProtection="1">
      <alignment horizontal="center"/>
    </xf>
    <xf numFmtId="15" fontId="10" fillId="0" borderId="2" xfId="50" applyNumberFormat="1" applyFont="1" applyFill="1" applyBorder="1" applyAlignment="1" applyProtection="1">
      <alignment horizontal="center"/>
    </xf>
    <xf numFmtId="15" fontId="10" fillId="0" borderId="0" xfId="50" applyNumberFormat="1" applyFont="1" applyFill="1" applyBorder="1" applyAlignment="1" applyProtection="1">
      <alignment horizontal="center"/>
    </xf>
    <xf numFmtId="15" fontId="10" fillId="0" borderId="3" xfId="50" applyNumberFormat="1" applyFont="1" applyFill="1" applyBorder="1" applyAlignment="1" applyProtection="1">
      <alignment horizontal="center"/>
    </xf>
    <xf numFmtId="15" fontId="10" fillId="5" borderId="3" xfId="50" applyNumberFormat="1" applyFont="1" applyFill="1" applyBorder="1" applyAlignment="1" applyProtection="1">
      <alignment horizontal="left"/>
    </xf>
    <xf numFmtId="0" fontId="10" fillId="5" borderId="3" xfId="50" applyFont="1" applyFill="1" applyBorder="1" applyProtection="1"/>
    <xf numFmtId="15" fontId="10" fillId="0" borderId="10" xfId="50" applyNumberFormat="1" applyFont="1" applyFill="1" applyBorder="1" applyAlignment="1" applyProtection="1">
      <alignment horizontal="center"/>
    </xf>
    <xf numFmtId="15" fontId="10" fillId="0" borderId="4" xfId="50" applyNumberFormat="1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11" fillId="0" borderId="3" xfId="51" applyFont="1" applyBorder="1" applyProtection="1">
      <alignment vertical="center"/>
    </xf>
    <xf numFmtId="0" fontId="0" fillId="0" borderId="1" xfId="0" applyBorder="1" applyAlignment="1" applyProtection="1"/>
    <xf numFmtId="0" fontId="0" fillId="0" borderId="11" xfId="0" applyBorder="1" applyAlignment="1" applyProtection="1"/>
    <xf numFmtId="0" fontId="10" fillId="3" borderId="3" xfId="51" applyFont="1" applyFill="1" applyBorder="1" applyAlignment="1" applyProtection="1"/>
    <xf numFmtId="0" fontId="10" fillId="3" borderId="3" xfId="51" applyFont="1" applyFill="1" applyBorder="1" applyAlignment="1" applyProtection="1">
      <alignment horizontal="left" vertical="center"/>
    </xf>
    <xf numFmtId="3" fontId="10" fillId="6" borderId="1" xfId="1" applyNumberFormat="1" applyFont="1" applyFill="1" applyBorder="1" applyAlignment="1" applyProtection="1">
      <alignment vertical="top" wrapText="1"/>
      <protection locked="0"/>
    </xf>
    <xf numFmtId="0" fontId="12" fillId="3" borderId="1" xfId="51" applyFont="1" applyFill="1" applyBorder="1" applyProtection="1">
      <alignment vertical="center"/>
    </xf>
    <xf numFmtId="0" fontId="10" fillId="3" borderId="11" xfId="51" applyFont="1" applyFill="1" applyBorder="1" applyAlignment="1" applyProtection="1">
      <alignment vertical="top" wrapText="1"/>
    </xf>
    <xf numFmtId="0" fontId="10" fillId="3" borderId="3" xfId="51" applyFont="1" applyFill="1" applyBorder="1" applyAlignment="1" applyProtection="1">
      <alignment horizontal="center" vertical="center"/>
    </xf>
    <xf numFmtId="0" fontId="10" fillId="3" borderId="3" xfId="51" applyFont="1" applyFill="1" applyBorder="1" applyAlignment="1" applyProtection="1">
      <alignment horizontal="left" vertical="center" wrapText="1"/>
    </xf>
    <xf numFmtId="0" fontId="10" fillId="4" borderId="3" xfId="51" applyFont="1" applyFill="1" applyBorder="1" applyAlignment="1" applyProtection="1">
      <alignment horizontal="center" vertical="center" wrapText="1"/>
    </xf>
    <xf numFmtId="0" fontId="10" fillId="4" borderId="6" xfId="51" applyFont="1" applyFill="1" applyBorder="1" applyAlignment="1" applyProtection="1">
      <alignment horizontal="center" vertical="center" wrapText="1"/>
    </xf>
    <xf numFmtId="0" fontId="12" fillId="0" borderId="3" xfId="51" applyFont="1" applyFill="1" applyBorder="1" applyAlignment="1" applyProtection="1">
      <alignment horizontal="center" vertical="center"/>
    </xf>
    <xf numFmtId="0" fontId="12" fillId="0" borderId="3" xfId="51" applyFont="1" applyBorder="1" applyProtection="1">
      <alignment vertical="center"/>
      <protection locked="0"/>
    </xf>
    <xf numFmtId="0" fontId="12" fillId="6" borderId="3" xfId="51" applyFont="1" applyFill="1" applyBorder="1" applyProtection="1">
      <alignment vertical="center"/>
      <protection locked="0"/>
    </xf>
    <xf numFmtId="0" fontId="13" fillId="3" borderId="3" xfId="0" applyFont="1" applyFill="1" applyBorder="1" applyAlignment="1" applyProtection="1">
      <alignment horizontal="center" vertical="center"/>
    </xf>
    <xf numFmtId="0" fontId="14" fillId="3" borderId="4" xfId="0" applyFont="1" applyFill="1" applyBorder="1" applyAlignment="1" applyProtection="1">
      <alignment horizontal="left" vertical="center"/>
    </xf>
    <xf numFmtId="0" fontId="14" fillId="3" borderId="4" xfId="0" applyFont="1" applyFill="1" applyBorder="1" applyAlignment="1" applyProtection="1">
      <alignment horizontal="center" vertical="center"/>
    </xf>
    <xf numFmtId="0" fontId="12" fillId="6" borderId="7" xfId="51" applyFont="1" applyFill="1" applyBorder="1" applyAlignment="1" applyProtection="1">
      <alignment horizontal="center" vertical="center"/>
    </xf>
    <xf numFmtId="3" fontId="12" fillId="4" borderId="1" xfId="0" applyNumberFormat="1" applyFont="1" applyFill="1" applyBorder="1" applyAlignment="1" applyProtection="1">
      <alignment vertical="center"/>
    </xf>
    <xf numFmtId="3" fontId="12" fillId="4" borderId="11" xfId="0" applyNumberFormat="1" applyFont="1" applyFill="1" applyBorder="1" applyAlignment="1" applyProtection="1">
      <alignment vertical="center"/>
    </xf>
    <xf numFmtId="0" fontId="12" fillId="6" borderId="8" xfId="51" applyFont="1" applyFill="1" applyBorder="1" applyAlignment="1" applyProtection="1">
      <alignment horizontal="center" vertical="center"/>
    </xf>
    <xf numFmtId="3" fontId="12" fillId="4" borderId="1" xfId="0" applyNumberFormat="1" applyFont="1" applyFill="1" applyBorder="1" applyAlignment="1" applyProtection="1">
      <alignment horizontal="left" vertical="center"/>
    </xf>
    <xf numFmtId="3" fontId="12" fillId="4" borderId="11" xfId="0" applyNumberFormat="1" applyFont="1" applyFill="1" applyBorder="1" applyAlignment="1" applyProtection="1">
      <alignment horizontal="left" vertical="center"/>
    </xf>
    <xf numFmtId="3" fontId="12" fillId="6" borderId="1" xfId="0" applyNumberFormat="1" applyFont="1" applyFill="1" applyBorder="1" applyAlignment="1" applyProtection="1">
      <alignment vertical="center"/>
    </xf>
    <xf numFmtId="3" fontId="12" fillId="6" borderId="11" xfId="0" applyNumberFormat="1" applyFont="1" applyFill="1" applyBorder="1" applyAlignment="1" applyProtection="1">
      <alignment vertical="center"/>
    </xf>
    <xf numFmtId="0" fontId="12" fillId="6" borderId="9" xfId="51" applyFont="1" applyFill="1" applyBorder="1" applyAlignment="1" applyProtection="1">
      <alignment horizontal="center" vertical="center"/>
    </xf>
    <xf numFmtId="0" fontId="12" fillId="6" borderId="1" xfId="51" applyFont="1" applyFill="1" applyBorder="1" applyProtection="1">
      <alignment vertical="center"/>
    </xf>
    <xf numFmtId="0" fontId="12" fillId="6" borderId="11" xfId="51" applyFont="1" applyFill="1" applyBorder="1" applyProtection="1">
      <alignment vertical="center"/>
    </xf>
    <xf numFmtId="0" fontId="12" fillId="6" borderId="11" xfId="51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/>
    </xf>
    <xf numFmtId="0" fontId="11" fillId="0" borderId="0" xfId="51" applyFont="1">
      <alignment vertical="center"/>
    </xf>
    <xf numFmtId="0" fontId="10" fillId="3" borderId="6" xfId="51" applyFont="1" applyFill="1" applyBorder="1" applyAlignment="1" applyProtection="1">
      <alignment horizontal="center" vertical="center" wrapText="1"/>
    </xf>
    <xf numFmtId="3" fontId="12" fillId="0" borderId="3" xfId="1" applyNumberFormat="1" applyFont="1" applyBorder="1" applyAlignment="1" applyProtection="1">
      <alignment vertical="center"/>
      <protection locked="0"/>
    </xf>
    <xf numFmtId="3" fontId="12" fillId="3" borderId="3" xfId="1" applyNumberFormat="1" applyFont="1" applyFill="1" applyBorder="1" applyAlignment="1" applyProtection="1">
      <alignment vertical="center"/>
    </xf>
    <xf numFmtId="10" fontId="12" fillId="3" borderId="3" xfId="51" applyNumberFormat="1" applyFont="1" applyFill="1" applyBorder="1" applyProtection="1">
      <alignment vertical="center"/>
    </xf>
    <xf numFmtId="3" fontId="10" fillId="3" borderId="4" xfId="1" applyNumberFormat="1" applyFont="1" applyFill="1" applyBorder="1" applyAlignment="1" applyProtection="1">
      <alignment vertical="center"/>
    </xf>
    <xf numFmtId="10" fontId="10" fillId="3" borderId="4" xfId="51" applyNumberFormat="1" applyFont="1" applyFill="1" applyBorder="1" applyProtection="1">
      <alignment vertical="center"/>
    </xf>
    <xf numFmtId="15" fontId="10" fillId="0" borderId="12" xfId="50" applyNumberFormat="1" applyFont="1" applyFill="1" applyBorder="1" applyAlignment="1" applyProtection="1">
      <alignment horizontal="center"/>
    </xf>
    <xf numFmtId="0" fontId="12" fillId="0" borderId="11" xfId="51" applyFont="1" applyBorder="1" applyProtection="1">
      <alignment vertical="center"/>
    </xf>
    <xf numFmtId="0" fontId="12" fillId="0" borderId="2" xfId="51" applyFont="1" applyBorder="1" applyProtection="1">
      <alignment vertical="center"/>
    </xf>
    <xf numFmtId="0" fontId="12" fillId="3" borderId="2" xfId="51" applyFont="1" applyFill="1" applyBorder="1" applyProtection="1">
      <alignment vertical="center"/>
    </xf>
    <xf numFmtId="1" fontId="10" fillId="3" borderId="4" xfId="1" applyNumberFormat="1" applyFont="1" applyFill="1" applyBorder="1" applyAlignment="1" applyProtection="1">
      <alignment vertical="center"/>
    </xf>
    <xf numFmtId="3" fontId="10" fillId="3" borderId="3" xfId="1" applyNumberFormat="1" applyFont="1" applyFill="1" applyBorder="1" applyAlignment="1" applyProtection="1">
      <alignment vertical="center"/>
    </xf>
    <xf numFmtId="0" fontId="12" fillId="4" borderId="2" xfId="51" applyFont="1" applyFill="1" applyBorder="1" applyProtection="1">
      <alignment vertical="center"/>
    </xf>
    <xf numFmtId="0" fontId="12" fillId="0" borderId="2" xfId="51" applyFont="1" applyFill="1" applyBorder="1" applyProtection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 8" xfId="52"/>
  </cellStyles>
  <dxfs count="1">
    <dxf>
      <fill>
        <patternFill patternType="solid">
          <bgColor theme="9" tint="-0.499984740745262"/>
        </patternFill>
      </fill>
    </dxf>
  </dxfs>
  <tableStyles count="0" defaultTableStyle="TableStyleMedium2" defaultPivotStyle="PivotStyleLight16"/>
  <colors>
    <mruColors>
      <color rgb="00FF0000"/>
      <color rgb="00BFBFBF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1272540</xdr:colOff>
          <xdr:row>3</xdr:row>
          <xdr:rowOff>45720</xdr:rowOff>
        </xdr:from>
        <xdr:to>
          <xdr:col>10</xdr:col>
          <xdr:colOff>1171575</xdr:colOff>
          <xdr:row>4</xdr:row>
          <xdr:rowOff>121920</xdr:rowOff>
        </xdr:to>
        <xdr:sp macro="[0]!InsertRowb77">
          <xdr:nvSpPr>
            <xdr:cNvPr id="1032" name="Butto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0128250" y="598170"/>
              <a:ext cx="876935" cy="2603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217805</xdr:colOff>
          <xdr:row>3</xdr:row>
          <xdr:rowOff>60960</xdr:rowOff>
        </xdr:from>
        <xdr:to>
          <xdr:col>12</xdr:col>
          <xdr:colOff>85725</xdr:colOff>
          <xdr:row>4</xdr:row>
          <xdr:rowOff>144780</xdr:rowOff>
        </xdr:to>
        <xdr:sp macro="[0]!DeleteRow77">
          <xdr:nvSpPr>
            <xdr:cNvPr id="1033" name="Butto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1222990" y="613410"/>
              <a:ext cx="744855" cy="26797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V17"/>
  <sheetViews>
    <sheetView showGridLines="0" tabSelected="1" zoomScale="90" zoomScaleNormal="90" zoomScaleSheetLayoutView="60" workbookViewId="0">
      <selection activeCell="J10" sqref="J10"/>
    </sheetView>
  </sheetViews>
  <sheetFormatPr defaultColWidth="0" defaultRowHeight="14.5"/>
  <cols>
    <col min="1" max="1" width="8.89090909090909" style="33" customWidth="1"/>
    <col min="2" max="2" width="14.3363636363636" style="35" customWidth="1"/>
    <col min="3" max="3" width="33.8909090909091" style="35" customWidth="1"/>
    <col min="4" max="19" width="12.5545454545455" style="35" customWidth="1"/>
    <col min="20" max="20" width="13.6636363636364" style="35" customWidth="1"/>
    <col min="21" max="21" width="12.5545454545455" style="35" customWidth="1"/>
    <col min="22" max="22" width="12.6636363636364" style="35" customWidth="1"/>
    <col min="23" max="23" width="8.89090909090909" style="35" customWidth="1"/>
    <col min="24" max="16384" width="8.89090909090909" style="35" hidden="1"/>
  </cols>
  <sheetData>
    <row r="1" s="33" customFormat="1" spans="1:16">
      <c r="A1" s="36" t="s">
        <v>0</v>
      </c>
      <c r="O1" s="81" t="s">
        <v>1</v>
      </c>
      <c r="P1" s="81" t="s">
        <v>2</v>
      </c>
    </row>
    <row r="2" spans="1:22">
      <c r="A2" s="36" t="s">
        <v>0</v>
      </c>
      <c r="B2" s="37" t="s">
        <v>3</v>
      </c>
      <c r="C2" s="38"/>
      <c r="D2" s="38"/>
      <c r="E2" s="38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22">
      <c r="A3" s="36" t="s">
        <v>0</v>
      </c>
      <c r="B3" s="39" t="s">
        <v>4</v>
      </c>
      <c r="C3" s="40" t="s">
        <v>5</v>
      </c>
      <c r="D3" s="41"/>
      <c r="E3" s="42"/>
      <c r="F3" s="41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>
      <c r="A4" s="36" t="s">
        <v>0</v>
      </c>
      <c r="B4" s="44" t="s">
        <v>6</v>
      </c>
      <c r="C4" s="40" t="s">
        <v>7</v>
      </c>
      <c r="D4" s="41"/>
      <c r="E4" s="42"/>
      <c r="F4" s="41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>
      <c r="A5" s="36" t="s">
        <v>0</v>
      </c>
      <c r="B5" s="45" t="s">
        <v>8</v>
      </c>
      <c r="C5" s="40"/>
      <c r="D5" s="41"/>
      <c r="E5" s="42"/>
      <c r="F5" s="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A6" s="36" t="s">
        <v>0</v>
      </c>
      <c r="B6" s="48"/>
      <c r="C6" s="48"/>
      <c r="D6" s="49">
        <v>1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88"/>
    </row>
    <row r="7" spans="1:22">
      <c r="A7" s="36" t="s">
        <v>0</v>
      </c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89"/>
      <c r="V7" s="90"/>
    </row>
    <row r="8" spans="1:22">
      <c r="A8" s="36" t="s">
        <v>9</v>
      </c>
      <c r="B8" s="52"/>
      <c r="C8" s="53" t="s">
        <v>10</v>
      </c>
      <c r="D8" s="54">
        <v>0</v>
      </c>
      <c r="E8" s="55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91"/>
    </row>
    <row r="9" ht="52.5" spans="1:22">
      <c r="A9" s="36" t="s">
        <v>9</v>
      </c>
      <c r="B9" s="57" t="s">
        <v>11</v>
      </c>
      <c r="C9" s="58" t="s">
        <v>12</v>
      </c>
      <c r="D9" s="59" t="s">
        <v>13</v>
      </c>
      <c r="E9" s="60" t="s">
        <v>14</v>
      </c>
      <c r="F9" s="60" t="s">
        <v>15</v>
      </c>
      <c r="G9" s="60" t="s">
        <v>16</v>
      </c>
      <c r="H9" s="60" t="s">
        <v>17</v>
      </c>
      <c r="I9" s="60" t="s">
        <v>18</v>
      </c>
      <c r="J9" s="60" t="s">
        <v>19</v>
      </c>
      <c r="K9" s="82" t="s">
        <v>20</v>
      </c>
      <c r="L9" s="82" t="s">
        <v>21</v>
      </c>
      <c r="M9" s="82" t="s">
        <v>22</v>
      </c>
      <c r="N9" s="82" t="s">
        <v>23</v>
      </c>
      <c r="O9" s="60" t="s">
        <v>24</v>
      </c>
      <c r="P9" s="60" t="s">
        <v>25</v>
      </c>
      <c r="Q9" s="60" t="s">
        <v>26</v>
      </c>
      <c r="R9" s="60" t="s">
        <v>27</v>
      </c>
      <c r="S9" s="60" t="s">
        <v>28</v>
      </c>
      <c r="T9" s="60" t="s">
        <v>29</v>
      </c>
      <c r="U9" s="60" t="s">
        <v>30</v>
      </c>
      <c r="V9" s="59" t="s">
        <v>31</v>
      </c>
    </row>
    <row r="10" ht="18" customHeight="1" spans="1:22">
      <c r="A10" s="36" t="s">
        <v>32</v>
      </c>
      <c r="B10" s="61">
        <v>1</v>
      </c>
      <c r="C10" s="62" t="s">
        <v>33</v>
      </c>
      <c r="D10" s="62" t="s">
        <v>33</v>
      </c>
      <c r="E10" s="63" t="s">
        <v>33</v>
      </c>
      <c r="F10" s="63" t="s">
        <v>33</v>
      </c>
      <c r="G10" s="63" t="s">
        <v>33</v>
      </c>
      <c r="H10" s="63" t="s">
        <v>33</v>
      </c>
      <c r="I10" s="63" t="s">
        <v>33</v>
      </c>
      <c r="J10" s="83">
        <v>0</v>
      </c>
      <c r="K10" s="83">
        <v>0</v>
      </c>
      <c r="L10" s="83">
        <v>0</v>
      </c>
      <c r="M10" s="83">
        <v>0</v>
      </c>
      <c r="N10" s="83">
        <v>0</v>
      </c>
      <c r="O10" s="84">
        <f>J10+K10+M10+N10</f>
        <v>0</v>
      </c>
      <c r="P10" s="85">
        <f>IF(D8=0,0,O10/D8)</f>
        <v>0</v>
      </c>
      <c r="Q10" s="63" t="s">
        <v>33</v>
      </c>
      <c r="R10" s="83">
        <v>0</v>
      </c>
      <c r="S10" s="83">
        <v>0</v>
      </c>
      <c r="T10" s="63" t="s">
        <v>33</v>
      </c>
      <c r="U10" s="83">
        <v>0</v>
      </c>
      <c r="V10" s="83" t="s">
        <v>33</v>
      </c>
    </row>
    <row r="11" spans="1:22">
      <c r="A11" s="36" t="s">
        <v>34</v>
      </c>
      <c r="B11" s="64"/>
      <c r="C11" s="65" t="s">
        <v>35</v>
      </c>
      <c r="D11" s="65"/>
      <c r="E11" s="66"/>
      <c r="F11" s="66"/>
      <c r="G11" s="66"/>
      <c r="H11" s="66"/>
      <c r="I11" s="66"/>
      <c r="J11" s="86">
        <f>SUM(J10:J10)</f>
        <v>0</v>
      </c>
      <c r="K11" s="86">
        <f>SUM(K10:K10)</f>
        <v>0</v>
      </c>
      <c r="L11" s="86">
        <f>SUM(L10:L10)</f>
        <v>0</v>
      </c>
      <c r="M11" s="86">
        <f>SUM(M10:M10)</f>
        <v>0</v>
      </c>
      <c r="N11" s="86">
        <f>SUM(N10:N10)</f>
        <v>0</v>
      </c>
      <c r="O11" s="84">
        <f>J11+K11+M11+N11</f>
        <v>0</v>
      </c>
      <c r="P11" s="87">
        <f>IF(D8=0,0,O11/D8)</f>
        <v>0</v>
      </c>
      <c r="Q11" s="87"/>
      <c r="R11" s="86">
        <f>SUM(R10:R10)</f>
        <v>0</v>
      </c>
      <c r="S11" s="86">
        <f>SUM(S10:S10)</f>
        <v>0</v>
      </c>
      <c r="T11" s="92"/>
      <c r="U11" s="86">
        <f>SUM(U10:U10)</f>
        <v>0</v>
      </c>
      <c r="V11" s="93"/>
    </row>
    <row r="12" spans="1:22">
      <c r="A12" s="36" t="s">
        <v>0</v>
      </c>
      <c r="B12" s="67"/>
      <c r="C12" s="68" t="s">
        <v>36</v>
      </c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94"/>
    </row>
    <row r="13" spans="1:22">
      <c r="A13" s="36" t="s">
        <v>0</v>
      </c>
      <c r="B13" s="70"/>
      <c r="C13" s="71" t="s">
        <v>37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94"/>
    </row>
    <row r="14" spans="1:22">
      <c r="A14" s="36" t="s">
        <v>0</v>
      </c>
      <c r="B14" s="70"/>
      <c r="C14" s="73" t="s">
        <v>38</v>
      </c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95"/>
    </row>
    <row r="15" spans="1:22">
      <c r="A15" s="36" t="s">
        <v>0</v>
      </c>
      <c r="B15" s="75"/>
      <c r="C15" s="76" t="s">
        <v>39</v>
      </c>
      <c r="D15" s="77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90"/>
    </row>
    <row r="16" s="34" customFormat="1" spans="1:21">
      <c r="A16" s="79"/>
      <c r="C16" s="80"/>
      <c r="E16" s="80"/>
      <c r="G16" s="80"/>
      <c r="I16" s="80"/>
      <c r="K16" s="80"/>
      <c r="M16" s="80"/>
      <c r="O16" s="80"/>
      <c r="Q16" s="80"/>
      <c r="S16" s="80"/>
      <c r="U16" s="80"/>
    </row>
    <row r="17" s="34" customFormat="1" spans="1:1">
      <c r="A17" s="79"/>
    </row>
  </sheetData>
  <sheetProtection password="CC74" sheet="1" objects="1" scenarios="1"/>
  <mergeCells count="5">
    <mergeCell ref="B2:V2"/>
    <mergeCell ref="B6:C6"/>
    <mergeCell ref="E15:U15"/>
    <mergeCell ref="B12:B15"/>
    <mergeCell ref="F3:V5"/>
  </mergeCells>
  <conditionalFormatting sqref="A1:IV65536">
    <cfRule type="expression" priority="1" stopIfTrue="1">
      <formula>CELL("protect",A1)</formula>
    </cfRule>
    <cfRule type="expression" dxfId="0" priority="2" stopIfTrue="1">
      <formula>"l=ISFORMULA(INDIRECT(""rc"",FALSE))"</formula>
    </cfRule>
  </conditionalFormatting>
  <dataValidations count="8">
    <dataValidation type="whole" operator="greaterThanOrEqual" allowBlank="1" showInputMessage="1" showErrorMessage="1" error="Please input a valid data!" sqref="D8 F8:I8">
      <formula1>0</formula1>
    </dataValidation>
    <dataValidation type="textLength" operator="lessThan" allowBlank="1" showInputMessage="1" showErrorMessage="1" error="Data Length is too long!" sqref="C10:D10 Q10 T10">
      <formula1>500</formula1>
    </dataValidation>
    <dataValidation type="list" allowBlank="1" showInputMessage="1" showErrorMessage="1" error="Data Length is too long!" sqref="E10">
      <formula1>RESCODE</formula1>
    </dataValidation>
    <dataValidation type="list" allowBlank="1" showInputMessage="1" showErrorMessage="1" error="Data Length is too long!" sqref="F10">
      <formula1>COUNTRIES</formula1>
    </dataValidation>
    <dataValidation type="list" allowBlank="1" showInputMessage="1" showErrorMessage="1" error="Data Length is too long!" sqref="G10">
      <formula1>CREDITREP</formula1>
    </dataValidation>
    <dataValidation type="list" allowBlank="1" showInputMessage="1" showErrorMessage="1" error="Data Length is too long!" sqref="H10">
      <formula1>CREDITRATINGTYPECODE</formula1>
    </dataValidation>
    <dataValidation type="list" allowBlank="1" showInputMessage="1" showErrorMessage="1" error="Data Length is too long!" sqref="I10">
      <formula1>CURRENCYCODE</formula1>
    </dataValidation>
    <dataValidation type="whole" operator="greaterThanOrEqual" allowBlank="1" showInputMessage="1" showErrorMessage="1" sqref="J10:N10 R10:S10 U10">
      <formula1>0</formula1>
    </dataValidation>
  </dataValidations>
  <pageMargins left="0.7" right="0.7" top="0.75" bottom="0.75" header="0.3" footer="0.3"/>
  <pageSetup paperSize="9" scale="30" fitToHeight="0" orientation="portrait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name="Button 8" r:id="rId3">
              <controlPr print="0" defaultSize="0">
                <anchor moveWithCells="1" sizeWithCells="1">
                  <from>
                    <xdr:col>9</xdr:col>
                    <xdr:colOff>1272540</xdr:colOff>
                    <xdr:row>3</xdr:row>
                    <xdr:rowOff>45720</xdr:rowOff>
                  </from>
                  <to>
                    <xdr:col>10</xdr:col>
                    <xdr:colOff>1171575</xdr:colOff>
                    <xdr:row>4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Button 9" r:id="rId4">
              <controlPr print="0" defaultSize="0">
                <anchor moveWithCells="1" sizeWithCells="1">
                  <from>
                    <xdr:col>11</xdr:col>
                    <xdr:colOff>217805</xdr:colOff>
                    <xdr:row>3</xdr:row>
                    <xdr:rowOff>60960</xdr:rowOff>
                  </from>
                  <to>
                    <xdr:col>12</xdr:col>
                    <xdr:colOff>85725</xdr:colOff>
                    <xdr:row>4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261"/>
  <sheetViews>
    <sheetView zoomScaleSheetLayoutView="60" workbookViewId="0">
      <selection activeCell="I12" sqref="I12"/>
    </sheetView>
  </sheetViews>
  <sheetFormatPr defaultColWidth="4" defaultRowHeight="13"/>
  <cols>
    <col min="1" max="1" width="8.89090909090909" style="1" customWidth="1"/>
    <col min="2" max="2" width="17" style="1" customWidth="1"/>
    <col min="3" max="3" width="4.44545454545455" style="1" customWidth="1"/>
    <col min="4" max="4" width="7.55454545454545" style="1" customWidth="1"/>
    <col min="5" max="5" width="45.6636363636364" style="1"/>
    <col min="6" max="6" width="4" style="1" customWidth="1"/>
    <col min="7" max="7" width="8" style="1" customWidth="1"/>
    <col min="8" max="10" width="10.6636363636364" style="1" customWidth="1"/>
    <col min="11" max="11" width="4" style="1" customWidth="1"/>
    <col min="12" max="12" width="15.5545454545455" style="1" customWidth="1"/>
    <col min="13" max="13" width="23.8909090909091" style="1" customWidth="1"/>
    <col min="14" max="14" width="5.10909090909091" style="1" customWidth="1"/>
    <col min="15" max="15" width="8.89090909090909" style="1" customWidth="1"/>
    <col min="16" max="16" width="46.6636363636364" style="1" customWidth="1"/>
    <col min="17" max="18" width="8.89090909090909" style="1" customWidth="1"/>
    <col min="19" max="19" width="70.6636363636364" style="1" customWidth="1"/>
    <col min="20" max="253" width="8.89090909090909" style="1" customWidth="1"/>
    <col min="254" max="254" width="7.55454545454545" style="1" customWidth="1"/>
    <col min="255" max="255" width="45.6636363636364" style="1"/>
    <col min="256" max="16384" width="4" style="1"/>
  </cols>
  <sheetData>
    <row r="1" spans="1:19">
      <c r="A1" s="2" t="s">
        <v>40</v>
      </c>
      <c r="B1" s="3"/>
      <c r="D1" s="4" t="s">
        <v>15</v>
      </c>
      <c r="E1" s="5"/>
      <c r="G1" s="6" t="s">
        <v>16</v>
      </c>
      <c r="H1" s="6"/>
      <c r="I1" s="6"/>
      <c r="J1" s="6"/>
      <c r="L1" s="10" t="s">
        <v>17</v>
      </c>
      <c r="M1" s="10"/>
      <c r="O1" s="6" t="s">
        <v>18</v>
      </c>
      <c r="P1" s="6"/>
      <c r="R1" s="6" t="s">
        <v>41</v>
      </c>
      <c r="S1" s="6"/>
    </row>
    <row r="2" spans="1:19">
      <c r="A2" s="7" t="s">
        <v>42</v>
      </c>
      <c r="B2" s="7" t="s">
        <v>43</v>
      </c>
      <c r="D2" s="7" t="s">
        <v>42</v>
      </c>
      <c r="E2" s="7" t="s">
        <v>44</v>
      </c>
      <c r="G2" s="7" t="s">
        <v>42</v>
      </c>
      <c r="H2" s="7" t="s">
        <v>45</v>
      </c>
      <c r="I2" s="7" t="s">
        <v>46</v>
      </c>
      <c r="J2" s="7" t="s">
        <v>47</v>
      </c>
      <c r="L2" s="7" t="s">
        <v>42</v>
      </c>
      <c r="M2" s="7" t="s">
        <v>43</v>
      </c>
      <c r="O2" s="11" t="s">
        <v>42</v>
      </c>
      <c r="P2" s="11" t="s">
        <v>18</v>
      </c>
      <c r="R2" s="11" t="s">
        <v>42</v>
      </c>
      <c r="S2" s="17" t="s">
        <v>43</v>
      </c>
    </row>
    <row r="3" spans="1:19">
      <c r="A3" s="8" t="s">
        <v>48</v>
      </c>
      <c r="B3" s="8" t="s">
        <v>49</v>
      </c>
      <c r="D3" s="8" t="s">
        <v>50</v>
      </c>
      <c r="E3" s="8" t="s">
        <v>51</v>
      </c>
      <c r="G3" s="9">
        <v>1</v>
      </c>
      <c r="H3" s="8" t="s">
        <v>52</v>
      </c>
      <c r="I3" s="8" t="s">
        <v>53</v>
      </c>
      <c r="J3" s="8" t="s">
        <v>52</v>
      </c>
      <c r="L3" s="8" t="s">
        <v>45</v>
      </c>
      <c r="M3" s="8" t="s">
        <v>54</v>
      </c>
      <c r="O3" s="12" t="s">
        <v>55</v>
      </c>
      <c r="P3" s="12" t="s">
        <v>56</v>
      </c>
      <c r="R3" s="18" t="s">
        <v>57</v>
      </c>
      <c r="S3" s="19" t="s">
        <v>58</v>
      </c>
    </row>
    <row r="4" spans="1:19">
      <c r="A4" s="8" t="s">
        <v>59</v>
      </c>
      <c r="B4" s="8" t="s">
        <v>60</v>
      </c>
      <c r="D4" s="8" t="s">
        <v>61</v>
      </c>
      <c r="E4" s="8" t="s">
        <v>62</v>
      </c>
      <c r="G4" s="9">
        <v>2</v>
      </c>
      <c r="H4" s="8" t="s">
        <v>63</v>
      </c>
      <c r="I4" s="8" t="s">
        <v>64</v>
      </c>
      <c r="J4" s="8" t="s">
        <v>63</v>
      </c>
      <c r="L4" s="8" t="s">
        <v>65</v>
      </c>
      <c r="M4" s="8" t="s">
        <v>66</v>
      </c>
      <c r="O4" s="12" t="s">
        <v>67</v>
      </c>
      <c r="P4" s="12" t="s">
        <v>68</v>
      </c>
      <c r="R4" s="20"/>
      <c r="S4" s="21" t="s">
        <v>69</v>
      </c>
    </row>
    <row r="5" spans="4:19">
      <c r="D5" s="8" t="s">
        <v>70</v>
      </c>
      <c r="E5" s="8" t="s">
        <v>71</v>
      </c>
      <c r="G5" s="9">
        <v>3</v>
      </c>
      <c r="H5" s="8" t="s">
        <v>72</v>
      </c>
      <c r="I5" s="8" t="s">
        <v>73</v>
      </c>
      <c r="J5" s="8" t="s">
        <v>72</v>
      </c>
      <c r="L5" s="12" t="s">
        <v>47</v>
      </c>
      <c r="M5" s="8" t="s">
        <v>74</v>
      </c>
      <c r="O5" s="12" t="s">
        <v>75</v>
      </c>
      <c r="P5" s="12" t="s">
        <v>76</v>
      </c>
      <c r="R5" s="20"/>
      <c r="S5" s="21" t="s">
        <v>77</v>
      </c>
    </row>
    <row r="6" spans="4:19">
      <c r="D6" s="8" t="s">
        <v>78</v>
      </c>
      <c r="E6" s="8" t="s">
        <v>79</v>
      </c>
      <c r="G6" s="9">
        <v>4</v>
      </c>
      <c r="H6" s="8" t="s">
        <v>80</v>
      </c>
      <c r="I6" s="8" t="s">
        <v>81</v>
      </c>
      <c r="J6" s="8" t="s">
        <v>80</v>
      </c>
      <c r="L6" s="13" t="s">
        <v>82</v>
      </c>
      <c r="M6" s="14" t="s">
        <v>83</v>
      </c>
      <c r="O6" s="12" t="s">
        <v>84</v>
      </c>
      <c r="P6" s="12" t="s">
        <v>85</v>
      </c>
      <c r="R6" s="20"/>
      <c r="S6" s="21" t="s">
        <v>86</v>
      </c>
    </row>
    <row r="7" spans="4:19">
      <c r="D7" s="8" t="s">
        <v>87</v>
      </c>
      <c r="E7" s="8" t="s">
        <v>88</v>
      </c>
      <c r="G7" s="9">
        <v>5</v>
      </c>
      <c r="H7" s="8" t="s">
        <v>89</v>
      </c>
      <c r="I7" s="8" t="s">
        <v>90</v>
      </c>
      <c r="J7" s="8" t="s">
        <v>89</v>
      </c>
      <c r="O7" s="12" t="s">
        <v>91</v>
      </c>
      <c r="P7" s="12" t="s">
        <v>92</v>
      </c>
      <c r="R7" s="20"/>
      <c r="S7" s="21" t="s">
        <v>93</v>
      </c>
    </row>
    <row r="8" spans="4:19">
      <c r="D8" s="8" t="s">
        <v>94</v>
      </c>
      <c r="E8" s="8" t="s">
        <v>95</v>
      </c>
      <c r="G8" s="9">
        <v>6</v>
      </c>
      <c r="H8" s="8" t="s">
        <v>57</v>
      </c>
      <c r="I8" s="8" t="s">
        <v>96</v>
      </c>
      <c r="J8" s="8" t="s">
        <v>57</v>
      </c>
      <c r="O8" s="12" t="s">
        <v>97</v>
      </c>
      <c r="P8" s="12" t="s">
        <v>98</v>
      </c>
      <c r="R8" s="20"/>
      <c r="S8" s="21" t="s">
        <v>99</v>
      </c>
    </row>
    <row r="9" spans="4:19">
      <c r="D9" s="8" t="s">
        <v>100</v>
      </c>
      <c r="E9" s="8" t="s">
        <v>101</v>
      </c>
      <c r="G9" s="9">
        <v>7</v>
      </c>
      <c r="H9" s="8" t="s">
        <v>102</v>
      </c>
      <c r="I9" s="8" t="s">
        <v>103</v>
      </c>
      <c r="J9" s="8" t="s">
        <v>102</v>
      </c>
      <c r="O9" s="12" t="s">
        <v>104</v>
      </c>
      <c r="P9" s="12" t="s">
        <v>105</v>
      </c>
      <c r="R9" s="20"/>
      <c r="S9" s="21" t="s">
        <v>106</v>
      </c>
    </row>
    <row r="10" spans="4:19">
      <c r="D10" s="8" t="s">
        <v>107</v>
      </c>
      <c r="E10" s="8" t="s">
        <v>108</v>
      </c>
      <c r="G10" s="9">
        <v>8</v>
      </c>
      <c r="H10" s="8" t="s">
        <v>109</v>
      </c>
      <c r="I10" s="8" t="s">
        <v>110</v>
      </c>
      <c r="J10" s="8" t="s">
        <v>109</v>
      </c>
      <c r="O10" s="12" t="s">
        <v>111</v>
      </c>
      <c r="P10" s="12" t="s">
        <v>112</v>
      </c>
      <c r="R10" s="20"/>
      <c r="S10" s="21" t="s">
        <v>113</v>
      </c>
    </row>
    <row r="11" spans="4:19">
      <c r="D11" s="8" t="s">
        <v>114</v>
      </c>
      <c r="E11" s="8" t="s">
        <v>115</v>
      </c>
      <c r="G11" s="9">
        <v>9</v>
      </c>
      <c r="H11" s="8" t="s">
        <v>116</v>
      </c>
      <c r="I11" s="8" t="s">
        <v>117</v>
      </c>
      <c r="J11" s="8" t="s">
        <v>116</v>
      </c>
      <c r="O11" s="12" t="s">
        <v>118</v>
      </c>
      <c r="P11" s="12" t="s">
        <v>119</v>
      </c>
      <c r="R11" s="20"/>
      <c r="S11" s="21" t="s">
        <v>120</v>
      </c>
    </row>
    <row r="12" spans="4:19">
      <c r="D12" s="8" t="s">
        <v>121</v>
      </c>
      <c r="E12" s="8" t="s">
        <v>122</v>
      </c>
      <c r="G12" s="9">
        <v>10</v>
      </c>
      <c r="H12" s="8" t="s">
        <v>123</v>
      </c>
      <c r="I12" s="15" t="s">
        <v>124</v>
      </c>
      <c r="J12" s="8" t="s">
        <v>123</v>
      </c>
      <c r="L12" s="16"/>
      <c r="M12" s="16"/>
      <c r="O12" s="12" t="s">
        <v>125</v>
      </c>
      <c r="P12" s="12" t="s">
        <v>126</v>
      </c>
      <c r="R12" s="20"/>
      <c r="S12" s="21" t="s">
        <v>127</v>
      </c>
    </row>
    <row r="13" spans="4:19">
      <c r="D13" s="8" t="s">
        <v>128</v>
      </c>
      <c r="E13" s="8" t="s">
        <v>129</v>
      </c>
      <c r="G13" s="9">
        <v>11</v>
      </c>
      <c r="H13" s="8" t="s">
        <v>130</v>
      </c>
      <c r="I13" s="8" t="s">
        <v>131</v>
      </c>
      <c r="J13" s="8" t="s">
        <v>130</v>
      </c>
      <c r="O13" s="12" t="s">
        <v>132</v>
      </c>
      <c r="P13" s="12" t="s">
        <v>133</v>
      </c>
      <c r="R13" s="20"/>
      <c r="S13" s="21" t="s">
        <v>134</v>
      </c>
    </row>
    <row r="14" spans="4:19">
      <c r="D14" s="8" t="s">
        <v>135</v>
      </c>
      <c r="E14" s="8" t="s">
        <v>136</v>
      </c>
      <c r="G14" s="9">
        <v>12</v>
      </c>
      <c r="H14" s="8" t="s">
        <v>137</v>
      </c>
      <c r="I14" s="8" t="s">
        <v>138</v>
      </c>
      <c r="J14" s="8" t="s">
        <v>137</v>
      </c>
      <c r="O14" s="12" t="s">
        <v>139</v>
      </c>
      <c r="P14" s="12" t="s">
        <v>140</v>
      </c>
      <c r="R14" s="20"/>
      <c r="S14" s="21" t="s">
        <v>141</v>
      </c>
    </row>
    <row r="15" spans="4:19">
      <c r="D15" s="8" t="s">
        <v>142</v>
      </c>
      <c r="E15" s="8" t="s">
        <v>143</v>
      </c>
      <c r="G15" s="9">
        <v>13</v>
      </c>
      <c r="H15" s="8" t="s">
        <v>144</v>
      </c>
      <c r="I15" s="8" t="s">
        <v>145</v>
      </c>
      <c r="J15" s="8" t="s">
        <v>144</v>
      </c>
      <c r="O15" s="12" t="s">
        <v>146</v>
      </c>
      <c r="P15" s="12" t="s">
        <v>147</v>
      </c>
      <c r="R15" s="22"/>
      <c r="S15" s="23" t="s">
        <v>148</v>
      </c>
    </row>
    <row r="16" spans="4:19">
      <c r="D16" s="8" t="s">
        <v>149</v>
      </c>
      <c r="E16" s="8" t="s">
        <v>150</v>
      </c>
      <c r="G16" s="9">
        <v>14</v>
      </c>
      <c r="H16" s="8" t="s">
        <v>151</v>
      </c>
      <c r="I16" s="8" t="s">
        <v>32</v>
      </c>
      <c r="J16" s="8" t="s">
        <v>151</v>
      </c>
      <c r="O16" s="12" t="s">
        <v>152</v>
      </c>
      <c r="P16" s="12" t="s">
        <v>153</v>
      </c>
      <c r="R16" s="24" t="s">
        <v>154</v>
      </c>
      <c r="S16" s="25" t="s">
        <v>155</v>
      </c>
    </row>
    <row r="17" spans="4:19">
      <c r="D17" s="8" t="s">
        <v>156</v>
      </c>
      <c r="E17" s="8" t="s">
        <v>157</v>
      </c>
      <c r="G17" s="9">
        <v>15</v>
      </c>
      <c r="H17" s="8" t="s">
        <v>154</v>
      </c>
      <c r="I17" s="8" t="s">
        <v>158</v>
      </c>
      <c r="J17" s="8" t="s">
        <v>154</v>
      </c>
      <c r="O17" s="12" t="s">
        <v>159</v>
      </c>
      <c r="P17" s="12" t="s">
        <v>160</v>
      </c>
      <c r="R17" s="26" t="s">
        <v>161</v>
      </c>
      <c r="S17" s="19" t="s">
        <v>162</v>
      </c>
    </row>
    <row r="18" spans="4:19">
      <c r="D18" s="8" t="s">
        <v>163</v>
      </c>
      <c r="E18" s="8" t="s">
        <v>164</v>
      </c>
      <c r="G18" s="9">
        <v>16</v>
      </c>
      <c r="H18" s="8" t="s">
        <v>165</v>
      </c>
      <c r="I18" s="8" t="s">
        <v>166</v>
      </c>
      <c r="J18" s="8" t="s">
        <v>165</v>
      </c>
      <c r="O18" s="12" t="s">
        <v>167</v>
      </c>
      <c r="P18" s="12" t="s">
        <v>168</v>
      </c>
      <c r="R18" s="27"/>
      <c r="S18" s="21" t="s">
        <v>169</v>
      </c>
    </row>
    <row r="19" spans="4:19">
      <c r="D19" s="8" t="s">
        <v>170</v>
      </c>
      <c r="E19" s="8" t="s">
        <v>171</v>
      </c>
      <c r="G19" s="9">
        <v>17</v>
      </c>
      <c r="H19" s="8" t="s">
        <v>172</v>
      </c>
      <c r="I19" s="8" t="s">
        <v>173</v>
      </c>
      <c r="J19" s="8" t="s">
        <v>172</v>
      </c>
      <c r="O19" s="12" t="s">
        <v>174</v>
      </c>
      <c r="P19" s="12" t="s">
        <v>175</v>
      </c>
      <c r="R19" s="27"/>
      <c r="S19" s="21" t="s">
        <v>176</v>
      </c>
    </row>
    <row r="20" spans="4:19">
      <c r="D20" s="8" t="s">
        <v>137</v>
      </c>
      <c r="E20" s="8" t="s">
        <v>177</v>
      </c>
      <c r="G20" s="9">
        <v>18</v>
      </c>
      <c r="H20" s="8" t="s">
        <v>178</v>
      </c>
      <c r="I20" s="8" t="s">
        <v>179</v>
      </c>
      <c r="J20" s="8" t="s">
        <v>178</v>
      </c>
      <c r="O20" s="12" t="s">
        <v>180</v>
      </c>
      <c r="P20" s="12" t="s">
        <v>181</v>
      </c>
      <c r="R20" s="27"/>
      <c r="S20" s="21" t="s">
        <v>182</v>
      </c>
    </row>
    <row r="21" spans="4:19">
      <c r="D21" s="8" t="s">
        <v>183</v>
      </c>
      <c r="E21" s="8" t="s">
        <v>184</v>
      </c>
      <c r="G21" s="9">
        <v>19</v>
      </c>
      <c r="H21" s="8" t="s">
        <v>185</v>
      </c>
      <c r="I21" s="8" t="s">
        <v>186</v>
      </c>
      <c r="J21" s="8" t="s">
        <v>185</v>
      </c>
      <c r="O21" s="12" t="s">
        <v>187</v>
      </c>
      <c r="P21" s="12" t="s">
        <v>188</v>
      </c>
      <c r="R21" s="27"/>
      <c r="S21" s="21" t="s">
        <v>189</v>
      </c>
    </row>
    <row r="22" spans="4:19">
      <c r="D22" s="8" t="s">
        <v>190</v>
      </c>
      <c r="E22" s="8" t="s">
        <v>191</v>
      </c>
      <c r="G22" s="9">
        <v>20</v>
      </c>
      <c r="H22" s="8" t="s">
        <v>192</v>
      </c>
      <c r="I22" s="8" t="s">
        <v>193</v>
      </c>
      <c r="J22" s="8" t="s">
        <v>192</v>
      </c>
      <c r="O22" s="12" t="s">
        <v>194</v>
      </c>
      <c r="P22" s="12" t="s">
        <v>195</v>
      </c>
      <c r="R22" s="27"/>
      <c r="S22" s="21" t="s">
        <v>196</v>
      </c>
    </row>
    <row r="23" spans="4:19">
      <c r="D23" s="8" t="s">
        <v>197</v>
      </c>
      <c r="E23" s="8" t="s">
        <v>198</v>
      </c>
      <c r="G23" s="9">
        <v>21</v>
      </c>
      <c r="H23" s="8" t="s">
        <v>161</v>
      </c>
      <c r="I23" s="8" t="s">
        <v>161</v>
      </c>
      <c r="J23" s="8" t="s">
        <v>161</v>
      </c>
      <c r="O23" s="12" t="s">
        <v>199</v>
      </c>
      <c r="P23" s="12" t="s">
        <v>200</v>
      </c>
      <c r="R23" s="28"/>
      <c r="S23" s="21" t="s">
        <v>201</v>
      </c>
    </row>
    <row r="24" spans="4:19">
      <c r="D24" s="8" t="s">
        <v>202</v>
      </c>
      <c r="E24" s="8" t="s">
        <v>203</v>
      </c>
      <c r="G24" s="9">
        <v>22</v>
      </c>
      <c r="H24" s="8" t="s">
        <v>204</v>
      </c>
      <c r="I24" s="8" t="s">
        <v>205</v>
      </c>
      <c r="J24" s="8" t="s">
        <v>204</v>
      </c>
      <c r="O24" s="12" t="s">
        <v>206</v>
      </c>
      <c r="P24" s="12" t="s">
        <v>207</v>
      </c>
      <c r="R24" s="29" t="s">
        <v>204</v>
      </c>
      <c r="S24" s="19" t="s">
        <v>208</v>
      </c>
    </row>
    <row r="25" spans="4:19">
      <c r="D25" s="8" t="s">
        <v>209</v>
      </c>
      <c r="E25" s="8" t="s">
        <v>210</v>
      </c>
      <c r="O25" s="12" t="s">
        <v>211</v>
      </c>
      <c r="P25" s="12" t="s">
        <v>212</v>
      </c>
      <c r="R25" s="30"/>
      <c r="S25" s="21" t="s">
        <v>213</v>
      </c>
    </row>
    <row r="26" spans="4:19">
      <c r="D26" s="8" t="s">
        <v>214</v>
      </c>
      <c r="E26" s="8" t="s">
        <v>215</v>
      </c>
      <c r="O26" s="12" t="s">
        <v>216</v>
      </c>
      <c r="P26" s="12" t="s">
        <v>217</v>
      </c>
      <c r="R26" s="30"/>
      <c r="S26" s="21" t="s">
        <v>218</v>
      </c>
    </row>
    <row r="27" spans="4:19">
      <c r="D27" s="8" t="s">
        <v>219</v>
      </c>
      <c r="E27" s="8" t="s">
        <v>220</v>
      </c>
      <c r="O27" s="12" t="s">
        <v>221</v>
      </c>
      <c r="P27" s="12" t="s">
        <v>222</v>
      </c>
      <c r="R27" s="30"/>
      <c r="S27" s="21" t="s">
        <v>223</v>
      </c>
    </row>
    <row r="28" spans="4:19">
      <c r="D28" s="8" t="s">
        <v>224</v>
      </c>
      <c r="E28" s="8" t="s">
        <v>225</v>
      </c>
      <c r="O28" s="12" t="s">
        <v>226</v>
      </c>
      <c r="P28" s="12" t="s">
        <v>227</v>
      </c>
      <c r="R28" s="30"/>
      <c r="S28" s="21" t="s">
        <v>228</v>
      </c>
    </row>
    <row r="29" spans="4:19">
      <c r="D29" s="8" t="s">
        <v>229</v>
      </c>
      <c r="E29" s="8" t="s">
        <v>230</v>
      </c>
      <c r="O29" s="12" t="s">
        <v>231</v>
      </c>
      <c r="P29" s="12" t="s">
        <v>232</v>
      </c>
      <c r="R29" s="30"/>
      <c r="S29" s="21" t="s">
        <v>233</v>
      </c>
    </row>
    <row r="30" spans="4:19">
      <c r="D30" s="8" t="s">
        <v>234</v>
      </c>
      <c r="E30" s="8" t="s">
        <v>235</v>
      </c>
      <c r="O30" s="12" t="s">
        <v>236</v>
      </c>
      <c r="P30" s="12" t="s">
        <v>237</v>
      </c>
      <c r="R30" s="30"/>
      <c r="S30" s="21" t="s">
        <v>238</v>
      </c>
    </row>
    <row r="31" spans="4:19">
      <c r="D31" s="8" t="s">
        <v>239</v>
      </c>
      <c r="E31" s="8" t="s">
        <v>240</v>
      </c>
      <c r="O31" s="12" t="s">
        <v>241</v>
      </c>
      <c r="P31" s="12" t="s">
        <v>242</v>
      </c>
      <c r="R31" s="30"/>
      <c r="S31" s="21" t="s">
        <v>243</v>
      </c>
    </row>
    <row r="32" spans="4:19">
      <c r="D32" s="8" t="s">
        <v>244</v>
      </c>
      <c r="E32" s="8" t="s">
        <v>245</v>
      </c>
      <c r="O32" s="12" t="s">
        <v>246</v>
      </c>
      <c r="P32" s="12" t="s">
        <v>247</v>
      </c>
      <c r="R32" s="30"/>
      <c r="S32" s="21" t="s">
        <v>248</v>
      </c>
    </row>
    <row r="33" spans="4:19">
      <c r="D33" s="8" t="s">
        <v>9</v>
      </c>
      <c r="E33" s="8" t="s">
        <v>249</v>
      </c>
      <c r="O33" s="12" t="s">
        <v>250</v>
      </c>
      <c r="P33" s="12" t="s">
        <v>251</v>
      </c>
      <c r="R33" s="30"/>
      <c r="S33" s="21" t="s">
        <v>252</v>
      </c>
    </row>
    <row r="34" spans="4:19">
      <c r="D34" s="8" t="s">
        <v>253</v>
      </c>
      <c r="E34" s="8" t="s">
        <v>254</v>
      </c>
      <c r="O34" s="12" t="s">
        <v>255</v>
      </c>
      <c r="P34" s="12" t="s">
        <v>256</v>
      </c>
      <c r="R34" s="30"/>
      <c r="S34" s="21" t="s">
        <v>257</v>
      </c>
    </row>
    <row r="35" spans="4:19">
      <c r="D35" s="8" t="s">
        <v>258</v>
      </c>
      <c r="E35" s="8" t="s">
        <v>259</v>
      </c>
      <c r="O35" s="12" t="s">
        <v>260</v>
      </c>
      <c r="P35" s="12" t="s">
        <v>261</v>
      </c>
      <c r="R35" s="30"/>
      <c r="S35" s="21" t="s">
        <v>262</v>
      </c>
    </row>
    <row r="36" spans="4:19">
      <c r="D36" s="8" t="s">
        <v>263</v>
      </c>
      <c r="E36" s="8" t="s">
        <v>264</v>
      </c>
      <c r="O36" s="12" t="s">
        <v>265</v>
      </c>
      <c r="P36" s="12" t="s">
        <v>266</v>
      </c>
      <c r="R36" s="31"/>
      <c r="S36" s="23" t="s">
        <v>267</v>
      </c>
    </row>
    <row r="37" spans="4:19">
      <c r="D37" s="8" t="s">
        <v>268</v>
      </c>
      <c r="E37" s="8" t="s">
        <v>269</v>
      </c>
      <c r="O37" s="12" t="s">
        <v>270</v>
      </c>
      <c r="P37" s="12" t="s">
        <v>271</v>
      </c>
      <c r="R37" s="26" t="s">
        <v>272</v>
      </c>
      <c r="S37" s="19" t="s">
        <v>273</v>
      </c>
    </row>
    <row r="38" spans="4:19">
      <c r="D38" s="8" t="s">
        <v>274</v>
      </c>
      <c r="E38" s="8" t="s">
        <v>275</v>
      </c>
      <c r="O38" s="12" t="s">
        <v>276</v>
      </c>
      <c r="P38" s="12" t="s">
        <v>277</v>
      </c>
      <c r="R38" s="28"/>
      <c r="S38" s="23" t="s">
        <v>278</v>
      </c>
    </row>
    <row r="39" spans="4:19">
      <c r="D39" s="8" t="s">
        <v>279</v>
      </c>
      <c r="E39" s="8" t="s">
        <v>280</v>
      </c>
      <c r="O39" s="12" t="s">
        <v>281</v>
      </c>
      <c r="P39" s="12" t="s">
        <v>282</v>
      </c>
      <c r="R39" s="26" t="s">
        <v>283</v>
      </c>
      <c r="S39" s="19" t="s">
        <v>284</v>
      </c>
    </row>
    <row r="40" spans="4:19">
      <c r="D40" s="8" t="s">
        <v>285</v>
      </c>
      <c r="E40" s="8" t="s">
        <v>286</v>
      </c>
      <c r="O40" s="12" t="s">
        <v>287</v>
      </c>
      <c r="P40" s="12" t="s">
        <v>288</v>
      </c>
      <c r="R40" s="28"/>
      <c r="S40" s="23" t="s">
        <v>278</v>
      </c>
    </row>
    <row r="41" spans="4:19">
      <c r="D41" s="8" t="s">
        <v>192</v>
      </c>
      <c r="E41" s="8" t="s">
        <v>289</v>
      </c>
      <c r="O41" s="12" t="s">
        <v>290</v>
      </c>
      <c r="P41" s="12" t="s">
        <v>291</v>
      </c>
      <c r="R41" s="26" t="s">
        <v>292</v>
      </c>
      <c r="S41" s="19" t="s">
        <v>293</v>
      </c>
    </row>
    <row r="42" spans="4:19">
      <c r="D42" s="8" t="s">
        <v>294</v>
      </c>
      <c r="E42" s="8" t="s">
        <v>295</v>
      </c>
      <c r="O42" s="12" t="s">
        <v>296</v>
      </c>
      <c r="P42" s="12" t="s">
        <v>297</v>
      </c>
      <c r="R42" s="28"/>
      <c r="S42" s="23" t="s">
        <v>298</v>
      </c>
    </row>
    <row r="43" spans="4:19">
      <c r="D43" s="8" t="s">
        <v>299</v>
      </c>
      <c r="E43" s="8" t="s">
        <v>300</v>
      </c>
      <c r="O43" s="12" t="s">
        <v>301</v>
      </c>
      <c r="P43" s="12" t="s">
        <v>302</v>
      </c>
      <c r="R43" s="26" t="s">
        <v>303</v>
      </c>
      <c r="S43" s="19" t="s">
        <v>304</v>
      </c>
    </row>
    <row r="44" spans="4:19">
      <c r="D44" s="8" t="s">
        <v>305</v>
      </c>
      <c r="E44" s="8" t="s">
        <v>306</v>
      </c>
      <c r="O44" s="12" t="s">
        <v>307</v>
      </c>
      <c r="P44" s="12" t="s">
        <v>308</v>
      </c>
      <c r="R44" s="28"/>
      <c r="S44" s="23" t="s">
        <v>298</v>
      </c>
    </row>
    <row r="45" spans="4:19">
      <c r="D45" s="8" t="s">
        <v>309</v>
      </c>
      <c r="E45" s="8" t="s">
        <v>310</v>
      </c>
      <c r="O45" s="12" t="s">
        <v>311</v>
      </c>
      <c r="P45" s="12" t="s">
        <v>312</v>
      </c>
      <c r="R45" s="26" t="s">
        <v>313</v>
      </c>
      <c r="S45" s="19" t="s">
        <v>314</v>
      </c>
    </row>
    <row r="46" spans="4:19">
      <c r="D46" s="8" t="s">
        <v>315</v>
      </c>
      <c r="E46" s="8" t="s">
        <v>316</v>
      </c>
      <c r="O46" s="12" t="s">
        <v>317</v>
      </c>
      <c r="P46" s="12" t="s">
        <v>318</v>
      </c>
      <c r="R46" s="28"/>
      <c r="S46" s="23" t="s">
        <v>319</v>
      </c>
    </row>
    <row r="47" spans="4:16">
      <c r="D47" s="8" t="s">
        <v>320</v>
      </c>
      <c r="E47" s="8" t="s">
        <v>321</v>
      </c>
      <c r="O47" s="12" t="s">
        <v>322</v>
      </c>
      <c r="P47" s="12" t="s">
        <v>323</v>
      </c>
    </row>
    <row r="48" spans="4:16">
      <c r="D48" s="8" t="s">
        <v>324</v>
      </c>
      <c r="E48" s="8" t="s">
        <v>325</v>
      </c>
      <c r="O48" s="12" t="s">
        <v>326</v>
      </c>
      <c r="P48" s="12" t="s">
        <v>327</v>
      </c>
    </row>
    <row r="49" spans="4:16">
      <c r="D49" s="8" t="s">
        <v>328</v>
      </c>
      <c r="E49" s="8" t="s">
        <v>329</v>
      </c>
      <c r="O49" s="12" t="s">
        <v>330</v>
      </c>
      <c r="P49" s="12" t="s">
        <v>331</v>
      </c>
    </row>
    <row r="50" spans="4:16">
      <c r="D50" s="8" t="s">
        <v>332</v>
      </c>
      <c r="E50" s="8" t="s">
        <v>333</v>
      </c>
      <c r="O50" s="12" t="s">
        <v>334</v>
      </c>
      <c r="P50" s="12" t="s">
        <v>335</v>
      </c>
    </row>
    <row r="51" spans="4:16">
      <c r="D51" s="8" t="s">
        <v>336</v>
      </c>
      <c r="E51" s="8" t="s">
        <v>337</v>
      </c>
      <c r="O51" s="12" t="s">
        <v>338</v>
      </c>
      <c r="P51" s="12" t="s">
        <v>339</v>
      </c>
    </row>
    <row r="52" spans="4:16">
      <c r="D52" s="8" t="s">
        <v>340</v>
      </c>
      <c r="E52" s="8" t="s">
        <v>341</v>
      </c>
      <c r="O52" s="12" t="s">
        <v>342</v>
      </c>
      <c r="P52" s="12" t="s">
        <v>343</v>
      </c>
    </row>
    <row r="53" spans="4:16">
      <c r="D53" s="8" t="s">
        <v>344</v>
      </c>
      <c r="E53" s="8" t="s">
        <v>345</v>
      </c>
      <c r="O53" s="12" t="s">
        <v>346</v>
      </c>
      <c r="P53" s="12" t="s">
        <v>347</v>
      </c>
    </row>
    <row r="54" spans="4:16">
      <c r="D54" s="8" t="s">
        <v>348</v>
      </c>
      <c r="E54" s="8" t="s">
        <v>349</v>
      </c>
      <c r="O54" s="12" t="s">
        <v>350</v>
      </c>
      <c r="P54" s="12" t="s">
        <v>351</v>
      </c>
    </row>
    <row r="55" spans="4:16">
      <c r="D55" s="8" t="s">
        <v>352</v>
      </c>
      <c r="E55" s="8" t="s">
        <v>353</v>
      </c>
      <c r="O55" s="12" t="s">
        <v>354</v>
      </c>
      <c r="P55" s="12" t="s">
        <v>355</v>
      </c>
    </row>
    <row r="56" spans="4:16">
      <c r="D56" s="8" t="s">
        <v>356</v>
      </c>
      <c r="E56" s="8" t="s">
        <v>357</v>
      </c>
      <c r="O56" s="12" t="s">
        <v>358</v>
      </c>
      <c r="P56" s="12" t="s">
        <v>359</v>
      </c>
    </row>
    <row r="57" spans="4:16">
      <c r="D57" s="8" t="s">
        <v>360</v>
      </c>
      <c r="E57" s="8" t="s">
        <v>361</v>
      </c>
      <c r="O57" s="12" t="s">
        <v>362</v>
      </c>
      <c r="P57" s="12" t="s">
        <v>363</v>
      </c>
    </row>
    <row r="58" spans="4:16">
      <c r="D58" s="8" t="s">
        <v>364</v>
      </c>
      <c r="E58" s="8" t="s">
        <v>365</v>
      </c>
      <c r="O58" s="12" t="s">
        <v>366</v>
      </c>
      <c r="P58" s="12" t="s">
        <v>367</v>
      </c>
    </row>
    <row r="59" spans="4:16">
      <c r="D59" s="8" t="s">
        <v>368</v>
      </c>
      <c r="E59" s="8" t="s">
        <v>369</v>
      </c>
      <c r="O59" s="12" t="s">
        <v>370</v>
      </c>
      <c r="P59" s="12" t="s">
        <v>371</v>
      </c>
    </row>
    <row r="60" spans="4:16">
      <c r="D60" s="8" t="s">
        <v>372</v>
      </c>
      <c r="E60" s="8" t="s">
        <v>373</v>
      </c>
      <c r="O60" s="12" t="s">
        <v>374</v>
      </c>
      <c r="P60" s="12" t="s">
        <v>375</v>
      </c>
    </row>
    <row r="61" spans="4:16">
      <c r="D61" s="8" t="s">
        <v>376</v>
      </c>
      <c r="E61" s="8" t="s">
        <v>377</v>
      </c>
      <c r="O61" s="12" t="s">
        <v>378</v>
      </c>
      <c r="P61" s="12" t="s">
        <v>379</v>
      </c>
    </row>
    <row r="62" spans="4:16">
      <c r="D62" s="8" t="s">
        <v>380</v>
      </c>
      <c r="E62" s="8" t="s">
        <v>381</v>
      </c>
      <c r="O62" s="12" t="s">
        <v>382</v>
      </c>
      <c r="P62" s="12" t="s">
        <v>383</v>
      </c>
    </row>
    <row r="63" spans="4:16">
      <c r="D63" s="8" t="s">
        <v>384</v>
      </c>
      <c r="E63" s="8" t="s">
        <v>385</v>
      </c>
      <c r="O63" s="12" t="s">
        <v>386</v>
      </c>
      <c r="P63" s="12" t="s">
        <v>387</v>
      </c>
    </row>
    <row r="64" spans="4:16">
      <c r="D64" s="8" t="s">
        <v>388</v>
      </c>
      <c r="E64" s="8" t="s">
        <v>389</v>
      </c>
      <c r="O64" s="12" t="s">
        <v>390</v>
      </c>
      <c r="P64" s="12" t="s">
        <v>391</v>
      </c>
    </row>
    <row r="65" spans="4:16">
      <c r="D65" s="8" t="s">
        <v>392</v>
      </c>
      <c r="E65" s="8" t="s">
        <v>393</v>
      </c>
      <c r="O65" s="12" t="s">
        <v>394</v>
      </c>
      <c r="P65" s="12" t="s">
        <v>395</v>
      </c>
    </row>
    <row r="66" spans="4:16">
      <c r="D66" s="8" t="s">
        <v>396</v>
      </c>
      <c r="E66" s="8" t="s">
        <v>397</v>
      </c>
      <c r="O66" s="12" t="s">
        <v>398</v>
      </c>
      <c r="P66" s="12" t="s">
        <v>399</v>
      </c>
    </row>
    <row r="67" spans="4:16">
      <c r="D67" s="8" t="s">
        <v>400</v>
      </c>
      <c r="E67" s="8" t="s">
        <v>401</v>
      </c>
      <c r="O67" s="12" t="s">
        <v>402</v>
      </c>
      <c r="P67" s="12" t="s">
        <v>403</v>
      </c>
    </row>
    <row r="68" spans="4:16">
      <c r="D68" s="8" t="s">
        <v>404</v>
      </c>
      <c r="E68" s="8" t="s">
        <v>405</v>
      </c>
      <c r="O68" s="12" t="s">
        <v>406</v>
      </c>
      <c r="P68" s="12" t="s">
        <v>407</v>
      </c>
    </row>
    <row r="69" spans="4:16">
      <c r="D69" s="8" t="s">
        <v>408</v>
      </c>
      <c r="E69" s="8" t="s">
        <v>409</v>
      </c>
      <c r="O69" s="12" t="s">
        <v>410</v>
      </c>
      <c r="P69" s="12" t="s">
        <v>411</v>
      </c>
    </row>
    <row r="70" spans="4:16">
      <c r="D70" s="8" t="s">
        <v>412</v>
      </c>
      <c r="E70" s="8" t="s">
        <v>413</v>
      </c>
      <c r="O70" s="12" t="s">
        <v>414</v>
      </c>
      <c r="P70" s="12" t="s">
        <v>415</v>
      </c>
    </row>
    <row r="71" spans="4:16">
      <c r="D71" s="8" t="s">
        <v>416</v>
      </c>
      <c r="E71" s="8" t="s">
        <v>417</v>
      </c>
      <c r="O71" s="12" t="s">
        <v>418</v>
      </c>
      <c r="P71" s="12" t="s">
        <v>419</v>
      </c>
    </row>
    <row r="72" spans="4:16">
      <c r="D72" s="8" t="s">
        <v>420</v>
      </c>
      <c r="E72" s="8" t="s">
        <v>421</v>
      </c>
      <c r="O72" s="12" t="s">
        <v>422</v>
      </c>
      <c r="P72" s="12" t="s">
        <v>423</v>
      </c>
    </row>
    <row r="73" spans="4:16">
      <c r="D73" s="8" t="s">
        <v>424</v>
      </c>
      <c r="E73" s="8" t="s">
        <v>425</v>
      </c>
      <c r="O73" s="12" t="s">
        <v>426</v>
      </c>
      <c r="P73" s="12" t="s">
        <v>427</v>
      </c>
    </row>
    <row r="74" spans="4:16">
      <c r="D74" s="8" t="s">
        <v>428</v>
      </c>
      <c r="E74" s="8" t="s">
        <v>429</v>
      </c>
      <c r="O74" s="12" t="s">
        <v>430</v>
      </c>
      <c r="P74" s="12" t="s">
        <v>431</v>
      </c>
    </row>
    <row r="75" spans="4:16">
      <c r="D75" s="8" t="s">
        <v>432</v>
      </c>
      <c r="E75" s="8" t="s">
        <v>433</v>
      </c>
      <c r="O75" s="12" t="s">
        <v>434</v>
      </c>
      <c r="P75" s="12" t="s">
        <v>435</v>
      </c>
    </row>
    <row r="76" spans="4:16">
      <c r="D76" s="8" t="s">
        <v>436</v>
      </c>
      <c r="E76" s="8" t="s">
        <v>437</v>
      </c>
      <c r="O76" s="12" t="s">
        <v>438</v>
      </c>
      <c r="P76" s="12" t="s">
        <v>439</v>
      </c>
    </row>
    <row r="77" spans="4:16">
      <c r="D77" s="8" t="s">
        <v>440</v>
      </c>
      <c r="E77" s="8" t="s">
        <v>441</v>
      </c>
      <c r="O77" s="12" t="s">
        <v>442</v>
      </c>
      <c r="P77" s="12" t="s">
        <v>443</v>
      </c>
    </row>
    <row r="78" spans="4:16">
      <c r="D78" s="8" t="s">
        <v>444</v>
      </c>
      <c r="E78" s="8" t="s">
        <v>445</v>
      </c>
      <c r="O78" s="12" t="s">
        <v>446</v>
      </c>
      <c r="P78" s="12" t="s">
        <v>447</v>
      </c>
    </row>
    <row r="79" spans="4:16">
      <c r="D79" s="8" t="s">
        <v>448</v>
      </c>
      <c r="E79" s="8" t="s">
        <v>449</v>
      </c>
      <c r="O79" s="12" t="s">
        <v>450</v>
      </c>
      <c r="P79" s="12" t="s">
        <v>451</v>
      </c>
    </row>
    <row r="80" spans="4:16">
      <c r="D80" s="8" t="s">
        <v>452</v>
      </c>
      <c r="E80" s="8" t="s">
        <v>453</v>
      </c>
      <c r="O80" s="12" t="s">
        <v>454</v>
      </c>
      <c r="P80" s="12" t="s">
        <v>455</v>
      </c>
    </row>
    <row r="81" spans="4:16">
      <c r="D81" s="8" t="s">
        <v>456</v>
      </c>
      <c r="E81" s="8" t="s">
        <v>457</v>
      </c>
      <c r="O81" s="12" t="s">
        <v>458</v>
      </c>
      <c r="P81" s="12" t="s">
        <v>459</v>
      </c>
    </row>
    <row r="82" spans="4:16">
      <c r="D82" s="8" t="s">
        <v>460</v>
      </c>
      <c r="E82" s="8" t="s">
        <v>461</v>
      </c>
      <c r="O82" s="12" t="s">
        <v>462</v>
      </c>
      <c r="P82" s="12" t="s">
        <v>463</v>
      </c>
    </row>
    <row r="83" spans="4:16">
      <c r="D83" s="8" t="s">
        <v>464</v>
      </c>
      <c r="E83" s="8" t="s">
        <v>465</v>
      </c>
      <c r="O83" s="12" t="s">
        <v>466</v>
      </c>
      <c r="P83" s="12" t="s">
        <v>467</v>
      </c>
    </row>
    <row r="84" spans="4:16">
      <c r="D84" s="8" t="s">
        <v>468</v>
      </c>
      <c r="E84" s="8" t="s">
        <v>469</v>
      </c>
      <c r="O84" s="12" t="s">
        <v>470</v>
      </c>
      <c r="P84" s="12" t="s">
        <v>471</v>
      </c>
    </row>
    <row r="85" spans="4:16">
      <c r="D85" s="8" t="s">
        <v>472</v>
      </c>
      <c r="E85" s="8" t="s">
        <v>473</v>
      </c>
      <c r="O85" s="12" t="s">
        <v>474</v>
      </c>
      <c r="P85" s="12" t="s">
        <v>475</v>
      </c>
    </row>
    <row r="86" spans="4:16">
      <c r="D86" s="8" t="s">
        <v>476</v>
      </c>
      <c r="E86" s="8" t="s">
        <v>477</v>
      </c>
      <c r="O86" s="12" t="s">
        <v>478</v>
      </c>
      <c r="P86" s="12" t="s">
        <v>479</v>
      </c>
    </row>
    <row r="87" spans="4:16">
      <c r="D87" s="8" t="s">
        <v>480</v>
      </c>
      <c r="E87" s="8" t="s">
        <v>481</v>
      </c>
      <c r="O87" s="12" t="s">
        <v>482</v>
      </c>
      <c r="P87" s="12" t="s">
        <v>483</v>
      </c>
    </row>
    <row r="88" spans="4:16">
      <c r="D88" s="8" t="s">
        <v>484</v>
      </c>
      <c r="E88" s="8" t="s">
        <v>485</v>
      </c>
      <c r="O88" s="12" t="s">
        <v>486</v>
      </c>
      <c r="P88" s="12" t="s">
        <v>487</v>
      </c>
    </row>
    <row r="89" spans="4:16">
      <c r="D89" s="8" t="s">
        <v>488</v>
      </c>
      <c r="E89" s="8" t="s">
        <v>489</v>
      </c>
      <c r="O89" s="12" t="s">
        <v>490</v>
      </c>
      <c r="P89" s="12" t="s">
        <v>491</v>
      </c>
    </row>
    <row r="90" ht="14.25" customHeight="1" spans="4:16">
      <c r="D90" s="8" t="s">
        <v>492</v>
      </c>
      <c r="E90" s="8" t="s">
        <v>493</v>
      </c>
      <c r="O90" s="12" t="s">
        <v>494</v>
      </c>
      <c r="P90" s="12" t="s">
        <v>495</v>
      </c>
    </row>
    <row r="91" spans="4:16">
      <c r="D91" s="8" t="s">
        <v>496</v>
      </c>
      <c r="E91" s="8" t="s">
        <v>497</v>
      </c>
      <c r="O91" s="12" t="s">
        <v>498</v>
      </c>
      <c r="P91" s="12" t="s">
        <v>499</v>
      </c>
    </row>
    <row r="92" spans="4:16">
      <c r="D92" s="8" t="s">
        <v>500</v>
      </c>
      <c r="E92" s="8" t="s">
        <v>501</v>
      </c>
      <c r="O92" s="12" t="s">
        <v>502</v>
      </c>
      <c r="P92" s="12" t="s">
        <v>503</v>
      </c>
    </row>
    <row r="93" spans="4:16">
      <c r="D93" s="8" t="s">
        <v>34</v>
      </c>
      <c r="E93" s="8" t="s">
        <v>504</v>
      </c>
      <c r="O93" s="12" t="s">
        <v>505</v>
      </c>
      <c r="P93" s="12" t="s">
        <v>506</v>
      </c>
    </row>
    <row r="94" spans="4:16">
      <c r="D94" s="8" t="s">
        <v>507</v>
      </c>
      <c r="E94" s="8" t="s">
        <v>508</v>
      </c>
      <c r="O94" s="12" t="s">
        <v>509</v>
      </c>
      <c r="P94" s="12" t="s">
        <v>510</v>
      </c>
    </row>
    <row r="95" spans="4:16">
      <c r="D95" s="8" t="s">
        <v>511</v>
      </c>
      <c r="E95" s="8" t="s">
        <v>512</v>
      </c>
      <c r="O95" s="12" t="s">
        <v>513</v>
      </c>
      <c r="P95" s="12" t="s">
        <v>514</v>
      </c>
    </row>
    <row r="96" spans="4:16">
      <c r="D96" s="8" t="s">
        <v>515</v>
      </c>
      <c r="E96" s="8" t="s">
        <v>516</v>
      </c>
      <c r="O96" s="12" t="s">
        <v>517</v>
      </c>
      <c r="P96" s="12" t="s">
        <v>518</v>
      </c>
    </row>
    <row r="97" spans="4:16">
      <c r="D97" s="8" t="s">
        <v>519</v>
      </c>
      <c r="E97" s="8" t="s">
        <v>520</v>
      </c>
      <c r="O97" s="12" t="s">
        <v>521</v>
      </c>
      <c r="P97" s="12" t="s">
        <v>522</v>
      </c>
    </row>
    <row r="98" ht="16.5" customHeight="1" spans="4:16">
      <c r="D98" s="8" t="s">
        <v>523</v>
      </c>
      <c r="E98" s="8" t="s">
        <v>524</v>
      </c>
      <c r="O98" s="12" t="s">
        <v>525</v>
      </c>
      <c r="P98" s="12" t="s">
        <v>526</v>
      </c>
    </row>
    <row r="99" spans="4:16">
      <c r="D99" s="8" t="s">
        <v>527</v>
      </c>
      <c r="E99" s="8" t="s">
        <v>528</v>
      </c>
      <c r="O99" s="12" t="s">
        <v>529</v>
      </c>
      <c r="P99" s="12" t="s">
        <v>530</v>
      </c>
    </row>
    <row r="100" spans="4:16">
      <c r="D100" s="8" t="s">
        <v>531</v>
      </c>
      <c r="E100" s="8" t="s">
        <v>532</v>
      </c>
      <c r="O100" s="12" t="s">
        <v>533</v>
      </c>
      <c r="P100" s="12" t="s">
        <v>534</v>
      </c>
    </row>
    <row r="101" spans="4:16">
      <c r="D101" s="8" t="s">
        <v>535</v>
      </c>
      <c r="E101" s="8" t="s">
        <v>536</v>
      </c>
      <c r="O101" s="12" t="s">
        <v>537</v>
      </c>
      <c r="P101" s="12" t="s">
        <v>538</v>
      </c>
    </row>
    <row r="102" spans="4:16">
      <c r="D102" s="8" t="s">
        <v>539</v>
      </c>
      <c r="E102" s="8" t="s">
        <v>540</v>
      </c>
      <c r="O102" s="12" t="s">
        <v>541</v>
      </c>
      <c r="P102" s="12" t="s">
        <v>542</v>
      </c>
    </row>
    <row r="103" spans="4:16">
      <c r="D103" s="8" t="s">
        <v>543</v>
      </c>
      <c r="E103" s="8" t="s">
        <v>544</v>
      </c>
      <c r="O103" s="12" t="s">
        <v>545</v>
      </c>
      <c r="P103" s="12" t="s">
        <v>546</v>
      </c>
    </row>
    <row r="104" spans="4:16">
      <c r="D104" s="8" t="s">
        <v>547</v>
      </c>
      <c r="E104" s="8" t="s">
        <v>548</v>
      </c>
      <c r="O104" s="12" t="s">
        <v>549</v>
      </c>
      <c r="P104" s="12" t="s">
        <v>550</v>
      </c>
    </row>
    <row r="105" spans="4:16">
      <c r="D105" s="8" t="s">
        <v>551</v>
      </c>
      <c r="E105" s="8" t="s">
        <v>552</v>
      </c>
      <c r="O105" s="12" t="s">
        <v>553</v>
      </c>
      <c r="P105" s="12" t="s">
        <v>554</v>
      </c>
    </row>
    <row r="106" spans="4:16">
      <c r="D106" s="8" t="s">
        <v>555</v>
      </c>
      <c r="E106" s="8" t="s">
        <v>556</v>
      </c>
      <c r="O106" s="12" t="s">
        <v>557</v>
      </c>
      <c r="P106" s="12" t="s">
        <v>558</v>
      </c>
    </row>
    <row r="107" spans="4:16">
      <c r="D107" s="8" t="s">
        <v>559</v>
      </c>
      <c r="E107" s="8" t="s">
        <v>560</v>
      </c>
      <c r="O107" s="12" t="s">
        <v>561</v>
      </c>
      <c r="P107" s="12" t="s">
        <v>562</v>
      </c>
    </row>
    <row r="108" spans="4:16">
      <c r="D108" s="8" t="s">
        <v>563</v>
      </c>
      <c r="E108" s="8" t="s">
        <v>564</v>
      </c>
      <c r="O108" s="12" t="s">
        <v>565</v>
      </c>
      <c r="P108" s="12" t="s">
        <v>566</v>
      </c>
    </row>
    <row r="109" spans="4:16">
      <c r="D109" s="8" t="s">
        <v>567</v>
      </c>
      <c r="E109" s="8" t="s">
        <v>568</v>
      </c>
      <c r="O109" s="12" t="s">
        <v>569</v>
      </c>
      <c r="P109" s="12" t="s">
        <v>570</v>
      </c>
    </row>
    <row r="110" spans="4:16">
      <c r="D110" s="8" t="s">
        <v>571</v>
      </c>
      <c r="E110" s="8" t="s">
        <v>572</v>
      </c>
      <c r="O110" s="12" t="s">
        <v>573</v>
      </c>
      <c r="P110" s="12" t="s">
        <v>574</v>
      </c>
    </row>
    <row r="111" spans="4:16">
      <c r="D111" s="8" t="s">
        <v>575</v>
      </c>
      <c r="E111" s="8" t="s">
        <v>576</v>
      </c>
      <c r="O111" s="12" t="s">
        <v>577</v>
      </c>
      <c r="P111" s="12" t="s">
        <v>578</v>
      </c>
    </row>
    <row r="112" spans="4:16">
      <c r="D112" s="8" t="s">
        <v>579</v>
      </c>
      <c r="E112" s="8" t="s">
        <v>580</v>
      </c>
      <c r="O112" s="12" t="s">
        <v>581</v>
      </c>
      <c r="P112" s="12" t="s">
        <v>582</v>
      </c>
    </row>
    <row r="113" spans="4:16">
      <c r="D113" s="8" t="s">
        <v>583</v>
      </c>
      <c r="E113" s="8" t="s">
        <v>584</v>
      </c>
      <c r="O113" s="12" t="s">
        <v>585</v>
      </c>
      <c r="P113" s="12" t="s">
        <v>586</v>
      </c>
    </row>
    <row r="114" spans="4:16">
      <c r="D114" s="8" t="s">
        <v>587</v>
      </c>
      <c r="E114" s="8" t="s">
        <v>588</v>
      </c>
      <c r="O114" s="12" t="s">
        <v>589</v>
      </c>
      <c r="P114" s="12" t="s">
        <v>590</v>
      </c>
    </row>
    <row r="115" spans="4:16">
      <c r="D115" s="8" t="s">
        <v>591</v>
      </c>
      <c r="E115" s="8" t="s">
        <v>592</v>
      </c>
      <c r="O115" s="12" t="s">
        <v>593</v>
      </c>
      <c r="P115" s="12" t="s">
        <v>594</v>
      </c>
    </row>
    <row r="116" spans="4:16">
      <c r="D116" s="8" t="s">
        <v>595</v>
      </c>
      <c r="E116" s="8" t="s">
        <v>596</v>
      </c>
      <c r="O116" s="12" t="s">
        <v>597</v>
      </c>
      <c r="P116" s="12" t="s">
        <v>598</v>
      </c>
    </row>
    <row r="117" spans="4:16">
      <c r="D117" s="8" t="s">
        <v>599</v>
      </c>
      <c r="E117" s="8" t="s">
        <v>600</v>
      </c>
      <c r="O117" s="12" t="s">
        <v>601</v>
      </c>
      <c r="P117" s="12" t="s">
        <v>602</v>
      </c>
    </row>
    <row r="118" spans="4:16">
      <c r="D118" s="8" t="s">
        <v>603</v>
      </c>
      <c r="E118" s="8" t="s">
        <v>604</v>
      </c>
      <c r="O118" s="12" t="s">
        <v>605</v>
      </c>
      <c r="P118" s="12" t="s">
        <v>606</v>
      </c>
    </row>
    <row r="119" spans="4:16">
      <c r="D119" s="8" t="s">
        <v>607</v>
      </c>
      <c r="E119" s="8" t="s">
        <v>608</v>
      </c>
      <c r="O119" s="12" t="s">
        <v>609</v>
      </c>
      <c r="P119" s="12" t="s">
        <v>610</v>
      </c>
    </row>
    <row r="120" spans="4:16">
      <c r="D120" s="8" t="s">
        <v>611</v>
      </c>
      <c r="E120" s="8" t="s">
        <v>612</v>
      </c>
      <c r="O120" s="12" t="s">
        <v>613</v>
      </c>
      <c r="P120" s="12" t="s">
        <v>614</v>
      </c>
    </row>
    <row r="121" spans="4:16">
      <c r="D121" s="8" t="s">
        <v>615</v>
      </c>
      <c r="E121" s="8" t="s">
        <v>616</v>
      </c>
      <c r="O121" s="12" t="s">
        <v>617</v>
      </c>
      <c r="P121" s="12" t="s">
        <v>618</v>
      </c>
    </row>
    <row r="122" spans="4:16">
      <c r="D122" s="8" t="s">
        <v>619</v>
      </c>
      <c r="E122" s="8" t="s">
        <v>620</v>
      </c>
      <c r="O122" s="12" t="s">
        <v>621</v>
      </c>
      <c r="P122" s="12" t="s">
        <v>622</v>
      </c>
    </row>
    <row r="123" spans="4:16">
      <c r="D123" s="8" t="s">
        <v>623</v>
      </c>
      <c r="E123" s="8" t="s">
        <v>624</v>
      </c>
      <c r="O123" s="12" t="s">
        <v>625</v>
      </c>
      <c r="P123" s="12" t="s">
        <v>626</v>
      </c>
    </row>
    <row r="124" spans="4:16">
      <c r="D124" s="8" t="s">
        <v>627</v>
      </c>
      <c r="E124" s="8" t="s">
        <v>628</v>
      </c>
      <c r="O124" s="12" t="s">
        <v>629</v>
      </c>
      <c r="P124" s="12" t="s">
        <v>630</v>
      </c>
    </row>
    <row r="125" spans="4:16">
      <c r="D125" s="8" t="s">
        <v>631</v>
      </c>
      <c r="E125" s="8" t="s">
        <v>632</v>
      </c>
      <c r="O125" s="12" t="s">
        <v>633</v>
      </c>
      <c r="P125" s="12" t="s">
        <v>634</v>
      </c>
    </row>
    <row r="126" spans="4:16">
      <c r="D126" s="8" t="s">
        <v>635</v>
      </c>
      <c r="E126" s="8" t="s">
        <v>636</v>
      </c>
      <c r="O126" s="12" t="s">
        <v>637</v>
      </c>
      <c r="P126" s="12" t="s">
        <v>638</v>
      </c>
    </row>
    <row r="127" spans="4:16">
      <c r="D127" s="8" t="s">
        <v>639</v>
      </c>
      <c r="E127" s="8" t="s">
        <v>640</v>
      </c>
      <c r="O127" s="12" t="s">
        <v>641</v>
      </c>
      <c r="P127" s="12" t="s">
        <v>642</v>
      </c>
    </row>
    <row r="128" spans="4:16">
      <c r="D128" s="8" t="s">
        <v>643</v>
      </c>
      <c r="E128" s="8" t="s">
        <v>644</v>
      </c>
      <c r="O128" s="12" t="s">
        <v>645</v>
      </c>
      <c r="P128" s="12" t="s">
        <v>646</v>
      </c>
    </row>
    <row r="129" spans="4:16">
      <c r="D129" s="8" t="s">
        <v>647</v>
      </c>
      <c r="E129" s="8" t="s">
        <v>648</v>
      </c>
      <c r="O129" s="12" t="s">
        <v>649</v>
      </c>
      <c r="P129" s="12" t="s">
        <v>650</v>
      </c>
    </row>
    <row r="130" spans="4:16">
      <c r="D130" s="8" t="s">
        <v>651</v>
      </c>
      <c r="E130" s="8" t="s">
        <v>652</v>
      </c>
      <c r="O130" s="12" t="s">
        <v>653</v>
      </c>
      <c r="P130" s="12" t="s">
        <v>654</v>
      </c>
    </row>
    <row r="131" spans="4:16">
      <c r="D131" s="8" t="s">
        <v>655</v>
      </c>
      <c r="E131" s="8" t="s">
        <v>656</v>
      </c>
      <c r="O131" s="12" t="s">
        <v>657</v>
      </c>
      <c r="P131" s="12" t="s">
        <v>658</v>
      </c>
    </row>
    <row r="132" spans="4:16">
      <c r="D132" s="8" t="s">
        <v>659</v>
      </c>
      <c r="E132" s="8" t="s">
        <v>660</v>
      </c>
      <c r="O132" s="12" t="s">
        <v>661</v>
      </c>
      <c r="P132" s="12" t="s">
        <v>662</v>
      </c>
    </row>
    <row r="133" spans="4:16">
      <c r="D133" s="8" t="s">
        <v>0</v>
      </c>
      <c r="E133" s="8" t="s">
        <v>663</v>
      </c>
      <c r="O133" s="12" t="s">
        <v>664</v>
      </c>
      <c r="P133" s="12" t="s">
        <v>665</v>
      </c>
    </row>
    <row r="134" spans="4:16">
      <c r="D134" s="8" t="s">
        <v>666</v>
      </c>
      <c r="E134" s="8" t="s">
        <v>667</v>
      </c>
      <c r="O134" s="12" t="s">
        <v>668</v>
      </c>
      <c r="P134" s="12" t="s">
        <v>669</v>
      </c>
    </row>
    <row r="135" spans="4:16">
      <c r="D135" s="8" t="s">
        <v>670</v>
      </c>
      <c r="E135" s="8" t="s">
        <v>671</v>
      </c>
      <c r="O135" s="12" t="s">
        <v>672</v>
      </c>
      <c r="P135" s="12" t="s">
        <v>673</v>
      </c>
    </row>
    <row r="136" spans="4:16">
      <c r="D136" s="8" t="s">
        <v>674</v>
      </c>
      <c r="E136" s="8" t="s">
        <v>675</v>
      </c>
      <c r="O136" s="12" t="s">
        <v>676</v>
      </c>
      <c r="P136" s="12" t="s">
        <v>677</v>
      </c>
    </row>
    <row r="137" spans="4:16">
      <c r="D137" s="8" t="s">
        <v>678</v>
      </c>
      <c r="E137" s="8" t="s">
        <v>679</v>
      </c>
      <c r="O137" s="12" t="s">
        <v>680</v>
      </c>
      <c r="P137" s="12" t="s">
        <v>681</v>
      </c>
    </row>
    <row r="138" spans="4:16">
      <c r="D138" s="8" t="s">
        <v>682</v>
      </c>
      <c r="E138" s="8" t="s">
        <v>683</v>
      </c>
      <c r="O138" s="12" t="s">
        <v>684</v>
      </c>
      <c r="P138" s="12" t="s">
        <v>685</v>
      </c>
    </row>
    <row r="139" spans="4:16">
      <c r="D139" s="8" t="s">
        <v>686</v>
      </c>
      <c r="E139" s="8" t="s">
        <v>687</v>
      </c>
      <c r="O139" s="12" t="s">
        <v>688</v>
      </c>
      <c r="P139" s="12" t="s">
        <v>689</v>
      </c>
    </row>
    <row r="140" spans="4:16">
      <c r="D140" s="8" t="s">
        <v>690</v>
      </c>
      <c r="E140" s="8" t="s">
        <v>691</v>
      </c>
      <c r="O140" s="12" t="s">
        <v>692</v>
      </c>
      <c r="P140" s="12" t="s">
        <v>693</v>
      </c>
    </row>
    <row r="141" spans="4:16">
      <c r="D141" s="8" t="s">
        <v>694</v>
      </c>
      <c r="E141" s="8" t="s">
        <v>695</v>
      </c>
      <c r="O141" s="12" t="s">
        <v>696</v>
      </c>
      <c r="P141" s="12" t="s">
        <v>697</v>
      </c>
    </row>
    <row r="142" spans="4:16">
      <c r="D142" s="8" t="s">
        <v>698</v>
      </c>
      <c r="E142" s="8" t="s">
        <v>699</v>
      </c>
      <c r="O142" s="12" t="s">
        <v>700</v>
      </c>
      <c r="P142" s="12" t="s">
        <v>701</v>
      </c>
    </row>
    <row r="143" spans="4:16">
      <c r="D143" s="8" t="s">
        <v>702</v>
      </c>
      <c r="E143" s="8" t="s">
        <v>703</v>
      </c>
      <c r="O143" s="12" t="s">
        <v>704</v>
      </c>
      <c r="P143" s="12" t="s">
        <v>705</v>
      </c>
    </row>
    <row r="144" spans="4:16">
      <c r="D144" s="8" t="s">
        <v>706</v>
      </c>
      <c r="E144" s="8" t="s">
        <v>707</v>
      </c>
      <c r="O144" s="12" t="s">
        <v>708</v>
      </c>
      <c r="P144" s="12" t="s">
        <v>709</v>
      </c>
    </row>
    <row r="145" spans="4:16">
      <c r="D145" s="8" t="s">
        <v>710</v>
      </c>
      <c r="E145" s="8" t="s">
        <v>711</v>
      </c>
      <c r="O145" s="12" t="s">
        <v>712</v>
      </c>
      <c r="P145" s="12" t="s">
        <v>713</v>
      </c>
    </row>
    <row r="146" spans="4:16">
      <c r="D146" s="8" t="s">
        <v>714</v>
      </c>
      <c r="E146" s="8" t="s">
        <v>715</v>
      </c>
      <c r="O146" s="12" t="s">
        <v>716</v>
      </c>
      <c r="P146" s="12" t="s">
        <v>717</v>
      </c>
    </row>
    <row r="147" spans="4:16">
      <c r="D147" s="8" t="s">
        <v>718</v>
      </c>
      <c r="E147" s="8" t="s">
        <v>719</v>
      </c>
      <c r="O147" s="12" t="s">
        <v>720</v>
      </c>
      <c r="P147" s="12" t="s">
        <v>721</v>
      </c>
    </row>
    <row r="148" spans="4:16">
      <c r="D148" s="8" t="s">
        <v>722</v>
      </c>
      <c r="E148" s="8" t="s">
        <v>723</v>
      </c>
      <c r="O148" s="12" t="s">
        <v>724</v>
      </c>
      <c r="P148" s="12" t="s">
        <v>725</v>
      </c>
    </row>
    <row r="149" spans="4:16">
      <c r="D149" s="8" t="s">
        <v>726</v>
      </c>
      <c r="E149" s="8" t="s">
        <v>727</v>
      </c>
      <c r="O149" s="12" t="s">
        <v>728</v>
      </c>
      <c r="P149" s="12" t="s">
        <v>729</v>
      </c>
    </row>
    <row r="150" spans="4:16">
      <c r="D150" s="8" t="s">
        <v>730</v>
      </c>
      <c r="E150" s="8" t="s">
        <v>731</v>
      </c>
      <c r="O150" s="12" t="s">
        <v>732</v>
      </c>
      <c r="P150" s="12" t="s">
        <v>733</v>
      </c>
    </row>
    <row r="151" spans="4:16">
      <c r="D151" s="8" t="s">
        <v>734</v>
      </c>
      <c r="E151" s="8" t="s">
        <v>735</v>
      </c>
      <c r="O151" s="12" t="s">
        <v>736</v>
      </c>
      <c r="P151" s="12" t="s">
        <v>737</v>
      </c>
    </row>
    <row r="152" spans="4:16">
      <c r="D152" s="8" t="s">
        <v>738</v>
      </c>
      <c r="E152" s="8" t="s">
        <v>739</v>
      </c>
      <c r="O152" s="12" t="s">
        <v>740</v>
      </c>
      <c r="P152" s="12" t="s">
        <v>741</v>
      </c>
    </row>
    <row r="153" spans="4:16">
      <c r="D153" s="8" t="s">
        <v>742</v>
      </c>
      <c r="E153" s="8" t="s">
        <v>743</v>
      </c>
      <c r="O153" s="12" t="s">
        <v>744</v>
      </c>
      <c r="P153" s="12" t="s">
        <v>745</v>
      </c>
    </row>
    <row r="154" spans="4:16">
      <c r="D154" s="8" t="s">
        <v>746</v>
      </c>
      <c r="E154" s="8" t="s">
        <v>747</v>
      </c>
      <c r="O154" s="12" t="s">
        <v>748</v>
      </c>
      <c r="P154" s="12" t="s">
        <v>749</v>
      </c>
    </row>
    <row r="155" spans="4:16">
      <c r="D155" s="8" t="s">
        <v>750</v>
      </c>
      <c r="E155" s="8" t="s">
        <v>751</v>
      </c>
      <c r="O155" s="12" t="s">
        <v>752</v>
      </c>
      <c r="P155" s="12" t="s">
        <v>753</v>
      </c>
    </row>
    <row r="156" spans="4:16">
      <c r="D156" s="8" t="s">
        <v>754</v>
      </c>
      <c r="E156" s="8" t="s">
        <v>755</v>
      </c>
      <c r="O156" s="12" t="s">
        <v>756</v>
      </c>
      <c r="P156" s="12" t="s">
        <v>757</v>
      </c>
    </row>
    <row r="157" spans="4:16">
      <c r="D157" s="8" t="s">
        <v>758</v>
      </c>
      <c r="E157" s="8" t="s">
        <v>759</v>
      </c>
      <c r="O157" s="12" t="s">
        <v>760</v>
      </c>
      <c r="P157" s="12" t="s">
        <v>761</v>
      </c>
    </row>
    <row r="158" spans="4:16">
      <c r="D158" s="8" t="s">
        <v>762</v>
      </c>
      <c r="E158" s="8" t="s">
        <v>763</v>
      </c>
      <c r="O158" s="12" t="s">
        <v>764</v>
      </c>
      <c r="P158" s="12" t="s">
        <v>765</v>
      </c>
    </row>
    <row r="159" spans="4:16">
      <c r="D159" s="8" t="s">
        <v>766</v>
      </c>
      <c r="E159" s="8" t="s">
        <v>767</v>
      </c>
      <c r="O159" s="12" t="s">
        <v>768</v>
      </c>
      <c r="P159" s="12" t="s">
        <v>769</v>
      </c>
    </row>
    <row r="160" spans="4:16">
      <c r="D160" s="8" t="s">
        <v>770</v>
      </c>
      <c r="E160" s="8" t="s">
        <v>771</v>
      </c>
      <c r="O160" s="12" t="s">
        <v>772</v>
      </c>
      <c r="P160" s="12" t="s">
        <v>773</v>
      </c>
    </row>
    <row r="161" spans="4:16">
      <c r="D161" s="8" t="s">
        <v>774</v>
      </c>
      <c r="E161" s="8" t="s">
        <v>775</v>
      </c>
      <c r="O161" s="12" t="s">
        <v>776</v>
      </c>
      <c r="P161" s="12" t="s">
        <v>777</v>
      </c>
    </row>
    <row r="162" spans="4:16">
      <c r="D162" s="8" t="s">
        <v>778</v>
      </c>
      <c r="E162" s="8" t="s">
        <v>779</v>
      </c>
      <c r="O162" s="12" t="s">
        <v>780</v>
      </c>
      <c r="P162" s="12" t="s">
        <v>781</v>
      </c>
    </row>
    <row r="163" spans="4:16">
      <c r="D163" s="8" t="s">
        <v>782</v>
      </c>
      <c r="E163" s="8" t="s">
        <v>783</v>
      </c>
      <c r="O163" s="12" t="s">
        <v>784</v>
      </c>
      <c r="P163" s="12" t="s">
        <v>785</v>
      </c>
    </row>
    <row r="164" spans="4:16">
      <c r="D164" s="8" t="s">
        <v>786</v>
      </c>
      <c r="E164" s="8" t="s">
        <v>787</v>
      </c>
      <c r="O164" s="12" t="s">
        <v>788</v>
      </c>
      <c r="P164" s="12" t="s">
        <v>789</v>
      </c>
    </row>
    <row r="165" spans="4:16">
      <c r="D165" s="8" t="s">
        <v>790</v>
      </c>
      <c r="E165" s="8" t="s">
        <v>791</v>
      </c>
      <c r="O165" s="12" t="s">
        <v>792</v>
      </c>
      <c r="P165" s="12" t="s">
        <v>793</v>
      </c>
    </row>
    <row r="166" spans="4:16">
      <c r="D166" s="8" t="s">
        <v>794</v>
      </c>
      <c r="E166" s="8" t="s">
        <v>795</v>
      </c>
      <c r="O166" s="12" t="s">
        <v>796</v>
      </c>
      <c r="P166" s="12" t="s">
        <v>797</v>
      </c>
    </row>
    <row r="167" spans="4:16">
      <c r="D167" s="8" t="s">
        <v>798</v>
      </c>
      <c r="E167" s="8" t="s">
        <v>799</v>
      </c>
      <c r="O167" s="12" t="s">
        <v>800</v>
      </c>
      <c r="P167" s="12" t="s">
        <v>801</v>
      </c>
    </row>
    <row r="168" spans="4:16">
      <c r="D168" s="8" t="s">
        <v>802</v>
      </c>
      <c r="E168" s="8" t="s">
        <v>803</v>
      </c>
      <c r="O168" s="12" t="s">
        <v>804</v>
      </c>
      <c r="P168" s="12" t="s">
        <v>805</v>
      </c>
    </row>
    <row r="169" spans="4:16">
      <c r="D169" s="8" t="s">
        <v>806</v>
      </c>
      <c r="E169" s="8" t="s">
        <v>807</v>
      </c>
      <c r="O169" s="12" t="s">
        <v>808</v>
      </c>
      <c r="P169" s="12" t="s">
        <v>809</v>
      </c>
    </row>
    <row r="170" spans="4:16">
      <c r="D170" s="8" t="s">
        <v>810</v>
      </c>
      <c r="E170" s="8" t="s">
        <v>811</v>
      </c>
      <c r="O170" s="12" t="s">
        <v>812</v>
      </c>
      <c r="P170" s="12" t="s">
        <v>813</v>
      </c>
    </row>
    <row r="171" spans="4:16">
      <c r="D171" s="8" t="s">
        <v>59</v>
      </c>
      <c r="E171" s="8" t="s">
        <v>814</v>
      </c>
      <c r="O171" s="12" t="s">
        <v>815</v>
      </c>
      <c r="P171" s="12" t="s">
        <v>816</v>
      </c>
    </row>
    <row r="172" ht="14.5" spans="4:16">
      <c r="D172" s="8" t="s">
        <v>817</v>
      </c>
      <c r="E172" s="8" t="s">
        <v>818</v>
      </c>
      <c r="O172" s="32" t="s">
        <v>819</v>
      </c>
      <c r="P172" s="32" t="s">
        <v>155</v>
      </c>
    </row>
    <row r="173" ht="14.5" spans="4:16">
      <c r="D173" s="8" t="s">
        <v>820</v>
      </c>
      <c r="E173" s="8" t="s">
        <v>821</v>
      </c>
      <c r="O173" s="32" t="s">
        <v>822</v>
      </c>
      <c r="P173" s="32" t="s">
        <v>823</v>
      </c>
    </row>
    <row r="174" ht="14.5" spans="4:16">
      <c r="D174" s="8" t="s">
        <v>824</v>
      </c>
      <c r="E174" s="8" t="s">
        <v>825</v>
      </c>
      <c r="O174" s="32" t="s">
        <v>826</v>
      </c>
      <c r="P174" s="32" t="s">
        <v>827</v>
      </c>
    </row>
    <row r="175" ht="14.5" spans="4:16">
      <c r="D175" s="8" t="s">
        <v>828</v>
      </c>
      <c r="E175" s="8" t="s">
        <v>829</v>
      </c>
      <c r="O175" s="32" t="s">
        <v>830</v>
      </c>
      <c r="P175" s="32" t="s">
        <v>831</v>
      </c>
    </row>
    <row r="176" spans="4:5">
      <c r="D176" s="8" t="s">
        <v>832</v>
      </c>
      <c r="E176" s="8" t="s">
        <v>833</v>
      </c>
    </row>
    <row r="177" spans="4:5">
      <c r="D177" s="8" t="s">
        <v>834</v>
      </c>
      <c r="E177" s="8" t="s">
        <v>835</v>
      </c>
    </row>
    <row r="178" spans="4:5">
      <c r="D178" s="8" t="s">
        <v>836</v>
      </c>
      <c r="E178" s="8" t="s">
        <v>837</v>
      </c>
    </row>
    <row r="179" spans="4:5">
      <c r="D179" s="8" t="s">
        <v>838</v>
      </c>
      <c r="E179" s="8" t="s">
        <v>839</v>
      </c>
    </row>
    <row r="180" spans="4:5">
      <c r="D180" s="8" t="s">
        <v>840</v>
      </c>
      <c r="E180" s="8" t="s">
        <v>841</v>
      </c>
    </row>
    <row r="181" spans="4:5">
      <c r="D181" s="8" t="s">
        <v>842</v>
      </c>
      <c r="E181" s="8" t="s">
        <v>843</v>
      </c>
    </row>
    <row r="182" spans="4:5">
      <c r="D182" s="8" t="s">
        <v>844</v>
      </c>
      <c r="E182" s="8" t="s">
        <v>845</v>
      </c>
    </row>
    <row r="183" spans="4:5">
      <c r="D183" s="8" t="s">
        <v>846</v>
      </c>
      <c r="E183" s="8" t="s">
        <v>847</v>
      </c>
    </row>
    <row r="184" spans="4:5">
      <c r="D184" s="8" t="s">
        <v>848</v>
      </c>
      <c r="E184" s="8" t="s">
        <v>849</v>
      </c>
    </row>
    <row r="185" spans="4:5">
      <c r="D185" s="8" t="s">
        <v>850</v>
      </c>
      <c r="E185" s="8" t="s">
        <v>851</v>
      </c>
    </row>
    <row r="186" spans="4:5">
      <c r="D186" s="8" t="s">
        <v>852</v>
      </c>
      <c r="E186" s="8" t="s">
        <v>853</v>
      </c>
    </row>
    <row r="187" spans="4:5">
      <c r="D187" s="8" t="s">
        <v>854</v>
      </c>
      <c r="E187" s="8" t="s">
        <v>855</v>
      </c>
    </row>
    <row r="188" spans="4:5">
      <c r="D188" s="8" t="s">
        <v>856</v>
      </c>
      <c r="E188" s="8" t="s">
        <v>857</v>
      </c>
    </row>
    <row r="189" spans="4:5">
      <c r="D189" s="8" t="s">
        <v>858</v>
      </c>
      <c r="E189" s="8" t="s">
        <v>859</v>
      </c>
    </row>
    <row r="190" spans="4:5">
      <c r="D190" s="8" t="s">
        <v>860</v>
      </c>
      <c r="E190" s="8" t="s">
        <v>861</v>
      </c>
    </row>
    <row r="191" spans="4:5">
      <c r="D191" s="8" t="s">
        <v>862</v>
      </c>
      <c r="E191" s="8" t="s">
        <v>863</v>
      </c>
    </row>
    <row r="192" spans="4:5">
      <c r="D192" s="8" t="s">
        <v>864</v>
      </c>
      <c r="E192" s="8" t="s">
        <v>865</v>
      </c>
    </row>
    <row r="193" spans="4:5">
      <c r="D193" s="8" t="s">
        <v>866</v>
      </c>
      <c r="E193" s="8" t="s">
        <v>867</v>
      </c>
    </row>
    <row r="194" spans="4:5">
      <c r="D194" s="8" t="s">
        <v>868</v>
      </c>
      <c r="E194" s="8" t="s">
        <v>869</v>
      </c>
    </row>
    <row r="195" spans="4:5">
      <c r="D195" s="8" t="s">
        <v>870</v>
      </c>
      <c r="E195" s="8" t="s">
        <v>871</v>
      </c>
    </row>
    <row r="196" spans="4:5">
      <c r="D196" s="8" t="s">
        <v>872</v>
      </c>
      <c r="E196" s="8" t="s">
        <v>873</v>
      </c>
    </row>
    <row r="197" spans="4:5">
      <c r="D197" s="8" t="s">
        <v>874</v>
      </c>
      <c r="E197" s="8" t="s">
        <v>875</v>
      </c>
    </row>
    <row r="198" spans="4:5">
      <c r="D198" s="8" t="s">
        <v>876</v>
      </c>
      <c r="E198" s="8" t="s">
        <v>877</v>
      </c>
    </row>
    <row r="199" spans="4:5">
      <c r="D199" s="8" t="s">
        <v>878</v>
      </c>
      <c r="E199" s="8" t="s">
        <v>879</v>
      </c>
    </row>
    <row r="200" spans="4:5">
      <c r="D200" s="8" t="s">
        <v>880</v>
      </c>
      <c r="E200" s="8" t="s">
        <v>881</v>
      </c>
    </row>
    <row r="201" spans="4:5">
      <c r="D201" s="8" t="s">
        <v>882</v>
      </c>
      <c r="E201" s="8" t="s">
        <v>883</v>
      </c>
    </row>
    <row r="202" spans="4:5">
      <c r="D202" s="8" t="s">
        <v>884</v>
      </c>
      <c r="E202" s="8" t="s">
        <v>885</v>
      </c>
    </row>
    <row r="203" spans="4:5">
      <c r="D203" s="8" t="s">
        <v>886</v>
      </c>
      <c r="E203" s="8" t="s">
        <v>887</v>
      </c>
    </row>
    <row r="204" spans="4:5">
      <c r="D204" s="8" t="s">
        <v>888</v>
      </c>
      <c r="E204" s="8" t="s">
        <v>889</v>
      </c>
    </row>
    <row r="205" spans="4:5">
      <c r="D205" s="8" t="s">
        <v>890</v>
      </c>
      <c r="E205" s="8" t="s">
        <v>891</v>
      </c>
    </row>
    <row r="206" spans="4:5">
      <c r="D206" s="8" t="s">
        <v>892</v>
      </c>
      <c r="E206" s="8" t="s">
        <v>893</v>
      </c>
    </row>
    <row r="207" spans="4:5">
      <c r="D207" s="8" t="s">
        <v>894</v>
      </c>
      <c r="E207" s="8" t="s">
        <v>895</v>
      </c>
    </row>
    <row r="208" spans="4:5">
      <c r="D208" s="8" t="s">
        <v>896</v>
      </c>
      <c r="E208" s="8" t="s">
        <v>897</v>
      </c>
    </row>
    <row r="209" spans="4:5">
      <c r="D209" s="8" t="s">
        <v>898</v>
      </c>
      <c r="E209" s="8" t="s">
        <v>899</v>
      </c>
    </row>
    <row r="210" spans="4:5">
      <c r="D210" s="8" t="s">
        <v>900</v>
      </c>
      <c r="E210" s="8" t="s">
        <v>901</v>
      </c>
    </row>
    <row r="211" spans="4:5">
      <c r="D211" s="8" t="s">
        <v>902</v>
      </c>
      <c r="E211" s="8" t="s">
        <v>903</v>
      </c>
    </row>
    <row r="212" spans="4:5">
      <c r="D212" s="8" t="s">
        <v>904</v>
      </c>
      <c r="E212" s="8" t="s">
        <v>905</v>
      </c>
    </row>
    <row r="213" spans="4:5">
      <c r="D213" s="8" t="s">
        <v>906</v>
      </c>
      <c r="E213" s="8" t="s">
        <v>907</v>
      </c>
    </row>
    <row r="214" spans="4:5">
      <c r="D214" s="8" t="s">
        <v>908</v>
      </c>
      <c r="E214" s="8" t="s">
        <v>909</v>
      </c>
    </row>
    <row r="215" spans="4:5">
      <c r="D215" s="8" t="s">
        <v>910</v>
      </c>
      <c r="E215" s="8" t="s">
        <v>911</v>
      </c>
    </row>
    <row r="216" spans="4:5">
      <c r="D216" s="8" t="s">
        <v>912</v>
      </c>
      <c r="E216" s="8" t="s">
        <v>913</v>
      </c>
    </row>
    <row r="217" spans="4:5">
      <c r="D217" s="8" t="s">
        <v>914</v>
      </c>
      <c r="E217" s="8" t="s">
        <v>915</v>
      </c>
    </row>
    <row r="218" spans="4:5">
      <c r="D218" s="8" t="s">
        <v>916</v>
      </c>
      <c r="E218" s="8" t="s">
        <v>917</v>
      </c>
    </row>
    <row r="219" spans="4:5">
      <c r="D219" s="8" t="s">
        <v>918</v>
      </c>
      <c r="E219" s="8" t="s">
        <v>919</v>
      </c>
    </row>
    <row r="220" spans="4:5">
      <c r="D220" s="8" t="s">
        <v>920</v>
      </c>
      <c r="E220" s="8" t="s">
        <v>921</v>
      </c>
    </row>
    <row r="221" spans="4:5">
      <c r="D221" s="8" t="s">
        <v>922</v>
      </c>
      <c r="E221" s="8" t="s">
        <v>923</v>
      </c>
    </row>
    <row r="222" spans="4:5">
      <c r="D222" s="8" t="s">
        <v>924</v>
      </c>
      <c r="E222" s="8" t="s">
        <v>925</v>
      </c>
    </row>
    <row r="223" spans="4:5">
      <c r="D223" s="8" t="s">
        <v>926</v>
      </c>
      <c r="E223" s="8" t="s">
        <v>927</v>
      </c>
    </row>
    <row r="224" spans="4:5">
      <c r="D224" s="8" t="s">
        <v>928</v>
      </c>
      <c r="E224" s="8" t="s">
        <v>929</v>
      </c>
    </row>
    <row r="225" spans="4:5">
      <c r="D225" s="8" t="s">
        <v>930</v>
      </c>
      <c r="E225" s="8" t="s">
        <v>931</v>
      </c>
    </row>
    <row r="226" spans="4:5">
      <c r="D226" s="8" t="s">
        <v>932</v>
      </c>
      <c r="E226" s="8" t="s">
        <v>933</v>
      </c>
    </row>
    <row r="227" spans="4:5">
      <c r="D227" s="8" t="s">
        <v>934</v>
      </c>
      <c r="E227" s="8" t="s">
        <v>935</v>
      </c>
    </row>
    <row r="228" spans="4:5">
      <c r="D228" s="8" t="s">
        <v>936</v>
      </c>
      <c r="E228" s="8" t="s">
        <v>937</v>
      </c>
    </row>
    <row r="229" spans="4:5">
      <c r="D229" s="8" t="s">
        <v>938</v>
      </c>
      <c r="E229" s="8" t="s">
        <v>939</v>
      </c>
    </row>
    <row r="230" spans="4:5">
      <c r="D230" s="8" t="s">
        <v>940</v>
      </c>
      <c r="E230" s="8" t="s">
        <v>941</v>
      </c>
    </row>
    <row r="231" spans="4:5">
      <c r="D231" s="8" t="s">
        <v>942</v>
      </c>
      <c r="E231" s="8" t="s">
        <v>943</v>
      </c>
    </row>
    <row r="232" spans="4:5">
      <c r="D232" s="8" t="s">
        <v>944</v>
      </c>
      <c r="E232" s="8" t="s">
        <v>945</v>
      </c>
    </row>
    <row r="233" spans="4:5">
      <c r="D233" s="8" t="s">
        <v>946</v>
      </c>
      <c r="E233" s="8" t="s">
        <v>947</v>
      </c>
    </row>
    <row r="234" spans="4:5">
      <c r="D234" s="8" t="s">
        <v>948</v>
      </c>
      <c r="E234" s="8" t="s">
        <v>949</v>
      </c>
    </row>
    <row r="235" spans="4:5">
      <c r="D235" s="8" t="s">
        <v>950</v>
      </c>
      <c r="E235" s="8" t="s">
        <v>951</v>
      </c>
    </row>
    <row r="236" spans="4:5">
      <c r="D236" s="8" t="s">
        <v>952</v>
      </c>
      <c r="E236" s="8" t="s">
        <v>953</v>
      </c>
    </row>
    <row r="237" spans="4:5">
      <c r="D237" s="8" t="s">
        <v>954</v>
      </c>
      <c r="E237" s="8" t="s">
        <v>955</v>
      </c>
    </row>
    <row r="238" spans="4:5">
      <c r="D238" s="8" t="s">
        <v>956</v>
      </c>
      <c r="E238" s="8" t="s">
        <v>957</v>
      </c>
    </row>
    <row r="239" spans="4:5">
      <c r="D239" s="8" t="s">
        <v>958</v>
      </c>
      <c r="E239" s="8" t="s">
        <v>959</v>
      </c>
    </row>
    <row r="240" spans="4:5">
      <c r="D240" s="8" t="s">
        <v>960</v>
      </c>
      <c r="E240" s="8" t="s">
        <v>961</v>
      </c>
    </row>
    <row r="241" spans="4:5">
      <c r="D241" s="8" t="s">
        <v>962</v>
      </c>
      <c r="E241" s="8" t="s">
        <v>963</v>
      </c>
    </row>
    <row r="242" spans="4:5">
      <c r="D242" s="8" t="s">
        <v>964</v>
      </c>
      <c r="E242" s="8" t="s">
        <v>965</v>
      </c>
    </row>
    <row r="243" spans="4:5">
      <c r="D243" s="8" t="s">
        <v>966</v>
      </c>
      <c r="E243" s="8" t="s">
        <v>967</v>
      </c>
    </row>
    <row r="244" spans="4:5">
      <c r="D244" s="8" t="s">
        <v>968</v>
      </c>
      <c r="E244" s="8" t="s">
        <v>969</v>
      </c>
    </row>
    <row r="245" spans="4:5">
      <c r="D245" s="8" t="s">
        <v>970</v>
      </c>
      <c r="E245" s="8" t="s">
        <v>971</v>
      </c>
    </row>
    <row r="246" spans="4:5">
      <c r="D246" s="8" t="s">
        <v>972</v>
      </c>
      <c r="E246" s="8" t="s">
        <v>973</v>
      </c>
    </row>
    <row r="247" spans="4:5">
      <c r="D247" s="8" t="s">
        <v>974</v>
      </c>
      <c r="E247" s="8" t="s">
        <v>975</v>
      </c>
    </row>
    <row r="248" spans="4:5">
      <c r="D248" s="8" t="s">
        <v>976</v>
      </c>
      <c r="E248" s="8" t="s">
        <v>977</v>
      </c>
    </row>
    <row r="249" spans="4:5">
      <c r="D249" s="8" t="s">
        <v>978</v>
      </c>
      <c r="E249" s="8" t="s">
        <v>979</v>
      </c>
    </row>
    <row r="250" spans="4:5">
      <c r="D250" s="8" t="s">
        <v>980</v>
      </c>
      <c r="E250" s="8" t="s">
        <v>981</v>
      </c>
    </row>
    <row r="251" spans="4:5">
      <c r="D251" s="8" t="s">
        <v>982</v>
      </c>
      <c r="E251" s="8" t="s">
        <v>983</v>
      </c>
    </row>
    <row r="252" spans="4:5">
      <c r="D252" s="8" t="s">
        <v>984</v>
      </c>
      <c r="E252" s="8" t="s">
        <v>985</v>
      </c>
    </row>
    <row r="253" spans="4:5">
      <c r="D253" s="8" t="s">
        <v>986</v>
      </c>
      <c r="E253" s="8" t="s">
        <v>987</v>
      </c>
    </row>
    <row r="254" spans="4:5">
      <c r="D254" s="8" t="s">
        <v>988</v>
      </c>
      <c r="E254" s="8" t="s">
        <v>989</v>
      </c>
    </row>
    <row r="255" spans="4:5">
      <c r="D255" s="8" t="s">
        <v>990</v>
      </c>
      <c r="E255" s="8" t="s">
        <v>991</v>
      </c>
    </row>
    <row r="256" spans="4:5">
      <c r="D256" s="8" t="s">
        <v>992</v>
      </c>
      <c r="E256" s="8" t="s">
        <v>993</v>
      </c>
    </row>
    <row r="257" spans="4:5">
      <c r="D257" s="8" t="s">
        <v>994</v>
      </c>
      <c r="E257" s="8" t="s">
        <v>995</v>
      </c>
    </row>
    <row r="258" spans="4:5">
      <c r="D258" s="8" t="s">
        <v>996</v>
      </c>
      <c r="E258" s="8" t="s">
        <v>997</v>
      </c>
    </row>
    <row r="259" spans="4:5">
      <c r="D259" s="8" t="s">
        <v>998</v>
      </c>
      <c r="E259" s="8" t="s">
        <v>999</v>
      </c>
    </row>
    <row r="260" spans="4:5">
      <c r="D260" s="8" t="s">
        <v>1000</v>
      </c>
      <c r="E260" s="8" t="s">
        <v>1001</v>
      </c>
    </row>
    <row r="261" spans="4:5">
      <c r="D261" s="8" t="s">
        <v>1002</v>
      </c>
      <c r="E261" s="8" t="s">
        <v>1003</v>
      </c>
    </row>
  </sheetData>
  <mergeCells count="14">
    <mergeCell ref="A1:B1"/>
    <mergeCell ref="D1:E1"/>
    <mergeCell ref="G1:J1"/>
    <mergeCell ref="L1:M1"/>
    <mergeCell ref="O1:P1"/>
    <mergeCell ref="R1:S1"/>
    <mergeCell ref="R3:R15"/>
    <mergeCell ref="R17:R23"/>
    <mergeCell ref="R24:R36"/>
    <mergeCell ref="R37:R38"/>
    <mergeCell ref="R39:R40"/>
    <mergeCell ref="R41:R42"/>
    <mergeCell ref="R43:R44"/>
    <mergeCell ref="R45:R46"/>
  </mergeCells>
  <pageMargins left="0.7" right="0.7" top="0.75" bottom="0.75" header="0.3" footer="0.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BRF77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2023-10-23T10:42:33Z</dcterms:created>
  <dcterms:modified xsi:type="dcterms:W3CDTF">2024-02-22T06:23:25Z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031CA442DCD8427F9FF2C1F880923A18_13</vt:lpwstr>
  </property>
  <property fmtid="{D5CDD505-2E9C-101B-9397-08002B2CF9AE}" pid="3" name="KSOProductBuildVer">
    <vt:lpwstr>1033-12.2.0.13431</vt:lpwstr>
  </property>
</Properties>
</file>