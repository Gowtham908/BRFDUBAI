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50"/>
  </bookViews>
  <sheets>
    <sheet name="BRF95_5" sheetId="1" r:id="rId1"/>
  </sheets>
  <definedNames>
    <definedName name="_xlnm.Print_Area" localSheetId="0">BRF95_5!$B$2:$I$82</definedName>
  </definedNames>
  <calcPr calcId="144525"/>
</workbook>
</file>

<file path=xl/comments1.xml><?xml version="1.0" encoding="utf-8"?>
<comments xmlns="http://schemas.openxmlformats.org/spreadsheetml/2006/main">
  <authors>
    <author>Rahim Abdurahiman Kutty</author>
  </authors>
  <commentList>
    <comment ref="I34" authorId="0">
      <text>
        <r>
          <rPr>
            <b/>
            <sz val="9"/>
            <rFont val="Tahoma"/>
            <charset val="0"/>
          </rPr>
          <t>Formula Change</t>
        </r>
        <r>
          <rPr>
            <sz val="9"/>
            <rFont val="Tahoma"/>
            <charset val="0"/>
          </rPr>
          <t xml:space="preserve">
</t>
        </r>
      </text>
    </comment>
    <comment ref="I53" authorId="0">
      <text>
        <r>
          <rPr>
            <b/>
            <sz val="9"/>
            <rFont val="Tahoma"/>
            <charset val="0"/>
          </rPr>
          <t>Enable the cell to input as the framework will be in force from  Q2/2022 reporting</t>
        </r>
      </text>
    </comment>
  </commentList>
</comments>
</file>

<file path=xl/sharedStrings.xml><?xml version="1.0" encoding="utf-8"?>
<sst xmlns="http://schemas.openxmlformats.org/spreadsheetml/2006/main" count="261" uniqueCount="230">
  <si>
    <t xml:space="preserve">      BANKING  RETURN FORMS - COMPUTATION OF CAPITAL ADEQUACY RATIO (CAR) AS PER BASEL III- BRF 95 (AED 000)</t>
  </si>
  <si>
    <t>ID:</t>
  </si>
  <si>
    <t>4-95-5-0</t>
  </si>
  <si>
    <t>BANK</t>
  </si>
  <si>
    <t>Bank of Baroda</t>
  </si>
  <si>
    <t>As On</t>
  </si>
  <si>
    <t>No.</t>
  </si>
  <si>
    <t xml:space="preserve"> Minimum Capital Requirements</t>
  </si>
  <si>
    <t>Ratios</t>
  </si>
  <si>
    <t>Bank's Capital Ratio</t>
  </si>
  <si>
    <t>Common Equity Tier 1 Capital Ratio</t>
  </si>
  <si>
    <t>Tier 1 Capital Ratio</t>
  </si>
  <si>
    <t>2.1.1</t>
  </si>
  <si>
    <t>Additional Tier 1 Ratio</t>
  </si>
  <si>
    <t>Total Capital Ratio</t>
  </si>
  <si>
    <t>Aggregated Buffer requirement (effective CCB)</t>
  </si>
  <si>
    <t>2.2.1</t>
  </si>
  <si>
    <t>Tier 2 Ratio</t>
  </si>
  <si>
    <t>1.4.1</t>
  </si>
  <si>
    <t>Capital Conservation Buffer (CCB)</t>
  </si>
  <si>
    <t>1.4.2.1</t>
  </si>
  <si>
    <t>Countercyclical Buffer (CCyB) for exposures within the UAE</t>
  </si>
  <si>
    <t>CET1 available for the buffer requirement</t>
  </si>
  <si>
    <t>1.4.2.2</t>
  </si>
  <si>
    <r>
      <t xml:space="preserve">Effective Countercyclical Buffer (CCyB) of the bank
</t>
    </r>
    <r>
      <rPr>
        <sz val="8"/>
        <color indexed="10"/>
        <rFont val="Arial"/>
        <family val="2"/>
        <charset val="0"/>
      </rPr>
      <t>(All banks need to amend this ratio based on CCyB as per Capital Supply Standard)</t>
    </r>
  </si>
  <si>
    <t>Buffer quartile</t>
  </si>
  <si>
    <t>1.4.3</t>
  </si>
  <si>
    <r>
      <t xml:space="preserve">Domestic Systemically Important Bank Buffer
</t>
    </r>
    <r>
      <rPr>
        <sz val="8"/>
        <color indexed="10"/>
        <rFont val="Arial"/>
        <family val="2"/>
        <charset val="0"/>
      </rPr>
      <t>(DSIB banks need to change this accordingly)</t>
    </r>
  </si>
  <si>
    <t>Supervisory Capital Guidance (SCG): Minimum Capital Requirements</t>
  </si>
  <si>
    <r>
      <t xml:space="preserve">Supervisory Capital Guidance incl. SCG
</t>
    </r>
    <r>
      <rPr>
        <sz val="8"/>
        <color indexed="10"/>
        <rFont val="Arial"/>
        <family val="2"/>
        <charset val="0"/>
      </rPr>
      <t>(All banks need to amend this ratio as per Capital Supply Standard)</t>
    </r>
  </si>
  <si>
    <t>Common Equity Tier 1 Capital Ratio incl. SCG</t>
  </si>
  <si>
    <t>Buffer Quartile</t>
  </si>
  <si>
    <t>Tier 1 Capital Ratio incl. SCG</t>
  </si>
  <si>
    <t>Total Capital Ratio incl. SCG</t>
  </si>
  <si>
    <t>Details</t>
  </si>
  <si>
    <t>Amount</t>
  </si>
  <si>
    <t>Total Eligible Capital</t>
  </si>
  <si>
    <t>Tier 2 (T2) Capital</t>
  </si>
  <si>
    <t>Common Equity Tier 1 (CET1) Capital</t>
  </si>
  <si>
    <t>5.3.1</t>
  </si>
  <si>
    <t>Perpetual equity instruments, not included in Tier 1 capital</t>
  </si>
  <si>
    <t>5.1.1</t>
  </si>
  <si>
    <t>Share Capital</t>
  </si>
  <si>
    <t>5.3.2</t>
  </si>
  <si>
    <t>Share premium, resulting from the issue of T2 capital.</t>
  </si>
  <si>
    <t>5.1.2</t>
  </si>
  <si>
    <t>Share premium account</t>
  </si>
  <si>
    <t>5.3.3</t>
  </si>
  <si>
    <r>
      <t xml:space="preserve">Instruments which are eligible for inclusion of Tier 2 e.g. subordinated loan (After Grandfathering and/or Amortisation)
</t>
    </r>
    <r>
      <rPr>
        <sz val="8"/>
        <color indexed="10"/>
        <rFont val="Arial"/>
        <family val="2"/>
        <charset val="0"/>
      </rPr>
      <t>(All banks need to enter total original issuance amount AFTER Grandfathering/Amortisation, if any)</t>
    </r>
  </si>
  <si>
    <t>5.1.3</t>
  </si>
  <si>
    <t>Eligible Reserves</t>
  </si>
  <si>
    <t>5.3.3.1</t>
  </si>
  <si>
    <r>
      <t xml:space="preserve">Instruments which are eligible for inclusion of Tier 2  (Before Grandfathering and/or Amortisation)
</t>
    </r>
    <r>
      <rPr>
        <sz val="8"/>
        <color indexed="10"/>
        <rFont val="Arial"/>
        <family val="2"/>
        <charset val="0"/>
      </rPr>
      <t>(All banks need to enter total original issuance amount BEFORE Grandfathering/Amortisation, if any)</t>
    </r>
  </si>
  <si>
    <t>5.1.3.1</t>
  </si>
  <si>
    <t>Legal Reserves (Art. 82 Union Law No. 10)</t>
  </si>
  <si>
    <t>5.3.4</t>
  </si>
  <si>
    <t xml:space="preserve">Eligible amount of minority interest </t>
  </si>
  <si>
    <t>5.1.3.2</t>
  </si>
  <si>
    <t>Statutory Reserves (Art. 192 Union Law No. 8)</t>
  </si>
  <si>
    <t>5.3.5</t>
  </si>
  <si>
    <t>Eligible general provision (max 1.25% of CRWA under standardised approach)
(Note 3)</t>
  </si>
  <si>
    <t>5.1.3.3</t>
  </si>
  <si>
    <t>Accumulated other comprehensive income (Note 1)</t>
  </si>
  <si>
    <t>Total T2 capital after the regulatory adjustments</t>
  </si>
  <si>
    <t>5.1.3.4</t>
  </si>
  <si>
    <t>Other Disclosed Reserves (e.g. General Reserves, Other Reserves)</t>
  </si>
  <si>
    <t>Total Risk Weighted Assets - Pillar 1</t>
  </si>
  <si>
    <t>5.1.4</t>
  </si>
  <si>
    <t>Retained Earnings / (-) Loss</t>
  </si>
  <si>
    <t>Credit Risk Standardised approach (CSA)</t>
  </si>
  <si>
    <t>5.1.4.1</t>
  </si>
  <si>
    <t>Accumulated Retained Earnings / (-) Loss</t>
  </si>
  <si>
    <t>6.1.1</t>
  </si>
  <si>
    <t>Sovereigns</t>
  </si>
  <si>
    <t>5.1.4.2</t>
  </si>
  <si>
    <t xml:space="preserve">Audited/Reviewed current year profits / (-) Current financial year loss
</t>
  </si>
  <si>
    <t>6.1.2</t>
  </si>
  <si>
    <t>Public Sector Enterprises (Including Government Related Enterprises)</t>
  </si>
  <si>
    <t>5.1.4.3</t>
  </si>
  <si>
    <t>Dividend Expected/Proposed</t>
  </si>
  <si>
    <t>6.1.2.1</t>
  </si>
  <si>
    <t>PSEs treated as claims on Sovereign</t>
  </si>
  <si>
    <t>5.1.4.4</t>
  </si>
  <si>
    <r>
      <t xml:space="preserve">IFRS transitional arrangement: Partial addback of ECL impact to CET1 
</t>
    </r>
    <r>
      <rPr>
        <sz val="8"/>
        <color indexed="10"/>
        <rFont val="Arial"/>
        <family val="2"/>
        <charset val="0"/>
      </rPr>
      <t>(MANDATORY)</t>
    </r>
  </si>
  <si>
    <t>6.1.2.2</t>
  </si>
  <si>
    <t>PSEs treated as claims on Banks</t>
  </si>
  <si>
    <t>5.1.4.5</t>
  </si>
  <si>
    <t>CBUAE Regulatory deductions: (e.g.amount exceeding Large Exposure threshold)</t>
  </si>
  <si>
    <t>6.1.2.3</t>
  </si>
  <si>
    <t xml:space="preserve">PSEs treated as claims on Corporates </t>
  </si>
  <si>
    <t>5.1.5</t>
  </si>
  <si>
    <t>6.1.3</t>
  </si>
  <si>
    <t>Multilateral Development Banks</t>
  </si>
  <si>
    <t>5.1.6</t>
  </si>
  <si>
    <t>Capital shortfall of consolidated subsidiaries</t>
  </si>
  <si>
    <t>6.1.4</t>
  </si>
  <si>
    <t>Banks</t>
  </si>
  <si>
    <t>5.1.7</t>
  </si>
  <si>
    <t>Capital shortfall of non- consolidated subsidiaries</t>
  </si>
  <si>
    <t>6.1.5</t>
  </si>
  <si>
    <t>Securities Firms</t>
  </si>
  <si>
    <t>CET1 Capital (prior to regulatory deductions)</t>
  </si>
  <si>
    <t>6.1.6</t>
  </si>
  <si>
    <t xml:space="preserve">Corporates </t>
  </si>
  <si>
    <t>5.1.8</t>
  </si>
  <si>
    <t>Regulatory deductions:</t>
  </si>
  <si>
    <t>6.1.7</t>
  </si>
  <si>
    <t>Retail: Individuals and Small SMEs</t>
  </si>
  <si>
    <t>5.1.8.1</t>
  </si>
  <si>
    <t>Goodwill and other intangibles (including mortgage servicing rights)</t>
  </si>
  <si>
    <t>6.1.8</t>
  </si>
  <si>
    <t>Secured by residential property</t>
  </si>
  <si>
    <t>5.1.8.2</t>
  </si>
  <si>
    <t>Deferred tax assets</t>
  </si>
  <si>
    <t>6.1.9</t>
  </si>
  <si>
    <t>Secured by commercial real estate</t>
  </si>
  <si>
    <t>5.1.8.3</t>
  </si>
  <si>
    <t>Cash flow hedge reserve</t>
  </si>
  <si>
    <t>6.1.10</t>
  </si>
  <si>
    <t>Past due items</t>
  </si>
  <si>
    <t>5.1.8.4</t>
  </si>
  <si>
    <t>Gain on sale related to securitisation transactions</t>
  </si>
  <si>
    <t>6.1.11</t>
  </si>
  <si>
    <t>Items belonging to regulatory high-risk categories</t>
  </si>
  <si>
    <t>5.1.8.5</t>
  </si>
  <si>
    <t>Cumulative gains and losses due to changes in own credit risk on fair valued financial liabilities</t>
  </si>
  <si>
    <t>6.1.12</t>
  </si>
  <si>
    <t>Other assets</t>
  </si>
  <si>
    <t>5.1.8.6</t>
  </si>
  <si>
    <t>Defined benefit pension fund assets and liabilities</t>
  </si>
  <si>
    <t>CSA securitisation exposures - based on old Basel II framework valid till Q3/2021</t>
  </si>
  <si>
    <t>5.1.8.7</t>
  </si>
  <si>
    <t>Investments in own CET1 (e.g.treasury stock)</t>
  </si>
  <si>
    <t>6.1.13</t>
  </si>
  <si>
    <t>Credit Derivatives (Protection seller)</t>
  </si>
  <si>
    <t>5.1.8.8</t>
  </si>
  <si>
    <t>Reciprocal cross holdings in banking, financial and insurance entities</t>
  </si>
  <si>
    <t>6.1.14</t>
  </si>
  <si>
    <t>Settlement Risk (SR1)</t>
  </si>
  <si>
    <t>5.1.8.8.1</t>
  </si>
  <si>
    <t>Reciprocal cross holdings in the CET1 of banking, financial and insurance entities</t>
  </si>
  <si>
    <t>6.1.15</t>
  </si>
  <si>
    <t>CVA Risk</t>
  </si>
  <si>
    <t>5.1.8.8.2</t>
  </si>
  <si>
    <t>Reciprocal cross holdings in the AT1 of banking, financial and insurance entities</t>
  </si>
  <si>
    <t>6.1.16</t>
  </si>
  <si>
    <t xml:space="preserve">Equity Investment in Funds (EIF) </t>
  </si>
  <si>
    <t>5.1.8.8.3</t>
  </si>
  <si>
    <t>Reciprocal cross holdings in the T2 of banking, financial and insurance entities</t>
  </si>
  <si>
    <t>6.1.17</t>
  </si>
  <si>
    <t>Securitization (SEC)</t>
  </si>
  <si>
    <t>Total CET 1 capital after the regulatory adjustments above (CET1 A)</t>
  </si>
  <si>
    <t>Market Risk -  Standardised approaches (SA)</t>
  </si>
  <si>
    <t>5.1.8.9</t>
  </si>
  <si>
    <t>Deduction: Investments in banking, financial and insurance entities where ownership is &lt; 10% of issued common share capital  (amount above 10% CET1 A)</t>
  </si>
  <si>
    <t>6.2.1</t>
  </si>
  <si>
    <t>Interest Rate in the Trading Book</t>
  </si>
  <si>
    <t>5.1.8.9.1</t>
  </si>
  <si>
    <t>Proportion of investment in CET1  above 10% CET1 A</t>
  </si>
  <si>
    <t>6.2.2</t>
  </si>
  <si>
    <t>Foreign Exchange</t>
  </si>
  <si>
    <t>5.1.8.9.2</t>
  </si>
  <si>
    <t>Proportion of investment in AT1  above 10% CET1 A</t>
  </si>
  <si>
    <t>6.2.3</t>
  </si>
  <si>
    <t>Equity</t>
  </si>
  <si>
    <t>5.1.8.9.3</t>
  </si>
  <si>
    <t>Proportion of investment in T2  above 10% CET1 A</t>
  </si>
  <si>
    <t>6.2.4</t>
  </si>
  <si>
    <t>Commodities</t>
  </si>
  <si>
    <t>Total CET1 after the regulatory adjustments above (CET1 B)</t>
  </si>
  <si>
    <t>6.2.5</t>
  </si>
  <si>
    <t>Option</t>
  </si>
  <si>
    <t>5.1.8.10</t>
  </si>
  <si>
    <t>Deduction: Not common share Investments in banking, financial and insurance entities where ownership is &gt;10% of the issued common share capital (Meet the criteria of CET1, AT1, &amp; T2)</t>
  </si>
  <si>
    <t>Operational Risk</t>
  </si>
  <si>
    <t>5.1.8.10.1</t>
  </si>
  <si>
    <t>6.3.1</t>
  </si>
  <si>
    <t>OpRisk Basic indicator approach (BIA)</t>
  </si>
  <si>
    <t>5.1.8.10.2</t>
  </si>
  <si>
    <t>6.3.2</t>
  </si>
  <si>
    <t>OpRisk Standardised (STA) / Alternative Standardised (ASA) approaches</t>
  </si>
  <si>
    <t>5.1.8.10.3</t>
  </si>
  <si>
    <t>MEMORANDUM ITEMS:</t>
  </si>
  <si>
    <t>Total CET1 after the regulatory adjustments above (CET1 C)</t>
  </si>
  <si>
    <t>Pillar 2 Ratio</t>
  </si>
  <si>
    <t>5.1.9</t>
  </si>
  <si>
    <t>Threshold deductions:</t>
  </si>
  <si>
    <t>7.1.1</t>
  </si>
  <si>
    <t>Internal assessment Surplus (+) / Deficit (-) of capital from ICAAP</t>
  </si>
  <si>
    <t>5.1.9.1</t>
  </si>
  <si>
    <t>Deduction: Significant investments in the common share of banking, financial and insurance entities (amount above 10% of CET1 C)</t>
  </si>
  <si>
    <t>7.1.2</t>
  </si>
  <si>
    <r>
      <t xml:space="preserve">Internal assessment of capital </t>
    </r>
    <r>
      <rPr>
        <b/>
        <sz val="8"/>
        <color indexed="8"/>
        <rFont val="Arial"/>
        <family val="2"/>
        <charset val="0"/>
      </rPr>
      <t>supply</t>
    </r>
  </si>
  <si>
    <t>5.1.9.2</t>
  </si>
  <si>
    <t>Deferred tax assets arising from temporary differences  (amount above 10% of CET1 C)</t>
  </si>
  <si>
    <t>7.1.3</t>
  </si>
  <si>
    <r>
      <t xml:space="preserve">Internal assessment of capital </t>
    </r>
    <r>
      <rPr>
        <b/>
        <sz val="8"/>
        <color indexed="8"/>
        <rFont val="Arial"/>
        <family val="2"/>
        <charset val="0"/>
      </rPr>
      <t>demand</t>
    </r>
  </si>
  <si>
    <t>Total CET1 after the regulatory adjustments above (CET1 D)</t>
  </si>
  <si>
    <t>Bank's Capital Ratio and RWA (without applying IFRS transitional arrangement 5.1.4.4)</t>
  </si>
  <si>
    <t>5.1.9.3</t>
  </si>
  <si>
    <t>Aggregated amount of exceeding the 17.65% of CET1* (Note 2)</t>
  </si>
  <si>
    <t>Total CET1 capital after the regulatory adjustments and threshdold deduction</t>
  </si>
  <si>
    <t>Additional Tier 1 (AT1) Capital</t>
  </si>
  <si>
    <t>5.2.1</t>
  </si>
  <si>
    <r>
      <t xml:space="preserve">Eligible AT1 capital (After Grandfathering and/or Amortisation)
</t>
    </r>
    <r>
      <rPr>
        <sz val="8"/>
        <color indexed="10"/>
        <rFont val="Arial"/>
        <family val="2"/>
        <charset val="0"/>
      </rPr>
      <t>(All banks need to enter total original issuance amount AFTER Grandfathering/Amortisation, if any)</t>
    </r>
  </si>
  <si>
    <t>5.2.1.1</t>
  </si>
  <si>
    <r>
      <t xml:space="preserve">AT capital (Before Grandfathering and/or Amortisation)
</t>
    </r>
    <r>
      <rPr>
        <sz val="8"/>
        <color indexed="10"/>
        <rFont val="Arial"/>
        <family val="2"/>
        <charset val="0"/>
      </rPr>
      <t>(All banks need to enter total original issuance amount BEFORE Grandfathering/Amortisation, if any)</t>
    </r>
  </si>
  <si>
    <t>NA</t>
  </si>
  <si>
    <t>5.2.2</t>
  </si>
  <si>
    <t>Share premium, resulting from the issue of AT1 capital.</t>
  </si>
  <si>
    <t>5.2.3</t>
  </si>
  <si>
    <t>Total AT1 capital after the regulatory adjustments</t>
  </si>
  <si>
    <t>Total Tier 1 Capital</t>
  </si>
  <si>
    <t xml:space="preserve">The amount of cumulative unrealized losses shall be fully deducted in the calculation of CET1 Capital.
Revaluation reserves or cumulative unrealized gains shall be added to CET 1 with a haircut of 55%.
The amount of cumulative unrealized gains arising from the changes in the fair value or revaluation of bank’s own premises and real estate investment are not allowed to be included as part of Asset Revaluation reserve for regulatory purposes.
</t>
  </si>
  <si>
    <t>Amount of CET1 = Total CET1 (prior to deduction) – All the deduction except the threshold deduction (i.e. all deduction outlined in para 44 to 67) minus the total amount of both DTA that rely on future profitability and arise from temporary difference and significant investments in the unconsolidated financial institutions.</t>
  </si>
  <si>
    <t>Note, that for example "Other unallocated provisions for impaired assets" as per BRF 2 (25.2.2) should not be part of general provision.</t>
  </si>
  <si>
    <t>UAE Capital Factor</t>
  </si>
  <si>
    <t>Buffer requirement</t>
  </si>
  <si>
    <t>Quartile</t>
  </si>
  <si>
    <t>Below minimum; 100% conservation</t>
  </si>
  <si>
    <t>1st quartile; 100% conservation</t>
  </si>
  <si>
    <t>2nd quartile; 80% conservation</t>
  </si>
  <si>
    <t>3rd quartile; 60% conservation</t>
  </si>
  <si>
    <t>4th quartile; 40% conservation</t>
  </si>
  <si>
    <t>Above buffer; 0% conservation</t>
  </si>
  <si>
    <t>Availbale capital above minimum requirements</t>
  </si>
  <si>
    <t>Freely availbale Tier capital</t>
  </si>
  <si>
    <t>CET1</t>
  </si>
  <si>
    <t>AT1</t>
  </si>
  <si>
    <t>Tier 2</t>
  </si>
</sst>
</file>

<file path=xl/styles.xml><?xml version="1.0" encoding="utf-8"?>
<styleSheet xmlns="http://schemas.openxmlformats.org/spreadsheetml/2006/main" xmlns:xr9="http://schemas.microsoft.com/office/spreadsheetml/2016/revision9">
  <numFmts count="10">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quot;x&quot;"/>
    <numFmt numFmtId="177" formatCode="0.00000"/>
    <numFmt numFmtId="178" formatCode="0.0000"/>
    <numFmt numFmtId="179" formatCode="#,##0.000"/>
    <numFmt numFmtId="180" formatCode="0.000"/>
    <numFmt numFmtId="181" formatCode="#,##0.00000"/>
  </numFmts>
  <fonts count="32">
    <font>
      <sz val="11"/>
      <color theme="1"/>
      <name val="Calibri"/>
      <family val="2"/>
      <charset val="0"/>
      <scheme val="minor"/>
    </font>
    <font>
      <sz val="11"/>
      <color theme="0"/>
      <name val="Calibri"/>
      <family val="2"/>
      <charset val="0"/>
      <scheme val="minor"/>
    </font>
    <font>
      <b/>
      <sz val="8"/>
      <color theme="1"/>
      <name val="Arial"/>
      <family val="2"/>
      <charset val="0"/>
    </font>
    <font>
      <sz val="8"/>
      <color theme="1"/>
      <name val="Arial"/>
      <family val="2"/>
      <charset val="0"/>
    </font>
    <font>
      <sz val="8"/>
      <name val="Arial"/>
      <family val="2"/>
      <charset val="0"/>
    </font>
    <font>
      <b/>
      <sz val="8"/>
      <color rgb="FFFF0000"/>
      <name val="Arial"/>
      <family val="2"/>
      <charset val="0"/>
    </font>
    <font>
      <b/>
      <sz val="8"/>
      <name val="Arial"/>
      <family val="2"/>
      <charset val="0"/>
    </font>
    <font>
      <sz val="8"/>
      <color theme="0"/>
      <name val="Arial"/>
      <family val="2"/>
      <charset val="0"/>
    </font>
    <font>
      <sz val="8"/>
      <color rgb="FFFF0000"/>
      <name val="Arial"/>
      <family val="2"/>
      <charset val="0"/>
    </font>
    <font>
      <u/>
      <sz val="11"/>
      <color rgb="FF0000FF"/>
      <name val="Calibri"/>
      <charset val="0"/>
      <scheme val="minor"/>
    </font>
    <font>
      <u/>
      <sz val="11"/>
      <color rgb="FF800080"/>
      <name val="Calibri"/>
      <charset val="0"/>
      <scheme val="minor"/>
    </font>
    <font>
      <sz val="11"/>
      <color rgb="FFFF0000"/>
      <name val="Calibri"/>
      <family val="2"/>
      <charset val="0"/>
      <scheme val="minor"/>
    </font>
    <font>
      <sz val="18"/>
      <color theme="3"/>
      <name val="Calibri Light"/>
      <family val="2"/>
      <charset val="0"/>
      <scheme val="major"/>
    </font>
    <font>
      <i/>
      <sz val="11"/>
      <color rgb="FF7F7F7F"/>
      <name val="Calibri"/>
      <family val="2"/>
      <charset val="0"/>
      <scheme val="minor"/>
    </font>
    <font>
      <b/>
      <sz val="15"/>
      <color theme="3"/>
      <name val="Calibri"/>
      <family val="2"/>
      <charset val="0"/>
      <scheme val="minor"/>
    </font>
    <font>
      <b/>
      <sz val="13"/>
      <color theme="3"/>
      <name val="Calibri"/>
      <family val="2"/>
      <charset val="0"/>
      <scheme val="minor"/>
    </font>
    <font>
      <b/>
      <sz val="11"/>
      <color theme="3"/>
      <name val="Calibri"/>
      <family val="2"/>
      <charset val="0"/>
      <scheme val="minor"/>
    </font>
    <font>
      <sz val="11"/>
      <color rgb="FF3F3F76"/>
      <name val="Calibri"/>
      <family val="2"/>
      <charset val="0"/>
      <scheme val="minor"/>
    </font>
    <font>
      <b/>
      <sz val="11"/>
      <color rgb="FF3F3F3F"/>
      <name val="Calibri"/>
      <family val="2"/>
      <charset val="0"/>
      <scheme val="minor"/>
    </font>
    <font>
      <b/>
      <sz val="11"/>
      <color rgb="FFFA7D00"/>
      <name val="Calibri"/>
      <family val="2"/>
      <charset val="0"/>
      <scheme val="minor"/>
    </font>
    <font>
      <b/>
      <sz val="11"/>
      <color theme="0"/>
      <name val="Calibri"/>
      <family val="2"/>
      <charset val="0"/>
      <scheme val="minor"/>
    </font>
    <font>
      <sz val="11"/>
      <color rgb="FFFA7D00"/>
      <name val="Calibri"/>
      <family val="2"/>
      <charset val="0"/>
      <scheme val="minor"/>
    </font>
    <font>
      <b/>
      <sz val="11"/>
      <color theme="1"/>
      <name val="Calibri"/>
      <family val="2"/>
      <charset val="0"/>
      <scheme val="minor"/>
    </font>
    <font>
      <sz val="11"/>
      <color rgb="FF006100"/>
      <name val="Calibri"/>
      <family val="2"/>
      <charset val="0"/>
      <scheme val="minor"/>
    </font>
    <font>
      <sz val="11"/>
      <color rgb="FF9C0006"/>
      <name val="Calibri"/>
      <family val="2"/>
      <charset val="0"/>
      <scheme val="minor"/>
    </font>
    <font>
      <sz val="11"/>
      <color rgb="FF9C6500"/>
      <name val="Calibri"/>
      <family val="2"/>
      <charset val="0"/>
      <scheme val="minor"/>
    </font>
    <font>
      <sz val="10"/>
      <name val="Arial"/>
      <family val="2"/>
      <charset val="0"/>
    </font>
    <font>
      <sz val="12"/>
      <name val="Arial"/>
      <family val="2"/>
      <charset val="0"/>
    </font>
    <font>
      <sz val="8"/>
      <color indexed="10"/>
      <name val="Arial"/>
      <family val="2"/>
      <charset val="0"/>
    </font>
    <font>
      <b/>
      <sz val="8"/>
      <color indexed="8"/>
      <name val="Arial"/>
      <family val="2"/>
      <charset val="0"/>
    </font>
    <font>
      <b/>
      <sz val="9"/>
      <name val="Tahoma"/>
      <charset val="0"/>
    </font>
    <font>
      <sz val="9"/>
      <name val="Tahoma"/>
      <charset val="0"/>
    </font>
  </fonts>
  <fills count="44">
    <fill>
      <patternFill patternType="none"/>
    </fill>
    <fill>
      <patternFill patternType="gray125"/>
    </fill>
    <fill>
      <patternFill patternType="solid">
        <fgColor theme="0" tint="-0.149998474074526"/>
        <bgColor rgb="FF000000"/>
      </patternFill>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249977111117893"/>
        <bgColor theme="0"/>
      </patternFill>
    </fill>
    <fill>
      <patternFill patternType="solid">
        <fgColor theme="0"/>
        <bgColor theme="0"/>
      </patternFill>
    </fill>
    <fill>
      <patternFill patternType="solid">
        <fgColor rgb="FFFFFF00"/>
        <bgColor indexed="64"/>
      </patternFill>
    </fill>
    <fill>
      <patternFill patternType="solid">
        <fgColor theme="0" tint="-0.0499893185216834"/>
        <bgColor theme="0"/>
      </patternFill>
    </fill>
    <fill>
      <patternFill patternType="solid">
        <fgColor theme="0" tint="-0.0499893185216834"/>
        <bgColor indexed="64"/>
      </patternFill>
    </fill>
    <fill>
      <patternFill patternType="solid">
        <fgColor rgb="FFFFFF00"/>
        <bgColor theme="0"/>
      </patternFill>
    </fill>
    <fill>
      <patternFill patternType="solid">
        <fgColor theme="8"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medium">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medium">
        <color auto="1"/>
      </left>
      <right style="thin">
        <color auto="1"/>
      </right>
      <top style="thin">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medium">
        <color auto="1"/>
      </top>
      <bottom/>
      <diagonal/>
    </border>
    <border>
      <left/>
      <right style="medium">
        <color auto="1"/>
      </right>
      <top/>
      <bottom/>
      <diagonal/>
    </border>
    <border>
      <left/>
      <right style="medium">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3" borderId="32" applyNumberFormat="0" applyFont="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33" applyNumberFormat="0" applyFill="0" applyAlignment="0" applyProtection="0"/>
    <xf numFmtId="0" fontId="15" fillId="0" borderId="34" applyNumberFormat="0" applyFill="0" applyAlignment="0" applyProtection="0"/>
    <xf numFmtId="0" fontId="16" fillId="0" borderId="35" applyNumberFormat="0" applyFill="0" applyAlignment="0" applyProtection="0"/>
    <xf numFmtId="0" fontId="16" fillId="0" borderId="0" applyNumberFormat="0" applyFill="0" applyBorder="0" applyAlignment="0" applyProtection="0"/>
    <xf numFmtId="0" fontId="17" fillId="14" borderId="36" applyNumberFormat="0" applyAlignment="0" applyProtection="0"/>
    <xf numFmtId="0" fontId="18" fillId="15" borderId="37" applyNumberFormat="0" applyAlignment="0" applyProtection="0"/>
    <xf numFmtId="0" fontId="19" fillId="15" borderId="36" applyNumberFormat="0" applyAlignment="0" applyProtection="0"/>
    <xf numFmtId="0" fontId="20" fillId="16" borderId="38" applyNumberFormat="0" applyAlignment="0" applyProtection="0"/>
    <xf numFmtId="0" fontId="21" fillId="0" borderId="39" applyNumberFormat="0" applyFill="0" applyAlignment="0" applyProtection="0"/>
    <xf numFmtId="0" fontId="22" fillId="0" borderId="40" applyNumberFormat="0" applyFill="0" applyAlignment="0" applyProtection="0"/>
    <xf numFmtId="0" fontId="23" fillId="17" borderId="0" applyNumberFormat="0" applyBorder="0" applyAlignment="0" applyProtection="0"/>
    <xf numFmtId="0" fontId="24" fillId="18" borderId="0" applyNumberFormat="0" applyBorder="0" applyAlignment="0" applyProtection="0"/>
    <xf numFmtId="0" fontId="25" fillId="19" borderId="0" applyNumberFormat="0" applyBorder="0" applyAlignment="0" applyProtection="0"/>
    <xf numFmtId="0" fontId="1" fillId="20" borderId="0" applyNumberFormat="0" applyBorder="0" applyAlignment="0" applyProtection="0"/>
    <xf numFmtId="0" fontId="0" fillId="21" borderId="0" applyNumberFormat="0" applyBorder="0" applyAlignment="0" applyProtection="0"/>
    <xf numFmtId="0" fontId="0"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0" fillId="25" borderId="0" applyNumberFormat="0" applyBorder="0" applyAlignment="0" applyProtection="0"/>
    <xf numFmtId="0" fontId="0"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0" fillId="29" borderId="0" applyNumberFormat="0" applyBorder="0" applyAlignment="0" applyProtection="0"/>
    <xf numFmtId="0" fontId="0"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0" fillId="33" borderId="0" applyNumberFormat="0" applyBorder="0" applyAlignment="0" applyProtection="0"/>
    <xf numFmtId="0" fontId="0"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0" fillId="37" borderId="0" applyNumberFormat="0" applyBorder="0" applyAlignment="0" applyProtection="0"/>
    <xf numFmtId="0" fontId="0"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0" fillId="41" borderId="0" applyNumberFormat="0" applyBorder="0" applyAlignment="0" applyProtection="0"/>
    <xf numFmtId="0" fontId="0" fillId="42" borderId="0" applyNumberFormat="0" applyBorder="0" applyAlignment="0" applyProtection="0"/>
    <xf numFmtId="0" fontId="1" fillId="43" borderId="0" applyNumberFormat="0" applyBorder="0" applyAlignment="0" applyProtection="0"/>
    <xf numFmtId="0" fontId="26" fillId="0" borderId="0"/>
    <xf numFmtId="37" fontId="27" fillId="0" borderId="0"/>
    <xf numFmtId="0" fontId="26" fillId="0" borderId="0"/>
    <xf numFmtId="0" fontId="26" fillId="0" borderId="0"/>
  </cellStyleXfs>
  <cellXfs count="128">
    <xf numFmtId="0" fontId="0" fillId="0" borderId="0" xfId="0"/>
    <xf numFmtId="0" fontId="1" fillId="0" borderId="0" xfId="0" applyFont="1"/>
    <xf numFmtId="0" fontId="2" fillId="2" borderId="1" xfId="51" applyFont="1" applyFill="1" applyBorder="1" applyAlignment="1" applyProtection="1">
      <alignment horizontal="center" vertical="center" wrapText="1"/>
    </xf>
    <xf numFmtId="0" fontId="2" fillId="2" borderId="2" xfId="51" applyFont="1" applyFill="1" applyBorder="1" applyAlignment="1" applyProtection="1">
      <alignment horizontal="center" vertical="center" wrapText="1"/>
    </xf>
    <xf numFmtId="0" fontId="2" fillId="3" borderId="3" xfId="49" applyFont="1" applyFill="1" applyBorder="1" applyAlignment="1" applyProtection="1"/>
    <xf numFmtId="0" fontId="3" fillId="0" borderId="4" xfId="0" applyFont="1" applyBorder="1" applyAlignment="1">
      <alignment horizontal="left"/>
    </xf>
    <xf numFmtId="0" fontId="3" fillId="0" borderId="5" xfId="0" applyFont="1" applyBorder="1" applyAlignment="1">
      <alignment horizontal="left"/>
    </xf>
    <xf numFmtId="0" fontId="2" fillId="0" borderId="6" xfId="51" applyFont="1" applyFill="1" applyBorder="1" applyAlignment="1" applyProtection="1">
      <alignment horizontal="center" vertical="center"/>
    </xf>
    <xf numFmtId="0" fontId="2" fillId="0" borderId="2" xfId="51" applyFont="1" applyFill="1" applyBorder="1" applyAlignment="1" applyProtection="1">
      <alignment horizontal="center" vertical="center"/>
    </xf>
    <xf numFmtId="15" fontId="2" fillId="3" borderId="3" xfId="50" applyNumberFormat="1" applyFont="1" applyFill="1" applyBorder="1" applyAlignment="1" applyProtection="1">
      <alignment horizontal="left"/>
    </xf>
    <xf numFmtId="0" fontId="2" fillId="0" borderId="7" xfId="51" applyFont="1" applyFill="1" applyBorder="1" applyAlignment="1" applyProtection="1">
      <alignment horizontal="center" vertical="center"/>
    </xf>
    <xf numFmtId="0" fontId="2" fillId="0" borderId="0" xfId="51" applyFont="1" applyFill="1" applyBorder="1" applyAlignment="1" applyProtection="1">
      <alignment horizontal="center" vertical="center"/>
    </xf>
    <xf numFmtId="37" fontId="2" fillId="3" borderId="3" xfId="50" applyFont="1" applyFill="1" applyBorder="1" applyProtection="1"/>
    <xf numFmtId="0" fontId="2" fillId="0" borderId="8" xfId="51" applyFont="1" applyFill="1" applyBorder="1" applyAlignment="1" applyProtection="1">
      <alignment horizontal="center" vertical="center"/>
    </xf>
    <xf numFmtId="0" fontId="2" fillId="0" borderId="9" xfId="51" applyFont="1" applyFill="1" applyBorder="1" applyAlignment="1" applyProtection="1">
      <alignment horizontal="center" vertical="center"/>
    </xf>
    <xf numFmtId="0" fontId="2" fillId="0" borderId="10" xfId="51" applyFont="1" applyFill="1" applyBorder="1" applyAlignment="1" applyProtection="1">
      <alignment horizontal="center" vertical="center"/>
    </xf>
    <xf numFmtId="0" fontId="2" fillId="0" borderId="11" xfId="51" applyFont="1" applyFill="1" applyBorder="1" applyAlignment="1" applyProtection="1">
      <alignment horizontal="center" vertical="center"/>
    </xf>
    <xf numFmtId="0" fontId="3" fillId="0" borderId="0" xfId="51" applyFont="1" applyFill="1" applyBorder="1" applyAlignment="1" applyProtection="1">
      <alignment vertical="center"/>
    </xf>
    <xf numFmtId="176" fontId="3" fillId="0" borderId="0" xfId="51" applyNumberFormat="1" applyFont="1" applyFill="1" applyBorder="1" applyAlignment="1" applyProtection="1">
      <alignment horizontal="center" vertical="center"/>
    </xf>
    <xf numFmtId="0" fontId="3" fillId="0" borderId="0" xfId="51" applyFont="1" applyBorder="1" applyAlignment="1" applyProtection="1">
      <alignment vertical="center"/>
    </xf>
    <xf numFmtId="0" fontId="2" fillId="4" borderId="12" xfId="51" applyFont="1" applyFill="1" applyBorder="1" applyAlignment="1" applyProtection="1">
      <alignment horizontal="center" vertical="center" wrapText="1"/>
    </xf>
    <xf numFmtId="0" fontId="2" fillId="4" borderId="13" xfId="51" applyFont="1" applyFill="1" applyBorder="1" applyAlignment="1" applyProtection="1">
      <alignment horizontal="center" vertical="center" wrapText="1"/>
    </xf>
    <xf numFmtId="0" fontId="2" fillId="4" borderId="14" xfId="51" applyFont="1" applyFill="1" applyBorder="1" applyAlignment="1" applyProtection="1">
      <alignment horizontal="center" vertical="center" wrapText="1"/>
    </xf>
    <xf numFmtId="0" fontId="2" fillId="4" borderId="15" xfId="51" applyFont="1" applyFill="1" applyBorder="1" applyAlignment="1" applyProtection="1">
      <alignment horizontal="center" vertical="center" wrapText="1"/>
    </xf>
    <xf numFmtId="0" fontId="2" fillId="5" borderId="3" xfId="51" applyFont="1" applyFill="1" applyBorder="1" applyAlignment="1" applyProtection="1">
      <alignment horizontal="center" vertical="center" wrapText="1"/>
    </xf>
    <xf numFmtId="0" fontId="3" fillId="5" borderId="16" xfId="51" applyNumberFormat="1" applyFont="1" applyFill="1" applyBorder="1" applyAlignment="1" applyProtection="1">
      <alignment horizontal="center" vertical="center" wrapText="1"/>
    </xf>
    <xf numFmtId="0" fontId="3" fillId="5" borderId="16" xfId="51" applyFont="1" applyFill="1" applyBorder="1" applyAlignment="1" applyProtection="1">
      <alignment horizontal="left" vertical="center" wrapText="1"/>
    </xf>
    <xf numFmtId="177" fontId="3" fillId="6" borderId="16" xfId="3" applyNumberFormat="1" applyFont="1" applyFill="1" applyBorder="1" applyAlignment="1" applyProtection="1">
      <alignment horizontal="center" vertical="center" wrapText="1"/>
    </xf>
    <xf numFmtId="0" fontId="2" fillId="5" borderId="16" xfId="51" applyFont="1" applyFill="1" applyBorder="1" applyAlignment="1" applyProtection="1">
      <alignment horizontal="center" vertical="center" wrapText="1"/>
    </xf>
    <xf numFmtId="0" fontId="3" fillId="5" borderId="5" xfId="51" applyNumberFormat="1" applyFont="1" applyFill="1" applyBorder="1" applyAlignment="1" applyProtection="1">
      <alignment horizontal="center" vertical="center" wrapText="1"/>
    </xf>
    <xf numFmtId="0" fontId="2" fillId="5" borderId="3" xfId="52" applyFont="1" applyFill="1" applyBorder="1" applyAlignment="1" applyProtection="1">
      <alignment horizontal="center" vertical="center" wrapText="1"/>
    </xf>
    <xf numFmtId="0" fontId="3" fillId="5" borderId="16" xfId="52" applyNumberFormat="1" applyFont="1" applyFill="1" applyBorder="1" applyAlignment="1" applyProtection="1">
      <alignment horizontal="center" vertical="center" wrapText="1"/>
    </xf>
    <xf numFmtId="0" fontId="3" fillId="5" borderId="16" xfId="52" applyFont="1" applyFill="1" applyBorder="1" applyAlignment="1" applyProtection="1">
      <alignment horizontal="left" vertical="center" wrapText="1"/>
    </xf>
    <xf numFmtId="177" fontId="3" fillId="7" borderId="16" xfId="3" applyNumberFormat="1" applyFont="1" applyFill="1" applyBorder="1" applyAlignment="1" applyProtection="1">
      <alignment horizontal="center" vertical="center" wrapText="1"/>
      <protection locked="0"/>
    </xf>
    <xf numFmtId="0" fontId="3" fillId="5" borderId="17" xfId="51" applyNumberFormat="1" applyFont="1" applyFill="1" applyBorder="1" applyAlignment="1" applyProtection="1">
      <alignment horizontal="center" vertical="center" wrapText="1"/>
    </xf>
    <xf numFmtId="0" fontId="3" fillId="5" borderId="17" xfId="51" applyFont="1" applyFill="1" applyBorder="1" applyAlignment="1" applyProtection="1">
      <alignment horizontal="left" vertical="center" wrapText="1"/>
    </xf>
    <xf numFmtId="0" fontId="2" fillId="5" borderId="18" xfId="51" applyFont="1" applyFill="1" applyBorder="1" applyAlignment="1" applyProtection="1">
      <alignment horizontal="center" vertical="center" wrapText="1"/>
    </xf>
    <xf numFmtId="0" fontId="3" fillId="5" borderId="19" xfId="51" applyNumberFormat="1" applyFont="1" applyFill="1" applyBorder="1" applyAlignment="1" applyProtection="1">
      <alignment horizontal="center" vertical="center" wrapText="1"/>
    </xf>
    <xf numFmtId="177" fontId="3" fillId="7" borderId="19" xfId="3" applyNumberFormat="1" applyFont="1" applyFill="1" applyBorder="1" applyAlignment="1" applyProtection="1">
      <alignment horizontal="center" vertical="center" wrapText="1"/>
      <protection locked="0"/>
    </xf>
    <xf numFmtId="0" fontId="2" fillId="5" borderId="19" xfId="51" applyFont="1" applyFill="1" applyBorder="1" applyAlignment="1" applyProtection="1">
      <alignment horizontal="center" vertical="center" wrapText="1"/>
    </xf>
    <xf numFmtId="0" fontId="3" fillId="5" borderId="19" xfId="51" applyFont="1" applyFill="1" applyBorder="1" applyAlignment="1" applyProtection="1">
      <alignment horizontal="left" vertical="center" wrapText="1"/>
    </xf>
    <xf numFmtId="0" fontId="2" fillId="5" borderId="20" xfId="51" applyFont="1" applyFill="1" applyBorder="1" applyAlignment="1" applyProtection="1">
      <alignment horizontal="center" vertical="center" wrapText="1"/>
    </xf>
    <xf numFmtId="49" fontId="3" fillId="5" borderId="0" xfId="51" applyNumberFormat="1" applyFont="1" applyFill="1" applyBorder="1" applyAlignment="1" applyProtection="1">
      <alignment horizontal="left" vertical="center" wrapText="1"/>
    </xf>
    <xf numFmtId="0" fontId="3" fillId="5" borderId="0" xfId="51" applyFont="1" applyFill="1" applyBorder="1" applyAlignment="1" applyProtection="1">
      <alignment horizontal="left" vertical="center" wrapText="1"/>
    </xf>
    <xf numFmtId="177" fontId="3" fillId="7" borderId="0" xfId="3" applyNumberFormat="1" applyFont="1" applyFill="1" applyBorder="1" applyAlignment="1" applyProtection="1">
      <alignment horizontal="center" vertical="center" wrapText="1"/>
    </xf>
    <xf numFmtId="0" fontId="2" fillId="5" borderId="0" xfId="51" applyFont="1" applyFill="1" applyBorder="1" applyAlignment="1" applyProtection="1">
      <alignment horizontal="center" vertical="center" wrapText="1"/>
    </xf>
    <xf numFmtId="177" fontId="2" fillId="4" borderId="15" xfId="51" applyNumberFormat="1" applyFont="1" applyFill="1" applyBorder="1" applyAlignment="1" applyProtection="1">
      <alignment horizontal="center" vertical="center" wrapText="1"/>
    </xf>
    <xf numFmtId="0" fontId="2" fillId="5" borderId="21" xfId="51" applyFont="1" applyFill="1" applyBorder="1" applyAlignment="1" applyProtection="1">
      <alignment horizontal="center" vertical="center" wrapText="1"/>
    </xf>
    <xf numFmtId="177" fontId="3" fillId="6" borderId="17" xfId="3" applyNumberFormat="1" applyFont="1" applyFill="1" applyBorder="1" applyAlignment="1" applyProtection="1">
      <alignment horizontal="center" vertical="center" wrapText="1"/>
    </xf>
    <xf numFmtId="0" fontId="2" fillId="5" borderId="17" xfId="51" applyFont="1" applyFill="1" applyBorder="1" applyAlignment="1" applyProtection="1">
      <alignment horizontal="center" vertical="center" wrapText="1"/>
    </xf>
    <xf numFmtId="177" fontId="3" fillId="6" borderId="19" xfId="3" applyNumberFormat="1" applyFont="1" applyFill="1" applyBorder="1" applyAlignment="1" applyProtection="1">
      <alignment horizontal="center" vertical="center" wrapText="1"/>
    </xf>
    <xf numFmtId="10" fontId="3" fillId="7" borderId="0" xfId="3" applyNumberFormat="1" applyFont="1" applyFill="1" applyBorder="1" applyAlignment="1" applyProtection="1">
      <alignment horizontal="center" vertical="center" wrapText="1"/>
    </xf>
    <xf numFmtId="0" fontId="2" fillId="4" borderId="22" xfId="51" applyFont="1" applyFill="1" applyBorder="1" applyAlignment="1" applyProtection="1">
      <alignment horizontal="center" vertical="center" wrapText="1"/>
    </xf>
    <xf numFmtId="0" fontId="2" fillId="4" borderId="3" xfId="51" applyFont="1" applyFill="1" applyBorder="1" applyAlignment="1" applyProtection="1">
      <alignment horizontal="center" vertical="center" wrapText="1"/>
    </xf>
    <xf numFmtId="0" fontId="2" fillId="4" borderId="4" xfId="51" applyFont="1" applyFill="1" applyBorder="1" applyAlignment="1" applyProtection="1">
      <alignment horizontal="left" vertical="center" wrapText="1"/>
    </xf>
    <xf numFmtId="0" fontId="2" fillId="4" borderId="5" xfId="51" applyFont="1" applyFill="1" applyBorder="1" applyAlignment="1" applyProtection="1">
      <alignment horizontal="left" vertical="center" wrapText="1"/>
    </xf>
    <xf numFmtId="3" fontId="2" fillId="6" borderId="23" xfId="51" applyNumberFormat="1" applyFont="1" applyFill="1" applyBorder="1" applyAlignment="1" applyProtection="1">
      <alignment horizontal="center" vertical="center" wrapText="1"/>
    </xf>
    <xf numFmtId="0" fontId="2" fillId="4" borderId="5" xfId="51" applyFont="1" applyFill="1" applyBorder="1" applyAlignment="1" applyProtection="1">
      <alignment horizontal="center" vertical="center" wrapText="1"/>
    </xf>
    <xf numFmtId="0" fontId="2" fillId="5" borderId="5" xfId="51" applyFont="1" applyFill="1" applyBorder="1" applyAlignment="1" applyProtection="1">
      <alignment horizontal="center" vertical="center" wrapText="1"/>
    </xf>
    <xf numFmtId="49" fontId="3" fillId="5" borderId="16" xfId="51" applyNumberFormat="1" applyFont="1" applyFill="1" applyBorder="1" applyAlignment="1" applyProtection="1">
      <alignment horizontal="left" vertical="center" wrapText="1"/>
    </xf>
    <xf numFmtId="3" fontId="3" fillId="7" borderId="23" xfId="51" applyNumberFormat="1" applyFont="1" applyFill="1" applyBorder="1" applyAlignment="1" applyProtection="1">
      <alignment horizontal="center" vertical="center" wrapText="1"/>
      <protection locked="0"/>
    </xf>
    <xf numFmtId="49" fontId="3" fillId="4" borderId="16" xfId="51" applyNumberFormat="1" applyFont="1" applyFill="1" applyBorder="1" applyAlignment="1" applyProtection="1">
      <alignment horizontal="left" vertical="center" wrapText="1"/>
    </xf>
    <xf numFmtId="0" fontId="3" fillId="4" borderId="16" xfId="51" applyFont="1" applyFill="1" applyBorder="1" applyAlignment="1" applyProtection="1">
      <alignment horizontal="left" vertical="center" wrapText="1"/>
    </xf>
    <xf numFmtId="3" fontId="3" fillId="6" borderId="23" xfId="51" applyNumberFormat="1" applyFont="1" applyFill="1" applyBorder="1" applyAlignment="1" applyProtection="1">
      <alignment horizontal="center" vertical="center" wrapText="1"/>
    </xf>
    <xf numFmtId="0" fontId="2" fillId="4" borderId="4" xfId="51" applyFont="1" applyFill="1" applyBorder="1" applyAlignment="1" applyProtection="1">
      <alignment vertical="center" wrapText="1"/>
    </xf>
    <xf numFmtId="49" fontId="3" fillId="5" borderId="16" xfId="51" applyNumberFormat="1" applyFont="1" applyFill="1" applyBorder="1" applyAlignment="1" applyProtection="1">
      <alignment horizontal="center" vertical="center" wrapText="1"/>
    </xf>
    <xf numFmtId="49" fontId="2" fillId="4" borderId="5" xfId="51" applyNumberFormat="1" applyFont="1" applyFill="1" applyBorder="1" applyAlignment="1" applyProtection="1">
      <alignment vertical="center" wrapText="1"/>
    </xf>
    <xf numFmtId="0" fontId="4" fillId="5" borderId="16" xfId="51" applyFont="1" applyFill="1" applyBorder="1" applyAlignment="1" applyProtection="1">
      <alignment horizontal="left" vertical="center" wrapText="1"/>
    </xf>
    <xf numFmtId="49" fontId="4" fillId="8" borderId="16" xfId="51" applyNumberFormat="1" applyFont="1" applyFill="1" applyBorder="1" applyAlignment="1" applyProtection="1">
      <alignment horizontal="center" vertical="center" wrapText="1"/>
    </xf>
    <xf numFmtId="0" fontId="4" fillId="8" borderId="16" xfId="51" applyFont="1" applyFill="1" applyBorder="1" applyAlignment="1" applyProtection="1">
      <alignment horizontal="left" vertical="center" wrapText="1"/>
    </xf>
    <xf numFmtId="0" fontId="3" fillId="5" borderId="5" xfId="51" applyFont="1" applyFill="1" applyBorder="1" applyAlignment="1" applyProtection="1">
      <alignment horizontal="left" vertical="center" wrapText="1"/>
    </xf>
    <xf numFmtId="0" fontId="2" fillId="2" borderId="24" xfId="51" applyFont="1" applyFill="1" applyBorder="1" applyAlignment="1" applyProtection="1">
      <alignment horizontal="center" vertical="center" wrapText="1"/>
    </xf>
    <xf numFmtId="0" fontId="2" fillId="0" borderId="24" xfId="51" applyFont="1" applyFill="1" applyBorder="1" applyAlignment="1" applyProtection="1">
      <alignment horizontal="center" vertical="center"/>
    </xf>
    <xf numFmtId="0" fontId="2" fillId="0" borderId="25" xfId="51" applyFont="1" applyFill="1" applyBorder="1" applyAlignment="1" applyProtection="1">
      <alignment horizontal="center" vertical="center"/>
    </xf>
    <xf numFmtId="0" fontId="2" fillId="0" borderId="26" xfId="51" applyFont="1" applyFill="1" applyBorder="1" applyAlignment="1" applyProtection="1">
      <alignment horizontal="center" vertical="center"/>
    </xf>
    <xf numFmtId="0" fontId="3" fillId="0" borderId="25" xfId="51" applyFont="1" applyBorder="1" applyAlignment="1" applyProtection="1">
      <alignment horizontal="center" vertical="center"/>
    </xf>
    <xf numFmtId="177" fontId="3" fillId="6" borderId="23" xfId="3" applyNumberFormat="1" applyFont="1" applyFill="1" applyBorder="1" applyAlignment="1" applyProtection="1">
      <alignment horizontal="center" vertical="center" wrapText="1"/>
    </xf>
    <xf numFmtId="177" fontId="3" fillId="4" borderId="27" xfId="3" applyNumberFormat="1" applyFont="1" applyFill="1" applyBorder="1" applyAlignment="1" applyProtection="1">
      <alignment horizontal="center" vertical="center" wrapText="1"/>
    </xf>
    <xf numFmtId="177" fontId="3" fillId="7" borderId="28" xfId="3" applyNumberFormat="1" applyFont="1" applyFill="1" applyBorder="1" applyAlignment="1" applyProtection="1">
      <alignment horizontal="center" vertical="center" wrapText="1"/>
    </xf>
    <xf numFmtId="177" fontId="3" fillId="7" borderId="25" xfId="3" applyNumberFormat="1" applyFont="1" applyFill="1" applyBorder="1" applyAlignment="1" applyProtection="1">
      <alignment horizontal="center" vertical="center" wrapText="1"/>
    </xf>
    <xf numFmtId="177" fontId="2" fillId="4" borderId="22" xfId="51" applyNumberFormat="1" applyFont="1" applyFill="1" applyBorder="1" applyAlignment="1" applyProtection="1">
      <alignment horizontal="center" vertical="center" wrapText="1"/>
    </xf>
    <xf numFmtId="10" fontId="3" fillId="9" borderId="23" xfId="3" applyNumberFormat="1" applyFont="1" applyFill="1" applyBorder="1" applyAlignment="1" applyProtection="1">
      <alignment horizontal="center" vertical="center" wrapText="1"/>
    </xf>
    <xf numFmtId="178" fontId="3" fillId="10" borderId="27" xfId="51" applyNumberFormat="1" applyFont="1" applyFill="1" applyBorder="1" applyAlignment="1" applyProtection="1">
      <alignment horizontal="center" vertical="center" wrapText="1"/>
    </xf>
    <xf numFmtId="178" fontId="3" fillId="10" borderId="28" xfId="51" applyNumberFormat="1" applyFont="1" applyFill="1" applyBorder="1" applyAlignment="1" applyProtection="1">
      <alignment horizontal="center" vertical="center" wrapText="1"/>
    </xf>
    <xf numFmtId="10" fontId="3" fillId="7" borderId="25" xfId="3" applyNumberFormat="1" applyFont="1" applyFill="1" applyBorder="1" applyAlignment="1" applyProtection="1">
      <alignment horizontal="center" vertical="center" wrapText="1"/>
    </xf>
    <xf numFmtId="3" fontId="2" fillId="6" borderId="23" xfId="52" applyNumberFormat="1" applyFont="1" applyFill="1" applyBorder="1" applyAlignment="1" applyProtection="1">
      <alignment horizontal="center" vertical="center" wrapText="1"/>
    </xf>
    <xf numFmtId="3" fontId="3" fillId="11" borderId="23" xfId="51" applyNumberFormat="1" applyFont="1" applyFill="1" applyBorder="1" applyAlignment="1" applyProtection="1">
      <alignment horizontal="center" vertical="center" wrapText="1"/>
    </xf>
    <xf numFmtId="3" fontId="4" fillId="11" borderId="23" xfId="51" applyNumberFormat="1" applyFont="1" applyFill="1" applyBorder="1" applyAlignment="1" applyProtection="1">
      <alignment horizontal="center" vertical="center" wrapText="1"/>
      <protection locked="0"/>
    </xf>
    <xf numFmtId="3" fontId="4" fillId="7" borderId="23" xfId="51" applyNumberFormat="1" applyFont="1" applyFill="1" applyBorder="1" applyAlignment="1" applyProtection="1">
      <alignment horizontal="center" vertical="center" wrapText="1"/>
      <protection locked="0"/>
    </xf>
    <xf numFmtId="0" fontId="5" fillId="4" borderId="5" xfId="51" applyFont="1" applyFill="1" applyBorder="1" applyAlignment="1" applyProtection="1">
      <alignment horizontal="center" vertical="center" wrapText="1"/>
    </xf>
    <xf numFmtId="49" fontId="6" fillId="4" borderId="16" xfId="52" applyNumberFormat="1" applyFont="1" applyFill="1" applyBorder="1" applyAlignment="1" applyProtection="1">
      <alignment horizontal="left" vertical="center" wrapText="1"/>
    </xf>
    <xf numFmtId="0" fontId="3" fillId="4" borderId="3" xfId="51" applyFont="1" applyFill="1" applyBorder="1" applyAlignment="1" applyProtection="1">
      <alignment horizontal="center" vertical="center" wrapText="1"/>
    </xf>
    <xf numFmtId="49" fontId="2" fillId="4" borderId="5" xfId="52" applyNumberFormat="1" applyFont="1" applyFill="1" applyBorder="1" applyAlignment="1" applyProtection="1">
      <alignment vertical="center" wrapText="1"/>
    </xf>
    <xf numFmtId="49" fontId="3" fillId="5" borderId="16" xfId="51" applyNumberFormat="1" applyFont="1" applyFill="1" applyBorder="1" applyAlignment="1" applyProtection="1">
      <alignment vertical="center" wrapText="1"/>
    </xf>
    <xf numFmtId="0" fontId="1" fillId="12" borderId="0" xfId="0" applyFont="1" applyFill="1"/>
    <xf numFmtId="0" fontId="2" fillId="4" borderId="18" xfId="51" applyFont="1" applyFill="1" applyBorder="1" applyAlignment="1" applyProtection="1">
      <alignment horizontal="center" vertical="center" wrapText="1"/>
    </xf>
    <xf numFmtId="49" fontId="3" fillId="4" borderId="19" xfId="51" applyNumberFormat="1" applyFont="1" applyFill="1" applyBorder="1" applyAlignment="1" applyProtection="1">
      <alignment horizontal="left" vertical="center" wrapText="1"/>
    </xf>
    <xf numFmtId="49" fontId="2" fillId="4" borderId="29" xfId="51" applyNumberFormat="1" applyFont="1" applyFill="1" applyBorder="1" applyAlignment="1" applyProtection="1">
      <alignment vertical="center" wrapText="1"/>
    </xf>
    <xf numFmtId="3" fontId="2" fillId="6" borderId="28" xfId="51" applyNumberFormat="1" applyFont="1" applyFill="1" applyBorder="1" applyAlignment="1" applyProtection="1">
      <alignment horizontal="center" vertical="center" wrapText="1"/>
    </xf>
    <xf numFmtId="0" fontId="3" fillId="10" borderId="12" xfId="51" applyFont="1" applyFill="1" applyBorder="1" applyAlignment="1" applyProtection="1">
      <alignment horizontal="center" vertical="center"/>
    </xf>
    <xf numFmtId="0" fontId="3" fillId="5" borderId="13" xfId="51" applyFont="1" applyFill="1" applyBorder="1" applyAlignment="1" applyProtection="1">
      <alignment horizontal="left" vertical="center" wrapText="1"/>
    </xf>
    <xf numFmtId="0" fontId="3" fillId="5" borderId="30" xfId="51" applyFont="1" applyFill="1" applyBorder="1" applyAlignment="1" applyProtection="1">
      <alignment horizontal="left" vertical="center" wrapText="1"/>
    </xf>
    <xf numFmtId="0" fontId="3" fillId="10" borderId="3" xfId="51" applyFont="1" applyFill="1" applyBorder="1" applyAlignment="1" applyProtection="1">
      <alignment horizontal="center" vertical="center"/>
    </xf>
    <xf numFmtId="0" fontId="7" fillId="0" borderId="0" xfId="51" applyFont="1" applyFill="1" applyBorder="1" applyAlignment="1" applyProtection="1">
      <alignment horizontal="center" vertical="center"/>
    </xf>
    <xf numFmtId="0" fontId="7" fillId="0" borderId="0" xfId="51" applyFont="1" applyFill="1" applyBorder="1" applyAlignment="1" applyProtection="1">
      <alignment vertical="center"/>
    </xf>
    <xf numFmtId="0" fontId="7" fillId="5" borderId="0" xfId="51" applyFont="1" applyFill="1" applyBorder="1" applyAlignment="1" applyProtection="1">
      <alignment vertical="center"/>
    </xf>
    <xf numFmtId="176" fontId="7" fillId="5" borderId="0" xfId="51" applyNumberFormat="1" applyFont="1" applyFill="1" applyBorder="1" applyAlignment="1" applyProtection="1">
      <alignment horizontal="center" vertical="center"/>
    </xf>
    <xf numFmtId="176" fontId="7" fillId="5" borderId="0" xfId="51" applyNumberFormat="1" applyFont="1" applyFill="1" applyBorder="1" applyAlignment="1" applyProtection="1">
      <alignment vertical="center"/>
    </xf>
    <xf numFmtId="176" fontId="7" fillId="0" borderId="0" xfId="51" applyNumberFormat="1" applyFont="1" applyFill="1" applyBorder="1" applyAlignment="1" applyProtection="1">
      <alignment vertical="center"/>
    </xf>
    <xf numFmtId="0" fontId="7" fillId="0" borderId="0" xfId="51" applyFont="1" applyBorder="1" applyAlignment="1" applyProtection="1">
      <alignment vertical="center"/>
    </xf>
    <xf numFmtId="0" fontId="7" fillId="5" borderId="0" xfId="51" applyFont="1" applyFill="1" applyBorder="1" applyAlignment="1" applyProtection="1">
      <alignment horizontal="center" vertical="center"/>
    </xf>
    <xf numFmtId="0" fontId="7" fillId="5" borderId="0" xfId="23" applyFont="1" applyFill="1" applyBorder="1" applyAlignment="1" applyProtection="1">
      <alignment vertical="center"/>
    </xf>
    <xf numFmtId="179" fontId="7" fillId="5" borderId="0" xfId="23" applyNumberFormat="1" applyFont="1" applyFill="1" applyBorder="1" applyAlignment="1" applyProtection="1">
      <alignment vertical="center"/>
    </xf>
    <xf numFmtId="3" fontId="7" fillId="5" borderId="0" xfId="23" applyNumberFormat="1" applyFont="1" applyFill="1" applyBorder="1" applyAlignment="1" applyProtection="1">
      <alignment vertical="center"/>
    </xf>
    <xf numFmtId="0" fontId="7" fillId="5" borderId="0" xfId="23" applyFont="1" applyFill="1" applyBorder="1" applyAlignment="1" applyProtection="1">
      <alignment vertical="center" wrapText="1"/>
    </xf>
    <xf numFmtId="177" fontId="7" fillId="5" borderId="0" xfId="23" applyNumberFormat="1" applyFont="1" applyFill="1" applyBorder="1" applyAlignment="1" applyProtection="1">
      <alignment vertical="center" wrapText="1"/>
    </xf>
    <xf numFmtId="176" fontId="7" fillId="5" borderId="0" xfId="51" applyNumberFormat="1" applyFont="1" applyFill="1" applyBorder="1" applyAlignment="1">
      <alignment vertical="center"/>
    </xf>
    <xf numFmtId="0" fontId="7" fillId="5" borderId="0" xfId="51" applyFont="1" applyFill="1" applyBorder="1" applyAlignment="1">
      <alignment vertical="center"/>
    </xf>
    <xf numFmtId="2" fontId="7" fillId="5" borderId="0" xfId="23" applyNumberFormat="1" applyFont="1" applyFill="1" applyBorder="1" applyAlignment="1" applyProtection="1">
      <alignment vertical="center" wrapText="1"/>
    </xf>
    <xf numFmtId="180" fontId="7" fillId="5" borderId="0" xfId="23" applyNumberFormat="1" applyFont="1" applyFill="1" applyBorder="1" applyAlignment="1" applyProtection="1">
      <alignment vertical="center"/>
    </xf>
    <xf numFmtId="10" fontId="7" fillId="5" borderId="0" xfId="23" applyNumberFormat="1" applyFont="1" applyFill="1" applyBorder="1" applyAlignment="1" applyProtection="1">
      <alignment vertical="center"/>
    </xf>
    <xf numFmtId="0" fontId="7" fillId="5" borderId="0" xfId="51" applyFont="1" applyFill="1" applyBorder="1" applyAlignment="1">
      <alignment horizontal="center" vertical="center"/>
    </xf>
    <xf numFmtId="176" fontId="7" fillId="5" borderId="0" xfId="51" applyNumberFormat="1" applyFont="1" applyFill="1" applyBorder="1" applyAlignment="1">
      <alignment horizontal="center" vertical="center"/>
    </xf>
    <xf numFmtId="9" fontId="3" fillId="6" borderId="23" xfId="3" applyFont="1" applyFill="1" applyBorder="1" applyAlignment="1" applyProtection="1">
      <alignment horizontal="center" vertical="center" wrapText="1"/>
    </xf>
    <xf numFmtId="3" fontId="8" fillId="6" borderId="23" xfId="52" applyNumberFormat="1" applyFont="1" applyFill="1" applyBorder="1" applyAlignment="1" applyProtection="1">
      <alignment horizontal="center" vertical="center" wrapText="1"/>
    </xf>
    <xf numFmtId="181" fontId="3" fillId="7" borderId="23" xfId="51" applyNumberFormat="1" applyFont="1" applyFill="1" applyBorder="1" applyAlignment="1" applyProtection="1">
      <alignment horizontal="center" vertical="center" wrapText="1"/>
      <protection locked="0"/>
    </xf>
    <xf numFmtId="0" fontId="3" fillId="5" borderId="31" xfId="51" applyFont="1" applyFill="1" applyBorder="1" applyAlignment="1" applyProtection="1">
      <alignment horizontal="left" vertical="center" wrapText="1"/>
    </xf>
    <xf numFmtId="0" fontId="7" fillId="0" borderId="0" xfId="51" applyFont="1" applyBorder="1" applyAlignment="1" applyProtection="1">
      <alignment horizontal="center" vertical="center"/>
    </xf>
  </cellXfs>
  <cellStyles count="53">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 name="Normal 5" xfId="51"/>
    <cellStyle name="Normal 5 2 2" xfId="52"/>
  </cellStyles>
  <tableStyles count="0" defaultTableStyle="TableStyleMedium2" defaultPivotStyle="PivotStyleLight16"/>
  <colors>
    <mruColors>
      <color rgb="00D9D9D9"/>
      <color rgb="00C0C0C0"/>
      <color rgb="00B4C6E7"/>
      <color rgb="00FFFF00"/>
      <color rgb="00F2F2F2"/>
      <color rgb="00FF0000"/>
      <color rgb="00BFBFBF"/>
      <color rgb="00000000"/>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I106"/>
  <sheetViews>
    <sheetView showGridLines="0" tabSelected="1" zoomScaleSheetLayoutView="60" topLeftCell="A37" workbookViewId="0">
      <selection activeCell="I50" sqref="I50"/>
    </sheetView>
  </sheetViews>
  <sheetFormatPr defaultColWidth="0" defaultRowHeight="14.4" zeroHeight="1"/>
  <cols>
    <col min="1" max="1" width="3.89090909090909" customWidth="1"/>
    <col min="2" max="2" width="5.66363636363636" style="1"/>
    <col min="3" max="3" width="7.89090909090909" style="1"/>
    <col min="4" max="4" width="61.6636363636364" style="1" customWidth="1"/>
    <col min="5" max="5" width="15" style="1" customWidth="1"/>
    <col min="6" max="6" width="10" style="1"/>
    <col min="7" max="7" width="5.66363636363636" style="1"/>
    <col min="8" max="8" width="72" style="1" customWidth="1"/>
    <col min="9" max="9" width="17.8909090909091" style="1" customWidth="1"/>
    <col min="10" max="10" width="5.33636363636364" style="1" customWidth="1"/>
    <col min="11" max="16384" width="9.10909090909091" style="1" hidden="1"/>
  </cols>
  <sheetData>
    <row r="1" customFormat="1" ht="15.25"/>
    <row r="2" customFormat="1" ht="15.25" spans="2:9">
      <c r="B2" s="2" t="s">
        <v>0</v>
      </c>
      <c r="C2" s="3"/>
      <c r="D2" s="3"/>
      <c r="E2" s="3"/>
      <c r="F2" s="3"/>
      <c r="G2" s="3"/>
      <c r="H2" s="3"/>
      <c r="I2" s="71"/>
    </row>
    <row r="3" customFormat="1" ht="14.5" spans="2:9">
      <c r="B3" s="4" t="s">
        <v>1</v>
      </c>
      <c r="C3" s="5" t="s">
        <v>2</v>
      </c>
      <c r="D3" s="6"/>
      <c r="E3" s="7"/>
      <c r="F3" s="8"/>
      <c r="G3" s="8"/>
      <c r="H3" s="8"/>
      <c r="I3" s="72"/>
    </row>
    <row r="4" customFormat="1" ht="14.5" spans="2:9">
      <c r="B4" s="9" t="s">
        <v>3</v>
      </c>
      <c r="C4" s="5" t="s">
        <v>4</v>
      </c>
      <c r="D4" s="6"/>
      <c r="E4" s="10"/>
      <c r="F4" s="11"/>
      <c r="G4" s="11"/>
      <c r="H4" s="11"/>
      <c r="I4" s="73"/>
    </row>
    <row r="5" customFormat="1" ht="14.5" spans="2:9">
      <c r="B5" s="12" t="s">
        <v>5</v>
      </c>
      <c r="C5" s="5"/>
      <c r="D5" s="6"/>
      <c r="E5" s="13"/>
      <c r="F5" s="14"/>
      <c r="G5" s="14"/>
      <c r="H5" s="14"/>
      <c r="I5" s="74"/>
    </row>
    <row r="6" customFormat="1" ht="15.25" spans="2:9">
      <c r="B6" s="15"/>
      <c r="C6" s="16"/>
      <c r="D6" s="17"/>
      <c r="E6" s="18"/>
      <c r="F6" s="16"/>
      <c r="G6" s="16"/>
      <c r="H6" s="19"/>
      <c r="I6" s="75"/>
    </row>
    <row r="7" customFormat="1" ht="14.5" spans="2:9">
      <c r="B7" s="20" t="s">
        <v>6</v>
      </c>
      <c r="C7" s="21" t="s">
        <v>7</v>
      </c>
      <c r="D7" s="22"/>
      <c r="E7" s="23" t="s">
        <v>8</v>
      </c>
      <c r="F7" s="23" t="s">
        <v>6</v>
      </c>
      <c r="G7" s="23" t="s">
        <v>9</v>
      </c>
      <c r="H7" s="23"/>
      <c r="I7" s="52" t="s">
        <v>8</v>
      </c>
    </row>
    <row r="8" customFormat="1" ht="14.5" spans="2:9">
      <c r="B8" s="24">
        <v>1</v>
      </c>
      <c r="C8" s="25">
        <v>1.1</v>
      </c>
      <c r="D8" s="26" t="s">
        <v>10</v>
      </c>
      <c r="E8" s="27">
        <v>0.07</v>
      </c>
      <c r="F8" s="28">
        <v>2</v>
      </c>
      <c r="G8" s="25">
        <v>2.1</v>
      </c>
      <c r="H8" s="26" t="s">
        <v>10</v>
      </c>
      <c r="I8" s="76" t="str">
        <f>+IFERROR(E26/I33,"0.00000")</f>
        <v>0.00000</v>
      </c>
    </row>
    <row r="9" customFormat="1" ht="14.5" spans="2:9">
      <c r="B9" s="24"/>
      <c r="C9" s="25">
        <v>1.2</v>
      </c>
      <c r="D9" s="26" t="s">
        <v>11</v>
      </c>
      <c r="E9" s="27">
        <v>0.085</v>
      </c>
      <c r="F9" s="28"/>
      <c r="G9" s="25" t="s">
        <v>12</v>
      </c>
      <c r="H9" s="26" t="s">
        <v>13</v>
      </c>
      <c r="I9" s="76" t="str">
        <f>+IFERROR(E73/I33,"0.00000")</f>
        <v>0.00000</v>
      </c>
    </row>
    <row r="10" customFormat="1" ht="14.5" spans="2:9">
      <c r="B10" s="24"/>
      <c r="C10" s="25">
        <v>1.3</v>
      </c>
      <c r="D10" s="26" t="s">
        <v>14</v>
      </c>
      <c r="E10" s="27">
        <v>0.105</v>
      </c>
      <c r="F10" s="28"/>
      <c r="G10" s="25">
        <v>2.2</v>
      </c>
      <c r="H10" s="26" t="s">
        <v>11</v>
      </c>
      <c r="I10" s="76" t="str">
        <f>IFERROR((E79)/I33,"0.00000")</f>
        <v>0.00000</v>
      </c>
    </row>
    <row r="11" customFormat="1" ht="14.5" spans="2:9">
      <c r="B11" s="24"/>
      <c r="C11" s="25">
        <v>1.4</v>
      </c>
      <c r="D11" s="26" t="s">
        <v>15</v>
      </c>
      <c r="E11" s="27">
        <f>+SUM(E12:E15)</f>
        <v>0.025</v>
      </c>
      <c r="F11" s="28"/>
      <c r="G11" s="25" t="s">
        <v>16</v>
      </c>
      <c r="H11" s="26" t="s">
        <v>17</v>
      </c>
      <c r="I11" s="76" t="str">
        <f>+IFERROR(I25/I33,"0.00000")</f>
        <v>0.00000</v>
      </c>
    </row>
    <row r="12" customFormat="1" ht="14.5" spans="2:9">
      <c r="B12" s="24"/>
      <c r="C12" s="25" t="s">
        <v>18</v>
      </c>
      <c r="D12" s="26" t="s">
        <v>19</v>
      </c>
      <c r="E12" s="27">
        <v>0.025</v>
      </c>
      <c r="F12" s="28"/>
      <c r="G12" s="29">
        <v>2.3</v>
      </c>
      <c r="H12" s="26" t="s">
        <v>14</v>
      </c>
      <c r="I12" s="76" t="str">
        <f>IFERROR(+E25/I33,"0.00000")</f>
        <v>0.00000</v>
      </c>
    </row>
    <row r="13" customFormat="1" ht="14.5" spans="2:9">
      <c r="B13" s="30"/>
      <c r="C13" s="31" t="s">
        <v>20</v>
      </c>
      <c r="D13" s="32" t="s">
        <v>21</v>
      </c>
      <c r="E13" s="27">
        <v>0</v>
      </c>
      <c r="F13" s="28"/>
      <c r="G13" s="25">
        <v>2.4</v>
      </c>
      <c r="H13" s="26" t="s">
        <v>22</v>
      </c>
      <c r="I13" s="76">
        <f>IFERROR(+F103,"0.00000")</f>
        <v>-0.105</v>
      </c>
    </row>
    <row r="14" customFormat="1" ht="20" spans="2:9">
      <c r="B14" s="30"/>
      <c r="C14" s="31" t="s">
        <v>23</v>
      </c>
      <c r="D14" s="32" t="s">
        <v>24</v>
      </c>
      <c r="E14" s="33">
        <v>0</v>
      </c>
      <c r="F14" s="28"/>
      <c r="G14" s="34">
        <v>2.5</v>
      </c>
      <c r="H14" s="35" t="s">
        <v>25</v>
      </c>
      <c r="I14" s="77" t="str">
        <f>+IFERROR(VLOOKUP(I13,D87:E100,2,TRUE),"0.00000")</f>
        <v>Below minimum; 100% conservation</v>
      </c>
    </row>
    <row r="15" customFormat="1" ht="20.75" spans="2:9">
      <c r="B15" s="36"/>
      <c r="C15" s="37" t="s">
        <v>26</v>
      </c>
      <c r="D15" s="32" t="s">
        <v>27</v>
      </c>
      <c r="E15" s="38">
        <v>0</v>
      </c>
      <c r="F15" s="39"/>
      <c r="G15" s="37"/>
      <c r="H15" s="40"/>
      <c r="I15" s="78"/>
    </row>
    <row r="16" customFormat="1" ht="15.25" spans="2:9">
      <c r="B16" s="41"/>
      <c r="C16" s="42"/>
      <c r="D16" s="43"/>
      <c r="E16" s="44"/>
      <c r="F16" s="45"/>
      <c r="G16" s="42"/>
      <c r="H16" s="43"/>
      <c r="I16" s="79"/>
    </row>
    <row r="17" customFormat="1" ht="14.5" spans="2:9">
      <c r="B17" s="20" t="s">
        <v>6</v>
      </c>
      <c r="C17" s="21" t="s">
        <v>28</v>
      </c>
      <c r="D17" s="22"/>
      <c r="E17" s="46" t="s">
        <v>8</v>
      </c>
      <c r="F17" s="23" t="s">
        <v>6</v>
      </c>
      <c r="G17" s="23" t="s">
        <v>9</v>
      </c>
      <c r="H17" s="23"/>
      <c r="I17" s="80" t="s">
        <v>8</v>
      </c>
    </row>
    <row r="18" customFormat="1" ht="20.75" spans="2:9">
      <c r="B18" s="24">
        <v>3</v>
      </c>
      <c r="C18" s="25">
        <v>3.1</v>
      </c>
      <c r="D18" s="26" t="s">
        <v>29</v>
      </c>
      <c r="E18" s="38">
        <v>0</v>
      </c>
      <c r="F18" s="28">
        <v>4</v>
      </c>
      <c r="G18" s="25">
        <v>4.1</v>
      </c>
      <c r="H18" s="26" t="s">
        <v>22</v>
      </c>
      <c r="I18" s="76">
        <f>IFERROR(+F103-E18,"0.00000")</f>
        <v>-0.105</v>
      </c>
    </row>
    <row r="19" customFormat="1" ht="20" spans="2:9">
      <c r="B19" s="24"/>
      <c r="C19" s="25">
        <v>3.2</v>
      </c>
      <c r="D19" s="26" t="s">
        <v>30</v>
      </c>
      <c r="E19" s="27">
        <f>E18+E8</f>
        <v>0.07</v>
      </c>
      <c r="F19" s="28"/>
      <c r="G19" s="25">
        <v>4.2</v>
      </c>
      <c r="H19" s="26" t="s">
        <v>31</v>
      </c>
      <c r="I19" s="76" t="str">
        <f>+IFERROR(VLOOKUP(I18,D87:E100,2,TRUE),"0.00000")</f>
        <v>Below minimum; 100% conservation</v>
      </c>
    </row>
    <row r="20" customFormat="1" ht="14.5" spans="2:9">
      <c r="B20" s="24"/>
      <c r="C20" s="25">
        <v>3.3</v>
      </c>
      <c r="D20" s="26" t="s">
        <v>32</v>
      </c>
      <c r="E20" s="27">
        <f>E18+E9</f>
        <v>0.085</v>
      </c>
      <c r="F20" s="28"/>
      <c r="G20" s="25"/>
      <c r="H20" s="26"/>
      <c r="I20" s="81"/>
    </row>
    <row r="21" customFormat="1" ht="14.5" spans="2:9">
      <c r="B21" s="47"/>
      <c r="C21" s="34">
        <v>3.4</v>
      </c>
      <c r="D21" s="35" t="s">
        <v>33</v>
      </c>
      <c r="E21" s="48">
        <f>E18+E10</f>
        <v>0.105</v>
      </c>
      <c r="F21" s="49"/>
      <c r="G21" s="34"/>
      <c r="H21" s="35"/>
      <c r="I21" s="82"/>
    </row>
    <row r="22" customFormat="1" ht="15.25" spans="2:9">
      <c r="B22" s="36"/>
      <c r="C22" s="37">
        <v>3.5</v>
      </c>
      <c r="D22" s="40" t="s">
        <v>15</v>
      </c>
      <c r="E22" s="50">
        <f>E11</f>
        <v>0.025</v>
      </c>
      <c r="F22" s="39"/>
      <c r="G22" s="37"/>
      <c r="H22" s="40"/>
      <c r="I22" s="83"/>
    </row>
    <row r="23" customFormat="1" ht="15.25" spans="2:9">
      <c r="B23" s="41"/>
      <c r="C23" s="42"/>
      <c r="D23" s="43"/>
      <c r="E23" s="51"/>
      <c r="F23" s="45"/>
      <c r="G23" s="42"/>
      <c r="H23" s="43"/>
      <c r="I23" s="84"/>
    </row>
    <row r="24" customFormat="1" ht="14.5" spans="2:9">
      <c r="B24" s="20" t="s">
        <v>6</v>
      </c>
      <c r="C24" s="23" t="s">
        <v>34</v>
      </c>
      <c r="D24" s="23"/>
      <c r="E24" s="52" t="s">
        <v>35</v>
      </c>
      <c r="F24" s="22" t="s">
        <v>6</v>
      </c>
      <c r="G24" s="23" t="s">
        <v>34</v>
      </c>
      <c r="H24" s="23"/>
      <c r="I24" s="52" t="s">
        <v>35</v>
      </c>
    </row>
    <row r="25" customFormat="1" ht="14.5" spans="2:9">
      <c r="B25" s="53">
        <v>5</v>
      </c>
      <c r="C25" s="54" t="s">
        <v>36</v>
      </c>
      <c r="D25" s="55"/>
      <c r="E25" s="56">
        <f>E79+I32</f>
        <v>0</v>
      </c>
      <c r="F25" s="57">
        <v>5.3</v>
      </c>
      <c r="G25" s="54" t="s">
        <v>37</v>
      </c>
      <c r="H25" s="55"/>
      <c r="I25" s="56">
        <f>I32</f>
        <v>0</v>
      </c>
    </row>
    <row r="26" customFormat="1" ht="14.5" spans="2:9">
      <c r="B26" s="53">
        <v>5.1</v>
      </c>
      <c r="C26" s="54" t="s">
        <v>38</v>
      </c>
      <c r="D26" s="55"/>
      <c r="E26" s="56">
        <f>E72</f>
        <v>0</v>
      </c>
      <c r="F26" s="58"/>
      <c r="G26" s="59" t="s">
        <v>39</v>
      </c>
      <c r="H26" s="26" t="s">
        <v>40</v>
      </c>
      <c r="I26" s="60">
        <v>0</v>
      </c>
    </row>
    <row r="27" customFormat="1" ht="14.5" spans="2:9">
      <c r="B27" s="24"/>
      <c r="C27" s="59" t="s">
        <v>41</v>
      </c>
      <c r="D27" s="26" t="s">
        <v>42</v>
      </c>
      <c r="E27" s="60">
        <v>0</v>
      </c>
      <c r="F27" s="58"/>
      <c r="G27" s="59" t="s">
        <v>43</v>
      </c>
      <c r="H27" s="26" t="s">
        <v>44</v>
      </c>
      <c r="I27" s="60">
        <v>0</v>
      </c>
    </row>
    <row r="28" customFormat="1" ht="30" spans="2:9">
      <c r="B28" s="24"/>
      <c r="C28" s="59" t="s">
        <v>45</v>
      </c>
      <c r="D28" s="26" t="s">
        <v>46</v>
      </c>
      <c r="E28" s="60">
        <v>0</v>
      </c>
      <c r="F28" s="58"/>
      <c r="G28" s="59" t="s">
        <v>47</v>
      </c>
      <c r="H28" s="26" t="s">
        <v>48</v>
      </c>
      <c r="I28" s="60">
        <v>0</v>
      </c>
    </row>
    <row r="29" customFormat="1" ht="20" spans="2:9">
      <c r="B29" s="24"/>
      <c r="C29" s="61" t="s">
        <v>49</v>
      </c>
      <c r="D29" s="62" t="s">
        <v>50</v>
      </c>
      <c r="E29" s="63">
        <f>E30+E31+E32+E33</f>
        <v>0</v>
      </c>
      <c r="F29" s="58"/>
      <c r="G29" s="59" t="s">
        <v>51</v>
      </c>
      <c r="H29" s="26" t="s">
        <v>52</v>
      </c>
      <c r="I29" s="60">
        <v>0</v>
      </c>
    </row>
    <row r="30" customFormat="1" ht="14.5" spans="2:9">
      <c r="B30" s="24"/>
      <c r="C30" s="59" t="s">
        <v>53</v>
      </c>
      <c r="D30" s="26" t="s">
        <v>54</v>
      </c>
      <c r="E30" s="60">
        <v>0</v>
      </c>
      <c r="F30" s="58"/>
      <c r="G30" s="59" t="s">
        <v>55</v>
      </c>
      <c r="H30" s="26" t="s">
        <v>56</v>
      </c>
      <c r="I30" s="60">
        <v>0</v>
      </c>
    </row>
    <row r="31" customFormat="1" ht="20" spans="2:9">
      <c r="B31" s="24"/>
      <c r="C31" s="59" t="s">
        <v>57</v>
      </c>
      <c r="D31" s="26" t="s">
        <v>58</v>
      </c>
      <c r="E31" s="60">
        <v>0</v>
      </c>
      <c r="F31" s="58"/>
      <c r="G31" s="59" t="s">
        <v>59</v>
      </c>
      <c r="H31" s="26" t="s">
        <v>60</v>
      </c>
      <c r="I31" s="60">
        <v>0</v>
      </c>
    </row>
    <row r="32" customFormat="1" ht="14.5" spans="2:9">
      <c r="B32" s="24"/>
      <c r="C32" s="59" t="s">
        <v>61</v>
      </c>
      <c r="D32" s="26" t="s">
        <v>62</v>
      </c>
      <c r="E32" s="60">
        <v>0</v>
      </c>
      <c r="F32" s="57"/>
      <c r="G32" s="61"/>
      <c r="H32" s="64" t="s">
        <v>63</v>
      </c>
      <c r="I32" s="85">
        <f>I26+I27+I28+I30+I31</f>
        <v>0</v>
      </c>
    </row>
    <row r="33" customFormat="1" ht="15" customHeight="1" spans="2:9">
      <c r="B33" s="24"/>
      <c r="C33" s="59" t="s">
        <v>64</v>
      </c>
      <c r="D33" s="26" t="s">
        <v>65</v>
      </c>
      <c r="E33" s="60">
        <v>0</v>
      </c>
      <c r="F33" s="57">
        <v>6</v>
      </c>
      <c r="G33" s="54" t="s">
        <v>66</v>
      </c>
      <c r="H33" s="55"/>
      <c r="I33" s="56">
        <f>I34+I56+I62</f>
        <v>0</v>
      </c>
    </row>
    <row r="34" customFormat="1" ht="15" customHeight="1" spans="2:9">
      <c r="B34" s="24"/>
      <c r="C34" s="61" t="s">
        <v>67</v>
      </c>
      <c r="D34" s="62" t="s">
        <v>68</v>
      </c>
      <c r="E34" s="63">
        <f>E35+E36-E37+E38-E39</f>
        <v>0</v>
      </c>
      <c r="F34" s="57">
        <v>6.1</v>
      </c>
      <c r="G34" s="54" t="s">
        <v>69</v>
      </c>
      <c r="H34" s="55"/>
      <c r="I34" s="86">
        <f>I35+I36+I40+I41+I42+I43+I44+I45+I46+I47+I48+I49+I51+I52+I53+I54+I55</f>
        <v>0</v>
      </c>
    </row>
    <row r="35" customFormat="1" ht="14.5" spans="2:9">
      <c r="B35" s="24"/>
      <c r="C35" s="59" t="s">
        <v>70</v>
      </c>
      <c r="D35" s="26" t="s">
        <v>71</v>
      </c>
      <c r="E35" s="60">
        <v>0</v>
      </c>
      <c r="F35" s="58"/>
      <c r="G35" s="65" t="s">
        <v>72</v>
      </c>
      <c r="H35" s="26" t="s">
        <v>73</v>
      </c>
      <c r="I35" s="60">
        <v>0</v>
      </c>
    </row>
    <row r="36" customFormat="1" ht="20" spans="2:9">
      <c r="B36" s="24"/>
      <c r="C36" s="59" t="s">
        <v>74</v>
      </c>
      <c r="D36" s="26" t="s">
        <v>75</v>
      </c>
      <c r="E36" s="60">
        <v>0</v>
      </c>
      <c r="F36" s="58"/>
      <c r="G36" s="65" t="s">
        <v>76</v>
      </c>
      <c r="H36" s="26" t="s">
        <v>77</v>
      </c>
      <c r="I36" s="63">
        <f>I37+I38+I39</f>
        <v>0</v>
      </c>
    </row>
    <row r="37" customFormat="1" ht="14.5" spans="2:9">
      <c r="B37" s="24"/>
      <c r="C37" s="59" t="s">
        <v>78</v>
      </c>
      <c r="D37" s="26" t="s">
        <v>79</v>
      </c>
      <c r="E37" s="60">
        <v>0</v>
      </c>
      <c r="F37" s="58"/>
      <c r="G37" s="65" t="s">
        <v>80</v>
      </c>
      <c r="H37" s="26" t="s">
        <v>81</v>
      </c>
      <c r="I37" s="60">
        <v>0</v>
      </c>
    </row>
    <row r="38" customFormat="1" ht="20" spans="2:9">
      <c r="B38" s="24"/>
      <c r="C38" s="59" t="s">
        <v>82</v>
      </c>
      <c r="D38" s="26" t="s">
        <v>83</v>
      </c>
      <c r="E38" s="60">
        <v>0</v>
      </c>
      <c r="F38" s="58"/>
      <c r="G38" s="65" t="s">
        <v>84</v>
      </c>
      <c r="H38" s="26" t="s">
        <v>85</v>
      </c>
      <c r="I38" s="60">
        <v>0</v>
      </c>
    </row>
    <row r="39" customFormat="1" ht="14.5" spans="2:9">
      <c r="B39" s="24"/>
      <c r="C39" s="59" t="s">
        <v>86</v>
      </c>
      <c r="D39" s="26" t="s">
        <v>87</v>
      </c>
      <c r="E39" s="60">
        <v>0</v>
      </c>
      <c r="F39" s="58"/>
      <c r="G39" s="65" t="s">
        <v>88</v>
      </c>
      <c r="H39" s="26" t="s">
        <v>89</v>
      </c>
      <c r="I39" s="60">
        <v>0</v>
      </c>
    </row>
    <row r="40" customFormat="1" ht="14.5" spans="2:9">
      <c r="B40" s="24"/>
      <c r="C40" s="59" t="s">
        <v>90</v>
      </c>
      <c r="D40" s="26" t="s">
        <v>56</v>
      </c>
      <c r="E40" s="60">
        <v>0</v>
      </c>
      <c r="F40" s="58"/>
      <c r="G40" s="65" t="s">
        <v>91</v>
      </c>
      <c r="H40" s="26" t="s">
        <v>92</v>
      </c>
      <c r="I40" s="60">
        <v>0</v>
      </c>
    </row>
    <row r="41" customFormat="1" ht="14.5" spans="2:9">
      <c r="B41" s="24"/>
      <c r="C41" s="59" t="s">
        <v>93</v>
      </c>
      <c r="D41" s="26" t="s">
        <v>94</v>
      </c>
      <c r="E41" s="60">
        <v>0</v>
      </c>
      <c r="F41" s="58"/>
      <c r="G41" s="65" t="s">
        <v>95</v>
      </c>
      <c r="H41" s="26" t="s">
        <v>96</v>
      </c>
      <c r="I41" s="60">
        <v>0</v>
      </c>
    </row>
    <row r="42" customFormat="1" ht="14.5" spans="2:9">
      <c r="B42" s="24"/>
      <c r="C42" s="59" t="s">
        <v>97</v>
      </c>
      <c r="D42" s="26" t="s">
        <v>98</v>
      </c>
      <c r="E42" s="60">
        <v>0</v>
      </c>
      <c r="F42" s="58"/>
      <c r="G42" s="65" t="s">
        <v>99</v>
      </c>
      <c r="H42" s="26" t="s">
        <v>100</v>
      </c>
      <c r="I42" s="60">
        <v>0</v>
      </c>
    </row>
    <row r="43" customFormat="1" ht="14.5" spans="2:9">
      <c r="B43" s="24"/>
      <c r="C43" s="61"/>
      <c r="D43" s="66" t="s">
        <v>101</v>
      </c>
      <c r="E43" s="56">
        <f>E27+E28+E29+E34+E40-E41-E42</f>
        <v>0</v>
      </c>
      <c r="F43" s="58"/>
      <c r="G43" s="65" t="s">
        <v>102</v>
      </c>
      <c r="H43" s="26" t="s">
        <v>103</v>
      </c>
      <c r="I43" s="60">
        <v>0</v>
      </c>
    </row>
    <row r="44" customFormat="1" ht="14.5" spans="2:9">
      <c r="B44" s="24"/>
      <c r="C44" s="61" t="s">
        <v>104</v>
      </c>
      <c r="D44" s="66" t="s">
        <v>105</v>
      </c>
      <c r="E44" s="56">
        <f>SUM(E45:E52)</f>
        <v>0</v>
      </c>
      <c r="F44" s="58"/>
      <c r="G44" s="65" t="s">
        <v>106</v>
      </c>
      <c r="H44" s="26" t="s">
        <v>107</v>
      </c>
      <c r="I44" s="60">
        <v>0</v>
      </c>
    </row>
    <row r="45" customFormat="1" ht="14.5" spans="2:9">
      <c r="B45" s="24"/>
      <c r="C45" s="59" t="s">
        <v>108</v>
      </c>
      <c r="D45" s="26" t="s">
        <v>109</v>
      </c>
      <c r="E45" s="60">
        <v>0</v>
      </c>
      <c r="F45" s="58"/>
      <c r="G45" s="65" t="s">
        <v>110</v>
      </c>
      <c r="H45" s="26" t="s">
        <v>111</v>
      </c>
      <c r="I45" s="60">
        <v>0</v>
      </c>
    </row>
    <row r="46" customFormat="1" ht="14.5" spans="2:9">
      <c r="B46" s="24"/>
      <c r="C46" s="59" t="s">
        <v>112</v>
      </c>
      <c r="D46" s="26" t="s">
        <v>113</v>
      </c>
      <c r="E46" s="60">
        <v>0</v>
      </c>
      <c r="F46" s="58"/>
      <c r="G46" s="65" t="s">
        <v>114</v>
      </c>
      <c r="H46" s="26" t="s">
        <v>115</v>
      </c>
      <c r="I46" s="60">
        <v>0</v>
      </c>
    </row>
    <row r="47" customFormat="1" ht="14.5" spans="2:9">
      <c r="B47" s="24"/>
      <c r="C47" s="59" t="s">
        <v>116</v>
      </c>
      <c r="D47" s="26" t="s">
        <v>117</v>
      </c>
      <c r="E47" s="60">
        <v>0</v>
      </c>
      <c r="F47" s="58"/>
      <c r="G47" s="65" t="s">
        <v>118</v>
      </c>
      <c r="H47" s="26" t="s">
        <v>119</v>
      </c>
      <c r="I47" s="60">
        <v>0</v>
      </c>
    </row>
    <row r="48" customFormat="1" ht="14.5" spans="2:9">
      <c r="B48" s="24"/>
      <c r="C48" s="59" t="s">
        <v>120</v>
      </c>
      <c r="D48" s="26" t="s">
        <v>121</v>
      </c>
      <c r="E48" s="60">
        <v>0</v>
      </c>
      <c r="F48" s="58"/>
      <c r="G48" s="65" t="s">
        <v>122</v>
      </c>
      <c r="H48" s="26" t="s">
        <v>123</v>
      </c>
      <c r="I48" s="60">
        <v>0</v>
      </c>
    </row>
    <row r="49" customFormat="1" ht="14.5" spans="2:9">
      <c r="B49" s="24"/>
      <c r="C49" s="59" t="s">
        <v>124</v>
      </c>
      <c r="D49" s="26" t="s">
        <v>125</v>
      </c>
      <c r="E49" s="60">
        <v>0</v>
      </c>
      <c r="F49" s="58"/>
      <c r="G49" s="65" t="s">
        <v>126</v>
      </c>
      <c r="H49" s="26" t="s">
        <v>127</v>
      </c>
      <c r="I49" s="60">
        <v>0</v>
      </c>
    </row>
    <row r="50" customFormat="1" ht="14.5" spans="2:9">
      <c r="B50" s="24"/>
      <c r="C50" s="59" t="s">
        <v>128</v>
      </c>
      <c r="D50" s="26" t="s">
        <v>129</v>
      </c>
      <c r="E50" s="60">
        <v>0</v>
      </c>
      <c r="F50" s="58"/>
      <c r="G50" s="65"/>
      <c r="H50" s="67" t="s">
        <v>130</v>
      </c>
      <c r="I50" s="63">
        <f>0</f>
        <v>0</v>
      </c>
    </row>
    <row r="51" customFormat="1" ht="14.5" spans="2:9">
      <c r="B51" s="24"/>
      <c r="C51" s="59" t="s">
        <v>131</v>
      </c>
      <c r="D51" s="26" t="s">
        <v>132</v>
      </c>
      <c r="E51" s="60">
        <v>0</v>
      </c>
      <c r="F51" s="58"/>
      <c r="G51" s="65" t="s">
        <v>133</v>
      </c>
      <c r="H51" s="26" t="s">
        <v>134</v>
      </c>
      <c r="I51" s="60">
        <v>0</v>
      </c>
    </row>
    <row r="52" customFormat="1" ht="14.5" spans="2:9">
      <c r="B52" s="24"/>
      <c r="C52" s="59" t="s">
        <v>135</v>
      </c>
      <c r="D52" s="26" t="s">
        <v>136</v>
      </c>
      <c r="E52" s="63">
        <f>E53+E54+E55</f>
        <v>0</v>
      </c>
      <c r="F52" s="58"/>
      <c r="G52" s="65" t="s">
        <v>137</v>
      </c>
      <c r="H52" s="26" t="s">
        <v>138</v>
      </c>
      <c r="I52" s="60">
        <v>0</v>
      </c>
    </row>
    <row r="53" customFormat="1" ht="14.5" spans="2:9">
      <c r="B53" s="24"/>
      <c r="C53" s="59" t="s">
        <v>139</v>
      </c>
      <c r="D53" s="26" t="s">
        <v>140</v>
      </c>
      <c r="E53" s="60">
        <v>0</v>
      </c>
      <c r="F53" s="58"/>
      <c r="G53" s="68" t="s">
        <v>141</v>
      </c>
      <c r="H53" s="69" t="s">
        <v>142</v>
      </c>
      <c r="I53" s="87">
        <v>0</v>
      </c>
    </row>
    <row r="54" customFormat="1" ht="14.5" spans="2:9">
      <c r="B54" s="24"/>
      <c r="C54" s="59" t="s">
        <v>143</v>
      </c>
      <c r="D54" s="26" t="s">
        <v>144</v>
      </c>
      <c r="E54" s="60">
        <v>0</v>
      </c>
      <c r="F54" s="58"/>
      <c r="G54" s="65" t="s">
        <v>145</v>
      </c>
      <c r="H54" s="69" t="s">
        <v>146</v>
      </c>
      <c r="I54" s="88">
        <v>0</v>
      </c>
    </row>
    <row r="55" customFormat="1" ht="14.5" spans="2:9">
      <c r="B55" s="24"/>
      <c r="C55" s="59" t="s">
        <v>147</v>
      </c>
      <c r="D55" s="26" t="s">
        <v>148</v>
      </c>
      <c r="E55" s="60">
        <v>0</v>
      </c>
      <c r="F55" s="58"/>
      <c r="G55" s="65" t="s">
        <v>149</v>
      </c>
      <c r="H55" s="69" t="s">
        <v>150</v>
      </c>
      <c r="I55" s="88">
        <v>0</v>
      </c>
    </row>
    <row r="56" customFormat="1" ht="14.5" spans="2:9">
      <c r="B56" s="24"/>
      <c r="C56" s="61"/>
      <c r="D56" s="66" t="s">
        <v>151</v>
      </c>
      <c r="E56" s="56">
        <f>E43-E44</f>
        <v>0</v>
      </c>
      <c r="F56" s="57">
        <v>6.2</v>
      </c>
      <c r="G56" s="54" t="s">
        <v>152</v>
      </c>
      <c r="H56" s="55"/>
      <c r="I56" s="63">
        <f>I57+I58+I59+I60+I61</f>
        <v>0</v>
      </c>
    </row>
    <row r="57" customFormat="1" ht="20" spans="2:9">
      <c r="B57" s="24"/>
      <c r="C57" s="61" t="s">
        <v>153</v>
      </c>
      <c r="D57" s="62" t="s">
        <v>154</v>
      </c>
      <c r="E57" s="63">
        <f>E58+E59+E60</f>
        <v>0</v>
      </c>
      <c r="F57" s="58"/>
      <c r="G57" s="65" t="s">
        <v>155</v>
      </c>
      <c r="H57" s="26" t="s">
        <v>156</v>
      </c>
      <c r="I57" s="60">
        <v>0</v>
      </c>
    </row>
    <row r="58" customFormat="1" ht="14.5" spans="2:9">
      <c r="B58" s="24"/>
      <c r="C58" s="59" t="s">
        <v>157</v>
      </c>
      <c r="D58" s="70" t="s">
        <v>158</v>
      </c>
      <c r="E58" s="60">
        <v>0</v>
      </c>
      <c r="F58" s="58"/>
      <c r="G58" s="65" t="s">
        <v>159</v>
      </c>
      <c r="H58" s="26" t="s">
        <v>160</v>
      </c>
      <c r="I58" s="60">
        <v>0</v>
      </c>
    </row>
    <row r="59" customFormat="1" ht="14.5" spans="2:9">
      <c r="B59" s="24"/>
      <c r="C59" s="59" t="s">
        <v>161</v>
      </c>
      <c r="D59" s="70" t="s">
        <v>162</v>
      </c>
      <c r="E59" s="60">
        <v>0</v>
      </c>
      <c r="F59" s="58"/>
      <c r="G59" s="65" t="s">
        <v>163</v>
      </c>
      <c r="H59" s="26" t="s">
        <v>164</v>
      </c>
      <c r="I59" s="60">
        <v>0</v>
      </c>
    </row>
    <row r="60" customFormat="1" ht="14.5" spans="2:9">
      <c r="B60" s="24"/>
      <c r="C60" s="59" t="s">
        <v>165</v>
      </c>
      <c r="D60" s="70" t="s">
        <v>166</v>
      </c>
      <c r="E60" s="60">
        <v>0</v>
      </c>
      <c r="F60" s="58"/>
      <c r="G60" s="65" t="s">
        <v>167</v>
      </c>
      <c r="H60" s="26" t="s">
        <v>168</v>
      </c>
      <c r="I60" s="60">
        <v>0</v>
      </c>
    </row>
    <row r="61" customFormat="1" ht="14.5" spans="2:9">
      <c r="B61" s="24"/>
      <c r="C61" s="61"/>
      <c r="D61" s="66" t="s">
        <v>169</v>
      </c>
      <c r="E61" s="56">
        <f>E56-E57</f>
        <v>0</v>
      </c>
      <c r="F61" s="58"/>
      <c r="G61" s="65" t="s">
        <v>170</v>
      </c>
      <c r="H61" s="26" t="s">
        <v>171</v>
      </c>
      <c r="I61" s="60">
        <v>0</v>
      </c>
    </row>
    <row r="62" customFormat="1" ht="20" spans="2:9">
      <c r="B62" s="24"/>
      <c r="C62" s="61" t="s">
        <v>172</v>
      </c>
      <c r="D62" s="62" t="s">
        <v>173</v>
      </c>
      <c r="E62" s="63">
        <f>E63+E64+E65</f>
        <v>0</v>
      </c>
      <c r="F62" s="57">
        <v>6.3</v>
      </c>
      <c r="G62" s="54" t="s">
        <v>174</v>
      </c>
      <c r="H62" s="55"/>
      <c r="I62" s="63">
        <f>I63+I64</f>
        <v>0</v>
      </c>
    </row>
    <row r="63" customFormat="1" ht="14.5" spans="2:9">
      <c r="B63" s="24"/>
      <c r="C63" s="59" t="s">
        <v>175</v>
      </c>
      <c r="D63" s="70" t="s">
        <v>158</v>
      </c>
      <c r="E63" s="60">
        <v>0</v>
      </c>
      <c r="F63" s="58"/>
      <c r="G63" s="65" t="s">
        <v>176</v>
      </c>
      <c r="H63" s="26" t="s">
        <v>177</v>
      </c>
      <c r="I63" s="60">
        <v>0</v>
      </c>
    </row>
    <row r="64" customFormat="1" ht="14.5" spans="2:9">
      <c r="B64" s="24"/>
      <c r="C64" s="59" t="s">
        <v>178</v>
      </c>
      <c r="D64" s="70" t="s">
        <v>162</v>
      </c>
      <c r="E64" s="60">
        <v>0</v>
      </c>
      <c r="F64" s="58"/>
      <c r="G64" s="65" t="s">
        <v>179</v>
      </c>
      <c r="H64" s="26" t="s">
        <v>180</v>
      </c>
      <c r="I64" s="60">
        <v>0</v>
      </c>
    </row>
    <row r="65" customFormat="1" ht="14.5" spans="2:9">
      <c r="B65" s="24"/>
      <c r="C65" s="59" t="s">
        <v>181</v>
      </c>
      <c r="D65" s="70" t="s">
        <v>166</v>
      </c>
      <c r="E65" s="60">
        <v>0</v>
      </c>
      <c r="F65" s="57">
        <v>7</v>
      </c>
      <c r="G65" s="54" t="s">
        <v>182</v>
      </c>
      <c r="H65" s="55"/>
      <c r="I65" s="56"/>
    </row>
    <row r="66" customFormat="1" ht="14.5" spans="2:9">
      <c r="B66" s="24"/>
      <c r="C66" s="61"/>
      <c r="D66" s="66" t="s">
        <v>183</v>
      </c>
      <c r="E66" s="56">
        <f>E61-E62</f>
        <v>0</v>
      </c>
      <c r="F66" s="57">
        <v>7.1</v>
      </c>
      <c r="G66" s="54" t="s">
        <v>184</v>
      </c>
      <c r="H66" s="55"/>
      <c r="I66" s="123"/>
    </row>
    <row r="67" customFormat="1" ht="14.5" spans="2:9">
      <c r="B67" s="24"/>
      <c r="C67" s="61" t="s">
        <v>185</v>
      </c>
      <c r="D67" s="66" t="s">
        <v>186</v>
      </c>
      <c r="E67" s="56">
        <f>E68+E69</f>
        <v>0</v>
      </c>
      <c r="F67" s="58"/>
      <c r="G67" s="65" t="s">
        <v>187</v>
      </c>
      <c r="H67" s="26" t="s">
        <v>188</v>
      </c>
      <c r="I67" s="63">
        <f>I68-I69</f>
        <v>0</v>
      </c>
    </row>
    <row r="68" customFormat="1" ht="20" spans="2:9">
      <c r="B68" s="24"/>
      <c r="C68" s="59" t="s">
        <v>189</v>
      </c>
      <c r="D68" s="26" t="s">
        <v>190</v>
      </c>
      <c r="E68" s="60">
        <v>0</v>
      </c>
      <c r="F68" s="58"/>
      <c r="G68" s="65" t="s">
        <v>191</v>
      </c>
      <c r="H68" s="26" t="s">
        <v>192</v>
      </c>
      <c r="I68" s="60">
        <v>0</v>
      </c>
    </row>
    <row r="69" customFormat="1" ht="14.5" spans="2:9">
      <c r="B69" s="24"/>
      <c r="C69" s="59" t="s">
        <v>193</v>
      </c>
      <c r="D69" s="26" t="s">
        <v>194</v>
      </c>
      <c r="E69" s="60">
        <v>0</v>
      </c>
      <c r="F69" s="58"/>
      <c r="G69" s="65" t="s">
        <v>195</v>
      </c>
      <c r="H69" s="26" t="s">
        <v>196</v>
      </c>
      <c r="I69" s="60">
        <v>0</v>
      </c>
    </row>
    <row r="70" customFormat="1" ht="14.5" spans="2:9">
      <c r="B70" s="53"/>
      <c r="C70" s="61"/>
      <c r="D70" s="66" t="s">
        <v>197</v>
      </c>
      <c r="E70" s="56">
        <f>E66-E67</f>
        <v>0</v>
      </c>
      <c r="F70" s="89">
        <v>8</v>
      </c>
      <c r="G70" s="90" t="s">
        <v>198</v>
      </c>
      <c r="H70" s="90"/>
      <c r="I70" s="124"/>
    </row>
    <row r="71" customFormat="1" ht="14.5" spans="2:9">
      <c r="B71" s="24"/>
      <c r="C71" s="59" t="s">
        <v>199</v>
      </c>
      <c r="D71" s="26" t="s">
        <v>200</v>
      </c>
      <c r="E71" s="60">
        <v>0</v>
      </c>
      <c r="F71" s="58"/>
      <c r="G71" s="91">
        <v>8.1</v>
      </c>
      <c r="H71" s="26" t="s">
        <v>10</v>
      </c>
      <c r="I71" s="125">
        <v>0</v>
      </c>
    </row>
    <row r="72" customFormat="1" ht="14.5" spans="2:9">
      <c r="B72" s="53"/>
      <c r="C72" s="92"/>
      <c r="D72" s="66" t="s">
        <v>201</v>
      </c>
      <c r="E72" s="56">
        <f>E70-E71</f>
        <v>0</v>
      </c>
      <c r="F72" s="58"/>
      <c r="G72" s="91">
        <v>8.2</v>
      </c>
      <c r="H72" s="93" t="s">
        <v>11</v>
      </c>
      <c r="I72" s="125">
        <v>0</v>
      </c>
    </row>
    <row r="73" customFormat="1" ht="14.5" spans="2:9">
      <c r="B73" s="53">
        <v>5.2</v>
      </c>
      <c r="C73" s="54" t="s">
        <v>202</v>
      </c>
      <c r="D73" s="55"/>
      <c r="E73" s="56">
        <f>E78</f>
        <v>0</v>
      </c>
      <c r="F73" s="58"/>
      <c r="G73" s="91">
        <v>8.3</v>
      </c>
      <c r="H73" s="93" t="s">
        <v>14</v>
      </c>
      <c r="I73" s="125">
        <v>0</v>
      </c>
    </row>
    <row r="74" customFormat="1" ht="30" spans="2:9">
      <c r="B74" s="24"/>
      <c r="C74" s="59" t="s">
        <v>203</v>
      </c>
      <c r="D74" s="26" t="s">
        <v>204</v>
      </c>
      <c r="E74" s="60">
        <v>0</v>
      </c>
      <c r="F74" s="58"/>
      <c r="G74" s="91">
        <v>8.4</v>
      </c>
      <c r="H74" s="93" t="s">
        <v>22</v>
      </c>
      <c r="I74" s="125">
        <v>0</v>
      </c>
    </row>
    <row r="75" customFormat="1" ht="30" spans="2:9">
      <c r="B75" s="24"/>
      <c r="C75" s="59" t="s">
        <v>205</v>
      </c>
      <c r="D75" s="26" t="s">
        <v>206</v>
      </c>
      <c r="E75" s="60">
        <v>0</v>
      </c>
      <c r="F75" s="58"/>
      <c r="G75" s="91">
        <v>8.5</v>
      </c>
      <c r="H75" s="93" t="s">
        <v>25</v>
      </c>
      <c r="I75" s="60" t="s">
        <v>207</v>
      </c>
    </row>
    <row r="76" customFormat="1" ht="14.5" spans="2:9">
      <c r="B76" s="24"/>
      <c r="C76" s="59" t="s">
        <v>208</v>
      </c>
      <c r="D76" s="26" t="s">
        <v>209</v>
      </c>
      <c r="E76" s="60">
        <v>0</v>
      </c>
      <c r="F76" s="58"/>
      <c r="G76" s="91">
        <v>8.6</v>
      </c>
      <c r="H76" s="93" t="s">
        <v>66</v>
      </c>
      <c r="I76" s="60">
        <v>0</v>
      </c>
    </row>
    <row r="77" customFormat="1" ht="14.5" spans="2:9">
      <c r="B77" s="24"/>
      <c r="C77" s="59" t="s">
        <v>210</v>
      </c>
      <c r="D77" s="26" t="s">
        <v>56</v>
      </c>
      <c r="E77" s="60">
        <v>0</v>
      </c>
      <c r="F77" s="94"/>
      <c r="G77" s="94"/>
      <c r="H77" s="94"/>
      <c r="I77" s="94"/>
    </row>
    <row r="78" customFormat="1" ht="14.5" spans="2:9">
      <c r="B78" s="53"/>
      <c r="C78" s="61"/>
      <c r="D78" s="66" t="s">
        <v>211</v>
      </c>
      <c r="E78" s="56">
        <f>E74+E76+E77</f>
        <v>0</v>
      </c>
      <c r="F78" s="94"/>
      <c r="G78" s="94"/>
      <c r="H78" s="94"/>
      <c r="I78" s="94"/>
    </row>
    <row r="79" customFormat="1" ht="15.25" spans="2:9">
      <c r="B79" s="95"/>
      <c r="C79" s="96"/>
      <c r="D79" s="97" t="s">
        <v>212</v>
      </c>
      <c r="E79" s="98">
        <f>E73+E26</f>
        <v>0</v>
      </c>
      <c r="F79" s="94"/>
      <c r="G79" s="94"/>
      <c r="H79" s="94"/>
      <c r="I79" s="94"/>
    </row>
    <row r="80" customFormat="1" ht="48" customHeight="1" spans="2:9">
      <c r="B80" s="99">
        <v>1</v>
      </c>
      <c r="C80" s="100" t="s">
        <v>213</v>
      </c>
      <c r="D80" s="101"/>
      <c r="E80" s="101"/>
      <c r="F80" s="101"/>
      <c r="G80" s="101"/>
      <c r="H80" s="101"/>
      <c r="I80" s="126"/>
    </row>
    <row r="81" customFormat="1" ht="36" customHeight="1" spans="2:9">
      <c r="B81" s="102">
        <v>2</v>
      </c>
      <c r="C81" s="100" t="s">
        <v>214</v>
      </c>
      <c r="D81" s="101"/>
      <c r="E81" s="101"/>
      <c r="F81" s="101"/>
      <c r="G81" s="101"/>
      <c r="H81" s="101"/>
      <c r="I81" s="126"/>
    </row>
    <row r="82" customFormat="1" ht="14.5" spans="2:9">
      <c r="B82" s="102">
        <v>3</v>
      </c>
      <c r="C82" s="100" t="s">
        <v>215</v>
      </c>
      <c r="D82" s="101"/>
      <c r="E82" s="101"/>
      <c r="F82" s="101"/>
      <c r="G82" s="101"/>
      <c r="H82" s="101"/>
      <c r="I82" s="126"/>
    </row>
    <row r="83" spans="2:9">
      <c r="B83" s="103"/>
      <c r="C83" s="104"/>
      <c r="D83" s="105"/>
      <c r="E83" s="106"/>
      <c r="F83" s="107"/>
      <c r="G83" s="108"/>
      <c r="H83" s="109"/>
      <c r="I83" s="127"/>
    </row>
    <row r="84" spans="2:9">
      <c r="B84" s="110"/>
      <c r="C84" s="105"/>
      <c r="D84" s="111" t="s">
        <v>216</v>
      </c>
      <c r="E84" s="112">
        <f>+E10/8%</f>
        <v>1.3125</v>
      </c>
      <c r="F84" s="111"/>
      <c r="G84" s="113"/>
      <c r="H84" s="113"/>
      <c r="I84" s="111"/>
    </row>
    <row r="85" spans="2:9">
      <c r="B85" s="110"/>
      <c r="C85" s="105"/>
      <c r="D85" s="111"/>
      <c r="E85" s="111"/>
      <c r="F85" s="111"/>
      <c r="G85" s="111"/>
      <c r="H85" s="111"/>
      <c r="I85" s="111"/>
    </row>
    <row r="86" spans="2:9">
      <c r="B86" s="110"/>
      <c r="C86" s="105"/>
      <c r="D86" s="114" t="s">
        <v>217</v>
      </c>
      <c r="E86" s="114" t="s">
        <v>218</v>
      </c>
      <c r="F86" s="111"/>
      <c r="G86" s="113"/>
      <c r="H86" s="113"/>
      <c r="I86" s="111"/>
    </row>
    <row r="87" ht="20" spans="2:9">
      <c r="B87" s="110"/>
      <c r="C87" s="105"/>
      <c r="D87" s="115">
        <f>-E10</f>
        <v>-0.105</v>
      </c>
      <c r="E87" s="114" t="s">
        <v>219</v>
      </c>
      <c r="F87" s="111"/>
      <c r="G87" s="116"/>
      <c r="H87" s="117"/>
      <c r="I87" s="111"/>
    </row>
    <row r="88" ht="20" spans="2:9">
      <c r="B88" s="110"/>
      <c r="C88" s="105"/>
      <c r="D88" s="115">
        <v>0</v>
      </c>
      <c r="E88" s="114" t="s">
        <v>220</v>
      </c>
      <c r="F88" s="111"/>
      <c r="G88" s="111"/>
      <c r="H88" s="111"/>
      <c r="I88" s="111"/>
    </row>
    <row r="89" ht="20" spans="2:9">
      <c r="B89" s="110"/>
      <c r="C89" s="105"/>
      <c r="D89" s="115">
        <f>+E11/4</f>
        <v>0.00625</v>
      </c>
      <c r="E89" s="114" t="s">
        <v>221</v>
      </c>
      <c r="F89" s="111"/>
      <c r="G89" s="111"/>
      <c r="H89" s="111"/>
      <c r="I89" s="111"/>
    </row>
    <row r="90" spans="2:9">
      <c r="B90" s="110"/>
      <c r="C90" s="105"/>
      <c r="D90" s="115"/>
      <c r="E90" s="114"/>
      <c r="F90" s="111"/>
      <c r="G90" s="111"/>
      <c r="H90" s="111"/>
      <c r="I90" s="111"/>
    </row>
    <row r="91" ht="20" spans="2:9">
      <c r="B91" s="110"/>
      <c r="C91" s="105"/>
      <c r="D91" s="115">
        <f>+D89*2</f>
        <v>0.0125</v>
      </c>
      <c r="E91" s="114" t="s">
        <v>222</v>
      </c>
      <c r="F91" s="111"/>
      <c r="G91" s="111"/>
      <c r="H91" s="111"/>
      <c r="I91" s="111"/>
    </row>
    <row r="92" ht="20" spans="2:9">
      <c r="B92" s="110"/>
      <c r="C92" s="105"/>
      <c r="D92" s="115">
        <f>+D89*3</f>
        <v>0.01875</v>
      </c>
      <c r="E92" s="114" t="s">
        <v>223</v>
      </c>
      <c r="F92" s="111"/>
      <c r="G92" s="111"/>
      <c r="H92" s="111"/>
      <c r="I92" s="111"/>
    </row>
    <row r="93" spans="2:9">
      <c r="B93" s="110"/>
      <c r="C93" s="105"/>
      <c r="D93" s="118"/>
      <c r="E93" s="114"/>
      <c r="F93" s="111"/>
      <c r="G93" s="111"/>
      <c r="H93" s="111"/>
      <c r="I93" s="111"/>
    </row>
    <row r="94" spans="2:9">
      <c r="B94" s="110"/>
      <c r="C94" s="105"/>
      <c r="D94" s="118"/>
      <c r="E94" s="114"/>
      <c r="F94" s="111"/>
      <c r="G94" s="111"/>
      <c r="H94" s="111"/>
      <c r="I94" s="111"/>
    </row>
    <row r="95" spans="2:9">
      <c r="B95" s="110"/>
      <c r="C95" s="105"/>
      <c r="D95" s="118"/>
      <c r="E95" s="114"/>
      <c r="F95" s="111"/>
      <c r="G95" s="111"/>
      <c r="H95" s="111"/>
      <c r="I95" s="111"/>
    </row>
    <row r="96" spans="2:9">
      <c r="B96" s="110"/>
      <c r="C96" s="105"/>
      <c r="D96" s="118"/>
      <c r="E96" s="114"/>
      <c r="F96" s="111"/>
      <c r="G96" s="111"/>
      <c r="H96" s="111"/>
      <c r="I96" s="111"/>
    </row>
    <row r="97" spans="2:9">
      <c r="B97" s="110"/>
      <c r="C97" s="105"/>
      <c r="D97" s="118"/>
      <c r="E97" s="114"/>
      <c r="F97" s="111"/>
      <c r="G97" s="111"/>
      <c r="H97" s="111"/>
      <c r="I97" s="111"/>
    </row>
    <row r="98" spans="2:9">
      <c r="B98" s="110"/>
      <c r="C98" s="105"/>
      <c r="D98" s="118"/>
      <c r="E98" s="114"/>
      <c r="F98" s="111"/>
      <c r="G98" s="111"/>
      <c r="H98" s="111"/>
      <c r="I98" s="111"/>
    </row>
    <row r="99" spans="2:9">
      <c r="B99" s="110"/>
      <c r="C99" s="105"/>
      <c r="D99" s="118"/>
      <c r="E99" s="114"/>
      <c r="F99" s="111"/>
      <c r="G99" s="111"/>
      <c r="H99" s="111"/>
      <c r="I99" s="111"/>
    </row>
    <row r="100" ht="20" spans="2:9">
      <c r="B100" s="110"/>
      <c r="C100" s="105"/>
      <c r="D100" s="118">
        <f>+D89*4</f>
        <v>0.025</v>
      </c>
      <c r="E100" s="114" t="s">
        <v>224</v>
      </c>
      <c r="F100" s="111"/>
      <c r="G100" s="111"/>
      <c r="H100" s="111"/>
      <c r="I100" s="111"/>
    </row>
    <row r="101" spans="2:9">
      <c r="B101" s="110"/>
      <c r="C101" s="105"/>
      <c r="D101" s="114"/>
      <c r="E101" s="114"/>
      <c r="F101" s="111"/>
      <c r="G101" s="111"/>
      <c r="H101" s="111"/>
      <c r="I101" s="111"/>
    </row>
    <row r="102" ht="30" spans="2:9">
      <c r="B102" s="110"/>
      <c r="C102" s="105"/>
      <c r="D102" s="114"/>
      <c r="E102" s="114" t="s">
        <v>225</v>
      </c>
      <c r="F102" s="114" t="s">
        <v>226</v>
      </c>
      <c r="G102" s="114"/>
      <c r="H102" s="114" t="s">
        <v>225</v>
      </c>
      <c r="I102" s="114"/>
    </row>
    <row r="103" spans="2:9">
      <c r="B103" s="110"/>
      <c r="C103" s="105"/>
      <c r="D103" s="114" t="s">
        <v>227</v>
      </c>
      <c r="E103" s="119">
        <f>I8-E8</f>
        <v>-0.07</v>
      </c>
      <c r="F103" s="119">
        <f>+IF(F104&lt;0,F104+E103,E103)</f>
        <v>-0.105</v>
      </c>
      <c r="G103" s="114" t="s">
        <v>227</v>
      </c>
      <c r="H103" s="119">
        <f>I8-E19</f>
        <v>-0.07</v>
      </c>
      <c r="I103" s="120"/>
    </row>
    <row r="104" spans="2:9">
      <c r="B104" s="110"/>
      <c r="C104" s="105"/>
      <c r="D104" s="114" t="s">
        <v>228</v>
      </c>
      <c r="E104" s="119">
        <f>+I10-I8-(E9-E8)</f>
        <v>-0.015</v>
      </c>
      <c r="F104" s="119">
        <f>+IF(E105&lt;0,E104+E105,E104)</f>
        <v>-0.035</v>
      </c>
      <c r="G104" s="114" t="s">
        <v>228</v>
      </c>
      <c r="H104" s="119">
        <f>(I10-I8-(E20-E19))</f>
        <v>-0.015</v>
      </c>
      <c r="I104" s="120"/>
    </row>
    <row r="105" spans="2:9">
      <c r="B105" s="110"/>
      <c r="C105" s="105"/>
      <c r="D105" s="114" t="s">
        <v>229</v>
      </c>
      <c r="E105" s="119">
        <f>+I12-I10-(E10-E9)</f>
        <v>-0.02</v>
      </c>
      <c r="F105" s="118"/>
      <c r="G105" s="114" t="s">
        <v>229</v>
      </c>
      <c r="H105" s="120"/>
      <c r="I105" s="114"/>
    </row>
    <row r="106" spans="2:9">
      <c r="B106" s="121"/>
      <c r="C106" s="117"/>
      <c r="D106" s="117"/>
      <c r="E106" s="122"/>
      <c r="F106" s="116"/>
      <c r="G106" s="116"/>
      <c r="H106" s="117"/>
      <c r="I106" s="121"/>
    </row>
  </sheetData>
  <sheetProtection password="DE1B" sheet="1"/>
  <mergeCells count="24">
    <mergeCell ref="B2:I2"/>
    <mergeCell ref="C3:D3"/>
    <mergeCell ref="C4:D4"/>
    <mergeCell ref="C5:D5"/>
    <mergeCell ref="C7:D7"/>
    <mergeCell ref="G7:H7"/>
    <mergeCell ref="C17:D17"/>
    <mergeCell ref="G17:H17"/>
    <mergeCell ref="C24:D24"/>
    <mergeCell ref="G24:H24"/>
    <mergeCell ref="C25:D25"/>
    <mergeCell ref="G25:H25"/>
    <mergeCell ref="C26:D26"/>
    <mergeCell ref="G33:H33"/>
    <mergeCell ref="G34:H34"/>
    <mergeCell ref="G56:H56"/>
    <mergeCell ref="G62:H62"/>
    <mergeCell ref="G65:H65"/>
    <mergeCell ref="G66:H66"/>
    <mergeCell ref="G70:H70"/>
    <mergeCell ref="C73:D73"/>
    <mergeCell ref="C80:I80"/>
    <mergeCell ref="C81:I81"/>
    <mergeCell ref="C82:I82"/>
  </mergeCells>
  <dataValidations count="2">
    <dataValidation type="decimal" operator="between" allowBlank="1" showInputMessage="1" showErrorMessage="1" sqref="E18 I18 I76 E8:E15 E25:E37 E40:E79 I8:I13 I25:I36 I40:I74">
      <formula1>-1000000000</formula1>
      <formula2>1000000000</formula2>
    </dataValidation>
    <dataValidation type="whole" operator="between" allowBlank="1" showInputMessage="1" showErrorMessage="1" sqref="E38:E39">
      <formula1>-1000000000</formula1>
      <formula2>1000000000</formula2>
    </dataValidation>
  </dataValidations>
  <pageMargins left="0.7" right="0.7" top="0.75" bottom="0.75" header="0.3" footer="0.3"/>
  <pageSetup paperSize="9" scale="45" fitToHeight="0" orientation="portrait" horizontalDpi="600"/>
  <headerFooter>
    <oddHeader>&amp;L&amp;"Calibri"&amp;10&amp;K0078D7CBUAE Classification: Restricted&amp;1#</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BRF95_5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Feby Imthias</dc:creator>
  <cp:lastModifiedBy>user</cp:lastModifiedBy>
  <dcterms:created xsi:type="dcterms:W3CDTF">2021-06-06T09:37:40Z</dcterms:created>
  <dcterms:modified xsi:type="dcterms:W3CDTF">2024-02-22T06:37:31Z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9e9404-3739-4dbf-9fa8-b6ae9df09a7a_Enabled">
    <vt:lpwstr>true</vt:lpwstr>
  </property>
  <property fmtid="{D5CDD505-2E9C-101B-9397-08002B2CF9AE}" pid="3" name="MSIP_Label_1d9e9404-3739-4dbf-9fa8-b6ae9df09a7a_SetDate">
    <vt:lpwstr>2022-06-22T14:23:53Z</vt:lpwstr>
  </property>
  <property fmtid="{D5CDD505-2E9C-101B-9397-08002B2CF9AE}" pid="4" name="MSIP_Label_1d9e9404-3739-4dbf-9fa8-b6ae9df09a7a_Method">
    <vt:lpwstr>Standard</vt:lpwstr>
  </property>
  <property fmtid="{D5CDD505-2E9C-101B-9397-08002B2CF9AE}" pid="5" name="MSIP_Label_1d9e9404-3739-4dbf-9fa8-b6ae9df09a7a_Name">
    <vt:lpwstr>Personal</vt:lpwstr>
  </property>
  <property fmtid="{D5CDD505-2E9C-101B-9397-08002B2CF9AE}" pid="6" name="MSIP_Label_1d9e9404-3739-4dbf-9fa8-b6ae9df09a7a_SiteId">
    <vt:lpwstr>fba6ee03-9647-4c58-86a3-db85ac6de45e</vt:lpwstr>
  </property>
  <property fmtid="{D5CDD505-2E9C-101B-9397-08002B2CF9AE}" pid="7" name="MSIP_Label_1d9e9404-3739-4dbf-9fa8-b6ae9df09a7a_ActionId">
    <vt:lpwstr>d36b384e-e653-47f9-872a-ffadd3a005d0</vt:lpwstr>
  </property>
  <property fmtid="{D5CDD505-2E9C-101B-9397-08002B2CF9AE}" pid="8" name="MSIP_Label_1d9e9404-3739-4dbf-9fa8-b6ae9df09a7a_ContentBits">
    <vt:lpwstr>1</vt:lpwstr>
  </property>
  <property fmtid="{D5CDD505-2E9C-101B-9397-08002B2CF9AE}" pid="9" name="ICV">
    <vt:lpwstr>6ECFD62E78584E0C9605FD8297B6B253_13</vt:lpwstr>
  </property>
  <property fmtid="{D5CDD505-2E9C-101B-9397-08002B2CF9AE}" pid="10" name="KSOProductBuildVer">
    <vt:lpwstr>1033-12.2.0.13431</vt:lpwstr>
  </property>
</Properties>
</file>