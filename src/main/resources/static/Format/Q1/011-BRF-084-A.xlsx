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84" sheetId="1" r:id="rId1"/>
    <sheet name="Drop_Down" sheetId="2" r:id="rId2"/>
  </sheets>
  <definedNames>
    <definedName name="B1END">BRF84!$A$24</definedName>
    <definedName name="B1START">BRF84!$A$22</definedName>
    <definedName name="B2END">BRF84!$A$27</definedName>
    <definedName name="B2START">BRF84!$A$25</definedName>
    <definedName name="COUNTRIES">Drop_Down!$B$3:$B$261</definedName>
    <definedName name="_xlnm.Print_Area" localSheetId="0">BRF84!$B$2:$R$28</definedName>
    <definedName name="RANGED8">BRF84!$D$8</definedName>
  </definedNames>
  <calcPr calcId="144525"/>
</workbook>
</file>

<file path=xl/sharedStrings.xml><?xml version="1.0" encoding="utf-8"?>
<sst xmlns="http://schemas.openxmlformats.org/spreadsheetml/2006/main" count="686" uniqueCount="625">
  <si>
    <t>LR</t>
  </si>
  <si>
    <t>CT1</t>
  </si>
  <si>
    <t>CT2</t>
  </si>
  <si>
    <t xml:space="preserve"> BANKING AND MONETARY STATISTICS- OVERSEAS INTERBANK EXPOSURE-  BRF 84 (AED 000)</t>
  </si>
  <si>
    <t>Template ID:</t>
  </si>
  <si>
    <t>4-84-2-4</t>
  </si>
  <si>
    <t xml:space="preserve">Name of Bank : </t>
  </si>
  <si>
    <t>Bank of Baroda</t>
  </si>
  <si>
    <t>Quarter End:</t>
  </si>
  <si>
    <t>BR</t>
  </si>
  <si>
    <t xml:space="preserve">Tier 1 Capital (as per CAR return):        </t>
  </si>
  <si>
    <t>Entity Level Tier 1 Capital</t>
  </si>
  <si>
    <t>SN</t>
  </si>
  <si>
    <t>Description</t>
  </si>
  <si>
    <t>Country</t>
  </si>
  <si>
    <t>Number of Offices</t>
  </si>
  <si>
    <t>Funded O/S</t>
  </si>
  <si>
    <t>Inter Bank CDs/Debt Securities</t>
  </si>
  <si>
    <t>Unfunded O/S</t>
  </si>
  <si>
    <t>CCF equivalent of unfunded O/S</t>
  </si>
  <si>
    <t>CCF equivalent of committed unused funded &amp; unfunded limits</t>
  </si>
  <si>
    <t>Total exposures (CCF basis) net of credit risk mitigation after hair cut</t>
  </si>
  <si>
    <t>As % of Tier 1 Capital</t>
  </si>
  <si>
    <t>Credit Risk Mitigation Type</t>
  </si>
  <si>
    <t>Credit Risk Mitigation after hair cut</t>
  </si>
  <si>
    <t>Collateral Value after hair cut</t>
  </si>
  <si>
    <t>CBUAE Classification</t>
  </si>
  <si>
    <t>Provision</t>
  </si>
  <si>
    <t>Remarks /Additional Information</t>
  </si>
  <si>
    <t>A. Funded Exposure of branches of foreign banks in UAE with their own head office, subsidiaries, affiliates and branches (Only Branches of Foreign Banks will report data in Part A)</t>
  </si>
  <si>
    <t>ST2</t>
  </si>
  <si>
    <t>Head Office</t>
  </si>
  <si>
    <t>NA</t>
  </si>
  <si>
    <t>ST3</t>
  </si>
  <si>
    <t>Subsidiaries</t>
  </si>
  <si>
    <t>ST4</t>
  </si>
  <si>
    <t>Affiliates</t>
  </si>
  <si>
    <t>ST5</t>
  </si>
  <si>
    <t>Branches</t>
  </si>
  <si>
    <t>ST6</t>
  </si>
  <si>
    <t>Total</t>
  </si>
  <si>
    <t>B. Unfunded Exposure of branches in UAE of foreign banks with their own head office and branches (Only Branches of Foreign Banks will report data in Part B)</t>
  </si>
  <si>
    <t>ST7</t>
  </si>
  <si>
    <t>ST8</t>
  </si>
  <si>
    <t>ST9</t>
  </si>
  <si>
    <t>ST10</t>
  </si>
  <si>
    <t>ST11</t>
  </si>
  <si>
    <t>C. Exposure of Banks incorporated in UAE with their foreign branches (Only Local Banks will report data in Part C)</t>
  </si>
  <si>
    <t>B1</t>
  </si>
  <si>
    <t>ST1</t>
  </si>
  <si>
    <t>D. All Other Interbank Exposure (Local Banks and Branches of Foreign Banks will report data in Part D)</t>
  </si>
  <si>
    <t>B2</t>
  </si>
  <si>
    <t>GT</t>
  </si>
  <si>
    <t>Total foreign interbank</t>
  </si>
  <si>
    <t>Note: 1. In part C, Report aggregate interbank exposure of banks incorporated in UAE with their foreign branches.</t>
  </si>
  <si>
    <t>FORM NO: BSD/BRF 84 -LE OVERSEAS INTERBK/ NOV23</t>
  </si>
  <si>
    <t>Country Incorporated</t>
  </si>
  <si>
    <t>Code</t>
  </si>
  <si>
    <t>Decription</t>
  </si>
  <si>
    <t>Country Name</t>
  </si>
  <si>
    <t>A</t>
  </si>
  <si>
    <t xml:space="preserve">Cash (as well as certificates of deposit or comparable instruments issued </t>
  </si>
  <si>
    <t>AD</t>
  </si>
  <si>
    <t>Andorra</t>
  </si>
  <si>
    <t>by the lending bank) on deposit with the bank which is incurring the</t>
  </si>
  <si>
    <t>AE</t>
  </si>
  <si>
    <t>United Arab Emirates</t>
  </si>
  <si>
    <t xml:space="preserve"> counterparty exposure.</t>
  </si>
  <si>
    <t>AF</t>
  </si>
  <si>
    <t>Afghanistan</t>
  </si>
  <si>
    <t>Note 1: Cash funded credit linked notes issued by the bank against</t>
  </si>
  <si>
    <t>AG</t>
  </si>
  <si>
    <t>Antigua and Barbuda</t>
  </si>
  <si>
    <t>exposures in the banking book which fulfil the criteria for credit</t>
  </si>
  <si>
    <t>AI</t>
  </si>
  <si>
    <t>Anguilla</t>
  </si>
  <si>
    <t>derivatives will be treated as cash collateralised transactions.</t>
  </si>
  <si>
    <t>AL</t>
  </si>
  <si>
    <t>Albania</t>
  </si>
  <si>
    <t>Note 2: When cash on deposit, certificates of deposit or comparable</t>
  </si>
  <si>
    <t>AM</t>
  </si>
  <si>
    <t>Armenia</t>
  </si>
  <si>
    <t>instruments issued by the lending bank are held as collateral at a</t>
  </si>
  <si>
    <t>AO</t>
  </si>
  <si>
    <t>Angola</t>
  </si>
  <si>
    <t>third-party bank in a noncustodial arrangement, if they are openly</t>
  </si>
  <si>
    <t>AQ</t>
  </si>
  <si>
    <t>Antarctica</t>
  </si>
  <si>
    <t>pledged/assigned to the lending bank and if the pledge/assignment is</t>
  </si>
  <si>
    <t>AR</t>
  </si>
  <si>
    <t>Argentina</t>
  </si>
  <si>
    <t>unconditional and irrevocable, the exposure amount covered by the</t>
  </si>
  <si>
    <t>AS</t>
  </si>
  <si>
    <t>American Samoa</t>
  </si>
  <si>
    <t>collateral (after any necessary haircuts for currency risk) will receive the</t>
  </si>
  <si>
    <t>AT</t>
  </si>
  <si>
    <t>Austria</t>
  </si>
  <si>
    <t>risk weight of the third-party bank);</t>
  </si>
  <si>
    <t>AU</t>
  </si>
  <si>
    <t>Australia</t>
  </si>
  <si>
    <t>B</t>
  </si>
  <si>
    <t>Gold</t>
  </si>
  <si>
    <t>AW</t>
  </si>
  <si>
    <t>Aruba</t>
  </si>
  <si>
    <t>C</t>
  </si>
  <si>
    <t>Debt securities rated by a recognised external credit assessment</t>
  </si>
  <si>
    <t>AX</t>
  </si>
  <si>
    <t>Aland Islands+C3</t>
  </si>
  <si>
    <t>institution where these are either:</t>
  </si>
  <si>
    <t>AZ</t>
  </si>
  <si>
    <t>Azerbaijan</t>
  </si>
  <si>
    <t>Rated at least BB- when issued by sovereigns or PSEs that are treated as</t>
  </si>
  <si>
    <t>BA</t>
  </si>
  <si>
    <t>Bosnia and Herzegovina</t>
  </si>
  <si>
    <t>sovereigns by the Central Bank; or</t>
  </si>
  <si>
    <t>BB</t>
  </si>
  <si>
    <t>Barbados</t>
  </si>
  <si>
    <t>At least BBB- when issued by other entities (including banks and</t>
  </si>
  <si>
    <t>BD</t>
  </si>
  <si>
    <t>Bangladesh</t>
  </si>
  <si>
    <t xml:space="preserve"> securities firms); or </t>
  </si>
  <si>
    <t>BE</t>
  </si>
  <si>
    <t>Belgium</t>
  </si>
  <si>
    <t>At least A-3/P-3 for short-term debt instruments.</t>
  </si>
  <si>
    <t>BF</t>
  </si>
  <si>
    <t>Burkina Faso</t>
  </si>
  <si>
    <t>D</t>
  </si>
  <si>
    <t>Debt securities not rated by a recognised external credit assessment</t>
  </si>
  <si>
    <t>BG</t>
  </si>
  <si>
    <t>Bulgaria</t>
  </si>
  <si>
    <t>institution where these are:</t>
  </si>
  <si>
    <t>BH</t>
  </si>
  <si>
    <t>Bahrain</t>
  </si>
  <si>
    <t>Issued by a bank; and</t>
  </si>
  <si>
    <t>BI</t>
  </si>
  <si>
    <t>Burundi</t>
  </si>
  <si>
    <t>Listed on a recognised exchange; and</t>
  </si>
  <si>
    <t>BJ</t>
  </si>
  <si>
    <t>Benin</t>
  </si>
  <si>
    <t>Classified as senior debt; and</t>
  </si>
  <si>
    <t>BL</t>
  </si>
  <si>
    <t>Saint Barthélemy</t>
  </si>
  <si>
    <t>All rated issues of the same seniority by the issuing bank must be rated at</t>
  </si>
  <si>
    <t>BM</t>
  </si>
  <si>
    <t>Bermuda</t>
  </si>
  <si>
    <t>least BBB- or A-3/P-3 by a recognised external credit assessment</t>
  </si>
  <si>
    <t>BN</t>
  </si>
  <si>
    <t>Brunei Darussalam</t>
  </si>
  <si>
    <t>institution; and</t>
  </si>
  <si>
    <t>BO</t>
  </si>
  <si>
    <t>Bolivia, Plurinational State of</t>
  </si>
  <si>
    <t>The bank holding the securities as collateral has no information to</t>
  </si>
  <si>
    <t>BQ</t>
  </si>
  <si>
    <t>Bonaire, Sint Eustatius and Saba</t>
  </si>
  <si>
    <t>suggest that the issue justifies a rating below BBB- or A-3/P-3 (as</t>
  </si>
  <si>
    <t>Brazil</t>
  </si>
  <si>
    <t>applicable); and</t>
  </si>
  <si>
    <t>BS</t>
  </si>
  <si>
    <t>Bahamas</t>
  </si>
  <si>
    <t>The Central Bank is sufficiently confident about the market liquidity of</t>
  </si>
  <si>
    <t>BT</t>
  </si>
  <si>
    <t>Bhutan</t>
  </si>
  <si>
    <t>the security.</t>
  </si>
  <si>
    <t>BV</t>
  </si>
  <si>
    <t>Bouvet Island</t>
  </si>
  <si>
    <t>E</t>
  </si>
  <si>
    <t>Equities (including convertible bonds) as per paragraph 95 of the CBUAE</t>
  </si>
  <si>
    <t>BW</t>
  </si>
  <si>
    <t>Botswana</t>
  </si>
  <si>
    <t>Standards re Capital Adequacy of Banks in the UAE</t>
  </si>
  <si>
    <t>BY</t>
  </si>
  <si>
    <t>Belarus</t>
  </si>
  <si>
    <t>F</t>
  </si>
  <si>
    <t>Equities (including convertible bonds) as per paragraph 96 of the CBUAE</t>
  </si>
  <si>
    <t>BZ</t>
  </si>
  <si>
    <t>Belize</t>
  </si>
  <si>
    <t>CA</t>
  </si>
  <si>
    <t>Canada</t>
  </si>
  <si>
    <t>G</t>
  </si>
  <si>
    <t>UCITS and mutual funds as per paragraph 95 of the CBUAE Standards re</t>
  </si>
  <si>
    <t>CC</t>
  </si>
  <si>
    <t>Cocos (Keeling) Islands</t>
  </si>
  <si>
    <t>Capital Adequacy in the UAE</t>
  </si>
  <si>
    <t>CD</t>
  </si>
  <si>
    <t>Congo, the Democratic Republic of the</t>
  </si>
  <si>
    <t>H</t>
  </si>
  <si>
    <t>UCITS and mutual funds as per paragraph 96 of the CBUAE Standards re</t>
  </si>
  <si>
    <t>CF</t>
  </si>
  <si>
    <t>Central African Republic</t>
  </si>
  <si>
    <t>CG</t>
  </si>
  <si>
    <t>Congo</t>
  </si>
  <si>
    <t>I</t>
  </si>
  <si>
    <t>Eligbile Guarantees as persribed in CBUAE Standards re Capital Adequacy in</t>
  </si>
  <si>
    <t>CH</t>
  </si>
  <si>
    <t>Switzerland</t>
  </si>
  <si>
    <t>the UAE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</si>
  <si>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</si>
  <si>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</si>
  <si>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</si>
  <si>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</si>
  <si>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</si>
  <si>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</si>
  <si>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</si>
  <si>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</si>
  <si>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</si>
  <si>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</si>
  <si>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</si>
  <si>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</si>
  <si>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</si>
  <si>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</si>
  <si>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</si>
  <si>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</si>
  <si>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</si>
  <si>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</si>
  <si>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</si>
  <si>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</si>
  <si>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</si>
  <si>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</si>
  <si>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</si>
  <si>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</si>
  <si>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</si>
  <si>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</si>
  <si>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</si>
  <si>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</si>
  <si>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</si>
  <si>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</si>
  <si>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</si>
  <si>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</si>
  <si>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</si>
  <si>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</si>
  <si>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</si>
  <si>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</si>
  <si>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</si>
  <si>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</si>
  <si>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</si>
  <si>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</si>
  <si>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</si>
  <si>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</si>
  <si>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</si>
  <si>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</si>
  <si>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</si>
  <si>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</si>
  <si>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</si>
  <si>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</si>
  <si>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</si>
  <si>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</si>
  <si>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</si>
  <si>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</si>
  <si>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</si>
  <si>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</si>
  <si>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</si>
  <si>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</si>
  <si>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</si>
  <si>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</si>
  <si>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</si>
  <si>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</si>
  <si>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</si>
  <si>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</si>
  <si>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</si>
  <si>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</si>
  <si>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</si>
  <si>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</si>
  <si>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</si>
  <si>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</si>
  <si>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</si>
  <si>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</si>
  <si>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</si>
  <si>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</si>
  <si>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</si>
  <si>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</si>
  <si>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</si>
  <si>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</si>
  <si>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</si>
  <si>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</si>
  <si>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</si>
  <si>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</si>
  <si>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</si>
  <si>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</si>
  <si>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</si>
  <si>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</si>
  <si>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</si>
  <si>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</si>
  <si>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</si>
  <si>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</si>
  <si>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</si>
  <si>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</si>
  <si>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</si>
  <si>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</si>
  <si>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</si>
  <si>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</si>
  <si>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</si>
  <si>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</si>
  <si>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</si>
  <si>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</si>
  <si>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</si>
  <si>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</si>
  <si>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</si>
  <si>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</si>
  <si>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</si>
  <si>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</si>
  <si>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</si>
  <si>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</si>
  <si>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</si>
  <si>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</si>
  <si>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</si>
  <si>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</si>
  <si>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</si>
  <si>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</si>
  <si>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</si>
  <si>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</si>
  <si>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</si>
  <si>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</si>
  <si>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</si>
  <si>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</si>
  <si>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</si>
  <si>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</si>
  <si>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</si>
  <si>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</si>
  <si>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</si>
  <si>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</si>
  <si>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</si>
  <si>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</si>
  <si>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</si>
  <si>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</si>
  <si>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</si>
  <si>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</si>
  <si>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</si>
  <si>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</si>
  <si>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</si>
  <si>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</si>
  <si>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</si>
  <si>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</si>
  <si>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</si>
  <si>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</si>
  <si>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</si>
  <si>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</si>
  <si>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</si>
  <si>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</si>
  <si>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</si>
  <si>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</si>
  <si>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</si>
  <si>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</si>
  <si>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</si>
  <si>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</si>
  <si>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</si>
  <si>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</si>
  <si>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</si>
  <si>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</si>
  <si>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</si>
  <si>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</si>
  <si>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</si>
  <si>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</si>
  <si>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</si>
  <si>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</si>
  <si>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</si>
  <si>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</si>
  <si>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</si>
  <si>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</si>
  <si>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</si>
  <si>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</si>
  <si>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</si>
  <si>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</si>
  <si>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</si>
  <si>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</si>
  <si>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</si>
  <si>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</si>
  <si>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</si>
  <si>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</si>
  <si>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</si>
  <si>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</si>
  <si>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</si>
  <si>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</si>
  <si>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</si>
  <si>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</si>
  <si>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</si>
  <si>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</si>
  <si>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</si>
  <si>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</si>
  <si>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</si>
  <si>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</si>
  <si>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</si>
  <si>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</si>
  <si>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</si>
  <si>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</si>
  <si>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</si>
  <si>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</si>
  <si>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</si>
  <si>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</si>
  <si>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</si>
  <si>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</si>
  <si>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</si>
  <si>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</si>
  <si>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</si>
  <si>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</si>
  <si>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</si>
  <si>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</si>
  <si>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</si>
  <si>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</si>
  <si>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</si>
  <si>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</si>
  <si>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</si>
  <si>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</si>
  <si>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</si>
  <si>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</si>
  <si>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</si>
  <si>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</si>
  <si>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</si>
  <si>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</si>
  <si>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</si>
  <si>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</si>
  <si>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</si>
  <si>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</si>
  <si>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</si>
  <si>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</si>
  <si>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</si>
  <si>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</si>
  <si>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</si>
  <si>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</si>
  <si>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</si>
  <si>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</si>
  <si>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</si>
  <si>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</si>
  <si>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</si>
  <si>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</si>
  <si>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</si>
  <si>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</si>
  <si>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NB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</si>
  <si>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</si>
  <si>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</si>
  <si>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</si>
  <si>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</si>
  <si>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</si>
  <si>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</si>
  <si>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</si>
  <si>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</si>
  <si>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</si>
  <si>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</si>
  <si>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</si>
  <si>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</si>
  <si>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</si>
  <si>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</si>
  <si>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</si>
  <si>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</si>
  <si>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</si>
  <si>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</si>
  <si>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</si>
  <si>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</si>
  <si>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</si>
  <si>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</si>
  <si>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</si>
  <si>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</si>
  <si>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</si>
  <si>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</si>
  <si>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</si>
  <si>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</si>
  <si>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</si>
  <si>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</si>
  <si>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</si>
  <si>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</si>
  <si>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</si>
  <si>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</si>
  <si>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</si>
  <si>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</si>
  <si>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</si>
  <si>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</si>
  <si>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</si>
  <si>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</si>
  <si>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</si>
  <si>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</si>
  <si>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</si>
  <si>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</si>
  <si>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</si>
  <si>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</si>
  <si>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</si>
  <si>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</si>
  <si>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</si>
  <si>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</si>
  <si>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</si>
  <si>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</si>
  <si>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</si>
  <si>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</si>
  <si>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</si>
  <si>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</si>
  <si>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</si>
  <si>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</si>
  <si>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</si>
  <si>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</si>
  <si>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</si>
  <si>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</si>
  <si>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</si>
  <si>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</si>
  <si>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</si>
  <si>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</si>
  <si>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</si>
  <si>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</si>
  <si>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</si>
  <si>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</si>
  <si>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</si>
  <si>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</si>
  <si>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</si>
  <si>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</si>
  <si>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</si>
  <si>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</si>
  <si>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</si>
  <si>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</si>
  <si>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</si>
  <si>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</si>
  <si>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</si>
  <si>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</si>
  <si>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</si>
  <si>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</si>
  <si>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</si>
  <si>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</si>
  <si>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</si>
  <si>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</si>
  <si>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</si>
  <si>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</si>
  <si>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</si>
  <si>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</si>
  <si>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</si>
  <si>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</si>
  <si>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</si>
  <si>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</si>
  <si>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</si>
  <si>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</si>
  <si>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</si>
  <si>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</si>
  <si>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</si>
  <si>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</si>
  <si>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</si>
  <si>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</si>
  <si>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</si>
  <si>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</si>
  <si>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</si>
  <si>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</si>
  <si>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</si>
  <si>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</si>
  <si>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</si>
  <si>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</si>
  <si>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</si>
  <si>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</si>
  <si>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</si>
  <si>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</si>
  <si>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</si>
  <si>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</si>
  <si>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</si>
  <si>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</si>
  <si>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</si>
  <si>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</si>
  <si>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</si>
  <si>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</si>
  <si>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</si>
  <si>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</si>
  <si>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</si>
  <si>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</si>
  <si>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</si>
  <si>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</si>
  <si>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</si>
  <si>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</si>
  <si>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</si>
  <si>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</si>
  <si>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</si>
  <si>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</si>
  <si>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</si>
  <si>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</si>
  <si>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</si>
  <si>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</si>
  <si>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</si>
  <si>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</si>
  <si>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</si>
  <si>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</si>
  <si>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</si>
  <si>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</si>
  <si>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</si>
  <si>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</si>
  <si>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</si>
  <si>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</si>
  <si>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</si>
  <si>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</si>
  <si>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</si>
  <si>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</si>
  <si>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</si>
  <si>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</si>
  <si>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</si>
  <si>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</si>
  <si>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</si>
  <si>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</si>
  <si>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</si>
  <si>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</si>
  <si>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</si>
  <si>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</si>
  <si>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</si>
  <si>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</si>
  <si>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</si>
  <si>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</si>
  <si>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XX1</t>
  </si>
  <si>
    <t>UAE - Abu Dhabi</t>
  </si>
  <si>
    <t>XX2</t>
  </si>
  <si>
    <t>UAE - Dubai</t>
  </si>
  <si>
    <t>XX3</t>
  </si>
  <si>
    <t>UAE - Sharjah</t>
  </si>
  <si>
    <t>XX4</t>
  </si>
  <si>
    <t>UAE - Ajman</t>
  </si>
  <si>
    <t>XX5</t>
  </si>
  <si>
    <t>UAE - Fujairah</t>
  </si>
  <si>
    <t>XX6</t>
  </si>
  <si>
    <t>UAE - Ras Al Khaimah</t>
  </si>
  <si>
    <t>XX7</t>
  </si>
  <si>
    <t>UAE - Umm Al Qaiwain</t>
  </si>
  <si>
    <t>XX8</t>
  </si>
  <si>
    <t>UAE - ADGM</t>
  </si>
  <si>
    <t>XX9</t>
  </si>
  <si>
    <t>UAE - DIFC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</si>
  <si>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</si>
  <si>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</si>
  <si>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</si>
  <si>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</si>
  <si>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</si>
  <si>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</si>
  <si>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</si>
  <si>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</si>
  <si>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</si>
  <si>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</si>
  <si>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RCT</t>
  </si>
  <si>
    <t>Remaining Countries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</si>
</sst>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9">
    <font>
      <sz val="11"/>
      <color theme="1"/>
      <name val="Calibri"/>
      <family val="2"/>
      <charset val="0"/>
      <scheme val="minor"/>
    </font>
    <font>
      <sz val="10"/>
      <color theme="1"/>
      <name val="Calibri"/>
      <family val="2"/>
      <charset val="0"/>
      <scheme val="minor"/>
    </font>
    <font>
      <b/>
      <sz val="10"/>
      <color theme="1"/>
      <name val="Arial"/>
      <family val="2"/>
      <charset val="0"/>
    </font>
    <font>
      <sz val="10"/>
      <color theme="1"/>
      <name val="Arial"/>
      <family val="2"/>
      <charset val="0"/>
    </font>
    <font>
      <sz val="11"/>
      <color theme="0"/>
      <name val="Calibri"/>
      <family val="2"/>
      <charset val="0"/>
      <scheme val="minor"/>
    </font>
    <font>
      <b/>
      <sz val="8"/>
      <color theme="0"/>
      <name val="Arial"/>
      <family val="2"/>
      <charset val="0"/>
    </font>
    <font>
      <b/>
      <sz val="8"/>
      <name val="Arial"/>
      <family val="2"/>
      <charset val="0"/>
    </font>
    <font>
      <b/>
      <sz val="8"/>
      <color rgb="FF000000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theme="0"/>
      <name val="Arial"/>
      <family val="2"/>
      <charset val="0"/>
    </font>
    <font>
      <sz val="8"/>
      <name val="Arial"/>
      <family val="2"/>
      <charset val="0"/>
    </font>
    <font>
      <sz val="8"/>
      <name val="Calibri"/>
      <family val="2"/>
      <charset val="0"/>
    </font>
    <font>
      <sz val="9"/>
      <name val="Arial"/>
      <family val="2"/>
      <charset val="0"/>
    </font>
    <font>
      <b/>
      <sz val="9"/>
      <name val="Arial"/>
      <family val="2"/>
      <charset val="0"/>
    </font>
    <font>
      <b/>
      <sz val="9"/>
      <color indexed="8"/>
      <name val="Arial"/>
      <family val="2"/>
      <charset val="0"/>
    </font>
    <font>
      <b/>
      <sz val="8"/>
      <color theme="1"/>
      <name val="Arial"/>
      <family val="2"/>
      <charset val="0"/>
    </font>
    <font>
      <sz val="8"/>
      <color theme="1"/>
      <name val="Arial"/>
      <family val="2"/>
      <charset val="0"/>
    </font>
    <font>
      <sz val="8"/>
      <color theme="1"/>
      <name val="Calibri"/>
      <family val="2"/>
      <charset val="0"/>
    </font>
    <font>
      <b/>
      <sz val="9"/>
      <color theme="1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  <font>
      <sz val="11"/>
      <color indexed="8"/>
      <name val="Calibri"/>
      <family val="2"/>
      <charset val="0"/>
    </font>
  </fonts>
  <fills count="3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0" fillId="8" borderId="16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6" fillId="0" borderId="19" applyNumberFormat="0" applyFill="0" applyAlignment="0" applyProtection="0"/>
    <xf numFmtId="0" fontId="26" fillId="0" borderId="0" applyNumberFormat="0" applyFill="0" applyBorder="0" applyAlignment="0" applyProtection="0"/>
    <xf numFmtId="0" fontId="27" fillId="9" borderId="20" applyNumberFormat="0" applyAlignment="0" applyProtection="0"/>
    <xf numFmtId="0" fontId="28" fillId="10" borderId="21" applyNumberFormat="0" applyAlignment="0" applyProtection="0"/>
    <xf numFmtId="0" fontId="29" fillId="10" borderId="20" applyNumberFormat="0" applyAlignment="0" applyProtection="0"/>
    <xf numFmtId="0" fontId="30" fillId="11" borderId="22" applyNumberFormat="0" applyAlignment="0" applyProtection="0"/>
    <xf numFmtId="0" fontId="31" fillId="0" borderId="23" applyNumberFormat="0" applyFill="0" applyAlignment="0" applyProtection="0"/>
    <xf numFmtId="0" fontId="32" fillId="0" borderId="24" applyNumberFormat="0" applyFill="0" applyAlignment="0" applyProtection="0"/>
    <xf numFmtId="0" fontId="33" fillId="12" borderId="0" applyNumberFormat="0" applyBorder="0" applyAlignment="0" applyProtection="0"/>
    <xf numFmtId="0" fontId="34" fillId="13" borderId="0" applyNumberFormat="0" applyBorder="0" applyAlignment="0" applyProtection="0"/>
    <xf numFmtId="0" fontId="35" fillId="14" borderId="0" applyNumberFormat="0" applyBorder="0" applyAlignment="0" applyProtection="0"/>
    <xf numFmtId="0" fontId="4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4" fillId="38" borderId="0" applyNumberFormat="0" applyBorder="0" applyAlignment="0" applyProtection="0"/>
    <xf numFmtId="0" fontId="36" fillId="0" borderId="0"/>
    <xf numFmtId="0" fontId="36" fillId="0" borderId="0"/>
    <xf numFmtId="0" fontId="37" fillId="0" borderId="0">
      <alignment vertical="center"/>
    </xf>
    <xf numFmtId="9" fontId="38" fillId="0" borderId="0" applyFont="0" applyFill="0" applyBorder="0" applyAlignment="0" applyProtection="0"/>
  </cellStyleXfs>
  <cellXfs count="13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/>
    <xf numFmtId="0" fontId="2" fillId="3" borderId="3" xfId="0" applyFont="1" applyFill="1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3" fillId="0" borderId="3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0" xfId="0" applyProtection="1"/>
    <xf numFmtId="0" fontId="0" fillId="0" borderId="0" xfId="0" applyFont="1" applyProtection="1"/>
    <xf numFmtId="0" fontId="5" fillId="0" borderId="0" xfId="0" applyFont="1" applyFill="1" applyBorder="1" applyProtection="1"/>
    <xf numFmtId="0" fontId="6" fillId="3" borderId="1" xfId="51" applyFont="1" applyFill="1" applyBorder="1" applyAlignment="1" applyProtection="1">
      <alignment horizontal="center" vertical="center"/>
    </xf>
    <xf numFmtId="0" fontId="6" fillId="3" borderId="10" xfId="51" applyFont="1" applyFill="1" applyBorder="1" applyAlignment="1" applyProtection="1">
      <alignment horizontal="center" vertical="center"/>
    </xf>
    <xf numFmtId="0" fontId="6" fillId="3" borderId="11" xfId="51" applyFont="1" applyFill="1" applyBorder="1" applyAlignment="1" applyProtection="1">
      <alignment horizontal="center" vertical="center"/>
    </xf>
    <xf numFmtId="0" fontId="7" fillId="4" borderId="6" xfId="49" applyFont="1" applyFill="1" applyBorder="1" applyAlignment="1" applyProtection="1">
      <alignment vertical="center"/>
    </xf>
    <xf numFmtId="15" fontId="6" fillId="0" borderId="9" xfId="50" applyNumberFormat="1" applyFont="1" applyFill="1" applyBorder="1" applyAlignment="1" applyProtection="1">
      <alignment horizontal="left" vertical="center"/>
    </xf>
    <xf numFmtId="15" fontId="6" fillId="0" borderId="12" xfId="50" applyNumberFormat="1" applyFont="1" applyFill="1" applyBorder="1" applyAlignment="1" applyProtection="1">
      <alignment horizontal="left" vertical="center"/>
    </xf>
    <xf numFmtId="15" fontId="6" fillId="0" borderId="7" xfId="50" applyNumberFormat="1" applyFont="1" applyFill="1" applyBorder="1" applyAlignment="1" applyProtection="1">
      <alignment horizontal="left"/>
    </xf>
    <xf numFmtId="15" fontId="6" fillId="0" borderId="11" xfId="50" applyNumberFormat="1" applyFont="1" applyFill="1" applyBorder="1" applyAlignment="1" applyProtection="1">
      <alignment horizontal="left"/>
    </xf>
    <xf numFmtId="15" fontId="6" fillId="0" borderId="11" xfId="50" applyNumberFormat="1" applyFont="1" applyFill="1" applyBorder="1" applyAlignment="1" applyProtection="1">
      <alignment horizontal="center"/>
    </xf>
    <xf numFmtId="15" fontId="6" fillId="4" borderId="3" xfId="50" applyNumberFormat="1" applyFont="1" applyFill="1" applyBorder="1" applyAlignment="1" applyProtection="1">
      <alignment horizontal="left" vertical="center"/>
    </xf>
    <xf numFmtId="15" fontId="6" fillId="0" borderId="1" xfId="50" applyNumberFormat="1" applyFont="1" applyFill="1" applyBorder="1" applyAlignment="1" applyProtection="1">
      <alignment horizontal="left" vertical="center"/>
    </xf>
    <xf numFmtId="15" fontId="6" fillId="0" borderId="10" xfId="50" applyNumberFormat="1" applyFont="1" applyFill="1" applyBorder="1" applyAlignment="1" applyProtection="1">
      <alignment horizontal="left" vertical="center"/>
    </xf>
    <xf numFmtId="15" fontId="6" fillId="0" borderId="8" xfId="50" applyNumberFormat="1" applyFont="1" applyFill="1" applyBorder="1" applyAlignment="1" applyProtection="1">
      <alignment horizontal="left"/>
    </xf>
    <xf numFmtId="15" fontId="6" fillId="0" borderId="0" xfId="50" applyNumberFormat="1" applyFont="1" applyFill="1" applyBorder="1" applyAlignment="1" applyProtection="1">
      <alignment horizontal="left"/>
    </xf>
    <xf numFmtId="15" fontId="6" fillId="0" borderId="0" xfId="50" applyNumberFormat="1" applyFont="1" applyFill="1" applyBorder="1" applyAlignment="1" applyProtection="1">
      <alignment horizontal="center"/>
    </xf>
    <xf numFmtId="0" fontId="6" fillId="4" borderId="4" xfId="50" applyFont="1" applyFill="1" applyBorder="1" applyAlignment="1" applyProtection="1">
      <alignment vertical="center"/>
    </xf>
    <xf numFmtId="15" fontId="6" fillId="0" borderId="7" xfId="50" applyNumberFormat="1" applyFont="1" applyFill="1" applyBorder="1" applyAlignment="1" applyProtection="1">
      <alignment horizontal="left" vertical="center"/>
    </xf>
    <xf numFmtId="15" fontId="6" fillId="0" borderId="11" xfId="50" applyNumberFormat="1" applyFont="1" applyFill="1" applyBorder="1" applyAlignment="1" applyProtection="1">
      <alignment horizontal="left" vertical="center"/>
    </xf>
    <xf numFmtId="0" fontId="8" fillId="0" borderId="1" xfId="0" applyFont="1" applyBorder="1" applyAlignment="1" applyProtection="1">
      <alignment horizontal="center" vertical="center"/>
    </xf>
    <xf numFmtId="0" fontId="8" fillId="0" borderId="2" xfId="0" applyFont="1" applyBorder="1" applyAlignment="1" applyProtection="1">
      <alignment horizontal="center" vertical="center"/>
    </xf>
    <xf numFmtId="0" fontId="9" fillId="0" borderId="2" xfId="51" applyFont="1" applyBorder="1" applyAlignment="1" applyProtection="1">
      <alignment vertical="center"/>
    </xf>
    <xf numFmtId="0" fontId="8" fillId="0" borderId="12" xfId="0" applyFont="1" applyBorder="1" applyAlignment="1" applyProtection="1"/>
    <xf numFmtId="0" fontId="8" fillId="0" borderId="9" xfId="0" applyFont="1" applyBorder="1" applyAlignment="1" applyProtection="1"/>
    <xf numFmtId="0" fontId="6" fillId="3" borderId="6" xfId="51" applyFont="1" applyFill="1" applyBorder="1" applyAlignment="1" applyProtection="1"/>
    <xf numFmtId="3" fontId="6" fillId="0" borderId="9" xfId="0" applyNumberFormat="1" applyFont="1" applyBorder="1" applyAlignment="1" applyProtection="1">
      <protection locked="0"/>
    </xf>
    <xf numFmtId="3" fontId="6" fillId="3" borderId="1" xfId="0" applyNumberFormat="1" applyFont="1" applyFill="1" applyBorder="1" applyAlignment="1" applyProtection="1"/>
    <xf numFmtId="0" fontId="6" fillId="5" borderId="6" xfId="1" applyNumberFormat="1" applyFont="1" applyFill="1" applyBorder="1" applyAlignment="1" applyProtection="1">
      <alignment vertical="center"/>
    </xf>
    <xf numFmtId="3" fontId="6" fillId="0" borderId="6" xfId="51" applyNumberFormat="1" applyFont="1" applyFill="1" applyBorder="1" applyAlignment="1" applyProtection="1">
      <alignment horizontal="right" vertical="center"/>
      <protection locked="0"/>
    </xf>
    <xf numFmtId="0" fontId="8" fillId="3" borderId="10" xfId="0" applyFont="1" applyFill="1" applyBorder="1" applyAlignment="1" applyProtection="1"/>
    <xf numFmtId="0" fontId="6" fillId="3" borderId="3" xfId="51" applyFont="1" applyFill="1" applyBorder="1" applyProtection="1">
      <alignment vertical="center"/>
    </xf>
    <xf numFmtId="0" fontId="6" fillId="5" borderId="3" xfId="51" applyFont="1" applyFill="1" applyBorder="1" applyAlignment="1" applyProtection="1">
      <alignment horizontal="center" vertical="center"/>
    </xf>
    <xf numFmtId="0" fontId="6" fillId="5" borderId="3" xfId="51" applyFont="1" applyFill="1" applyBorder="1" applyAlignment="1" applyProtection="1">
      <alignment horizontal="center" vertical="center" wrapText="1"/>
    </xf>
    <xf numFmtId="0" fontId="6" fillId="3" borderId="3" xfId="51" applyFont="1" applyFill="1" applyBorder="1" applyAlignment="1" applyProtection="1">
      <alignment horizontal="center" vertical="center" wrapText="1"/>
    </xf>
    <xf numFmtId="0" fontId="6" fillId="5" borderId="1" xfId="51" applyFont="1" applyFill="1" applyBorder="1" applyAlignment="1" applyProtection="1">
      <alignment vertical="top"/>
    </xf>
    <xf numFmtId="0" fontId="6" fillId="5" borderId="10" xfId="51" applyFont="1" applyFill="1" applyBorder="1" applyAlignment="1" applyProtection="1">
      <alignment vertical="top"/>
    </xf>
    <xf numFmtId="0" fontId="10" fillId="0" borderId="3" xfId="51" applyFont="1" applyFill="1" applyBorder="1" applyAlignment="1" applyProtection="1">
      <alignment horizontal="right" vertical="top" wrapText="1"/>
    </xf>
    <xf numFmtId="0" fontId="10" fillId="0" borderId="3" xfId="51" applyFont="1" applyFill="1" applyBorder="1" applyAlignment="1" applyProtection="1">
      <alignment horizontal="left" vertical="top" wrapText="1"/>
    </xf>
    <xf numFmtId="0" fontId="10" fillId="6" borderId="3" xfId="51" applyFont="1" applyFill="1" applyBorder="1" applyAlignment="1" applyProtection="1">
      <alignment horizontal="left" vertical="top" wrapText="1"/>
      <protection locked="0"/>
    </xf>
    <xf numFmtId="3" fontId="11" fillId="0" borderId="3" xfId="51" applyNumberFormat="1" applyFont="1" applyFill="1" applyBorder="1" applyProtection="1">
      <alignment vertical="center"/>
      <protection locked="0"/>
    </xf>
    <xf numFmtId="0" fontId="6" fillId="3" borderId="3" xfId="51" applyFont="1" applyFill="1" applyBorder="1" applyAlignment="1" applyProtection="1">
      <alignment horizontal="left" vertical="top" wrapText="1"/>
    </xf>
    <xf numFmtId="0" fontId="10" fillId="0" borderId="3" xfId="51" applyFont="1" applyBorder="1" applyAlignment="1" applyProtection="1">
      <alignment horizontal="right" vertical="center"/>
    </xf>
    <xf numFmtId="0" fontId="10" fillId="0" borderId="3" xfId="51" applyFont="1" applyFill="1" applyBorder="1" applyAlignment="1" applyProtection="1">
      <alignment horizontal="left" vertical="top"/>
    </xf>
    <xf numFmtId="0" fontId="10" fillId="3" borderId="3" xfId="51" applyFont="1" applyFill="1" applyBorder="1" applyAlignment="1" applyProtection="1">
      <alignment horizontal="left" vertical="top"/>
    </xf>
    <xf numFmtId="3" fontId="11" fillId="3" borderId="3" xfId="51" applyNumberFormat="1" applyFont="1" applyFill="1" applyBorder="1" applyProtection="1">
      <alignment vertical="center"/>
    </xf>
    <xf numFmtId="0" fontId="8" fillId="3" borderId="3" xfId="0" applyFont="1" applyFill="1" applyBorder="1" applyAlignment="1" applyProtection="1">
      <alignment horizontal="right"/>
    </xf>
    <xf numFmtId="0" fontId="8" fillId="3" borderId="4" xfId="0" applyFont="1" applyFill="1" applyBorder="1" applyProtection="1"/>
    <xf numFmtId="3" fontId="11" fillId="3" borderId="4" xfId="51" applyNumberFormat="1" applyFont="1" applyFill="1" applyBorder="1" applyProtection="1">
      <alignment vertical="center"/>
    </xf>
    <xf numFmtId="0" fontId="8" fillId="3" borderId="3" xfId="0" applyFont="1" applyFill="1" applyBorder="1" applyProtection="1"/>
    <xf numFmtId="0" fontId="10" fillId="0" borderId="3" xfId="51" applyFont="1" applyBorder="1" applyProtection="1">
      <alignment vertical="center"/>
    </xf>
    <xf numFmtId="0" fontId="10" fillId="0" borderId="3" xfId="51" applyFont="1" applyFill="1" applyBorder="1" applyAlignment="1" applyProtection="1">
      <alignment horizontal="left" vertical="top"/>
      <protection locked="0"/>
    </xf>
    <xf numFmtId="0" fontId="6" fillId="5" borderId="6" xfId="51" applyFont="1" applyFill="1" applyBorder="1" applyAlignment="1" applyProtection="1">
      <alignment vertical="center"/>
    </xf>
    <xf numFmtId="0" fontId="6" fillId="5" borderId="6" xfId="51" applyFont="1" applyFill="1" applyBorder="1" applyAlignment="1" applyProtection="1"/>
    <xf numFmtId="2" fontId="6" fillId="5" borderId="9" xfId="0" applyNumberFormat="1" applyFont="1" applyFill="1" applyBorder="1" applyAlignment="1" applyProtection="1"/>
    <xf numFmtId="0" fontId="8" fillId="5" borderId="9" xfId="0" applyFont="1" applyFill="1" applyBorder="1" applyProtection="1"/>
    <xf numFmtId="0" fontId="8" fillId="5" borderId="12" xfId="0" applyFont="1" applyFill="1" applyBorder="1" applyAlignment="1" applyProtection="1"/>
    <xf numFmtId="0" fontId="8" fillId="0" borderId="12" xfId="0" applyFont="1" applyFill="1" applyBorder="1" applyAlignment="1" applyProtection="1"/>
    <xf numFmtId="0" fontId="10" fillId="3" borderId="4" xfId="51" applyFont="1" applyFill="1" applyBorder="1" applyProtection="1">
      <alignment vertical="center"/>
    </xf>
    <xf numFmtId="0" fontId="6" fillId="3" borderId="4" xfId="51" applyFont="1" applyFill="1" applyBorder="1" applyAlignment="1" applyProtection="1">
      <alignment horizontal="left" vertical="top" wrapText="1"/>
    </xf>
    <xf numFmtId="0" fontId="6" fillId="0" borderId="3" xfId="51" applyFont="1" applyFill="1" applyBorder="1" applyAlignment="1" applyProtection="1">
      <alignment horizontal="left" vertical="top"/>
    </xf>
    <xf numFmtId="0" fontId="10" fillId="5" borderId="1" xfId="51" applyFont="1" applyFill="1" applyBorder="1" applyAlignment="1" applyProtection="1">
      <alignment vertical="center"/>
    </xf>
    <xf numFmtId="0" fontId="10" fillId="0" borderId="10" xfId="51" applyFont="1" applyFill="1" applyBorder="1" applyAlignment="1" applyProtection="1">
      <alignment vertical="center"/>
    </xf>
    <xf numFmtId="0" fontId="6" fillId="0" borderId="3" xfId="51" applyFont="1" applyFill="1" applyBorder="1" applyAlignment="1" applyProtection="1">
      <alignment horizontal="center" vertical="top"/>
    </xf>
    <xf numFmtId="0" fontId="12" fillId="0" borderId="1" xfId="51" applyFont="1" applyFill="1" applyBorder="1" applyAlignment="1" applyProtection="1">
      <alignment vertical="top"/>
    </xf>
    <xf numFmtId="0" fontId="13" fillId="0" borderId="10" xfId="51" applyFont="1" applyFill="1" applyBorder="1" applyAlignment="1" applyProtection="1">
      <alignment vertical="top"/>
    </xf>
    <xf numFmtId="0" fontId="14" fillId="0" borderId="10" xfId="0" applyFont="1" applyFill="1" applyBorder="1" applyAlignment="1" applyProtection="1"/>
    <xf numFmtId="0" fontId="4" fillId="0" borderId="0" xfId="0" applyFont="1" applyAlignment="1" applyProtection="1">
      <alignment horizontal="center" vertical="center"/>
    </xf>
    <xf numFmtId="0" fontId="5" fillId="0" borderId="0" xfId="51" applyFont="1" applyAlignment="1" applyProtection="1">
      <alignment vertical="center"/>
    </xf>
    <xf numFmtId="15" fontId="15" fillId="0" borderId="11" xfId="50" applyNumberFormat="1" applyFont="1" applyFill="1" applyBorder="1" applyAlignment="1" applyProtection="1">
      <alignment horizontal="center"/>
    </xf>
    <xf numFmtId="15" fontId="15" fillId="0" borderId="0" xfId="50" applyNumberFormat="1" applyFont="1" applyFill="1" applyBorder="1" applyAlignment="1" applyProtection="1">
      <alignment horizontal="center"/>
    </xf>
    <xf numFmtId="0" fontId="16" fillId="0" borderId="12" xfId="0" applyFont="1" applyBorder="1" applyAlignment="1" applyProtection="1"/>
    <xf numFmtId="0" fontId="8" fillId="0" borderId="12" xfId="0" applyFont="1" applyBorder="1" applyProtection="1"/>
    <xf numFmtId="0" fontId="15" fillId="0" borderId="0" xfId="51" applyFont="1" applyAlignment="1" applyProtection="1">
      <alignment vertical="center"/>
    </xf>
    <xf numFmtId="0" fontId="16" fillId="3" borderId="10" xfId="0" applyFont="1" applyFill="1" applyBorder="1" applyAlignment="1" applyProtection="1"/>
    <xf numFmtId="0" fontId="16" fillId="3" borderId="10" xfId="0" applyFont="1" applyFill="1" applyBorder="1" applyAlignment="1" applyProtection="1">
      <alignment horizontal="center"/>
    </xf>
    <xf numFmtId="0" fontId="8" fillId="3" borderId="10" xfId="0" applyFont="1" applyFill="1" applyBorder="1" applyAlignment="1" applyProtection="1">
      <alignment horizontal="center"/>
    </xf>
    <xf numFmtId="0" fontId="8" fillId="3" borderId="10" xfId="0" applyFont="1" applyFill="1" applyBorder="1" applyProtection="1"/>
    <xf numFmtId="0" fontId="15" fillId="3" borderId="3" xfId="51" applyFont="1" applyFill="1" applyBorder="1" applyAlignment="1" applyProtection="1">
      <alignment horizontal="center" vertical="center" wrapText="1"/>
    </xf>
    <xf numFmtId="0" fontId="15" fillId="5" borderId="3" xfId="51" applyFont="1" applyFill="1" applyBorder="1" applyAlignment="1" applyProtection="1">
      <alignment horizontal="center" vertical="center" wrapText="1"/>
    </xf>
    <xf numFmtId="0" fontId="15" fillId="5" borderId="10" xfId="51" applyFont="1" applyFill="1" applyBorder="1" applyAlignment="1" applyProtection="1">
      <alignment vertical="top"/>
    </xf>
    <xf numFmtId="0" fontId="8" fillId="5" borderId="10" xfId="0" applyFont="1" applyFill="1" applyBorder="1" applyProtection="1"/>
    <xf numFmtId="3" fontId="17" fillId="3" borderId="3" xfId="51" applyNumberFormat="1" applyFont="1" applyFill="1" applyBorder="1" applyProtection="1">
      <alignment vertical="center"/>
    </xf>
    <xf numFmtId="10" fontId="17" fillId="7" borderId="3" xfId="52" applyNumberFormat="1" applyFont="1" applyFill="1" applyBorder="1" applyAlignment="1" applyProtection="1">
      <alignment vertical="center"/>
    </xf>
    <xf numFmtId="3" fontId="17" fillId="3" borderId="4" xfId="51" applyNumberFormat="1" applyFont="1" applyFill="1" applyBorder="1" applyProtection="1">
      <alignment vertical="center"/>
    </xf>
    <xf numFmtId="10" fontId="17" fillId="7" borderId="4" xfId="52" applyNumberFormat="1" applyFont="1" applyFill="1" applyBorder="1" applyAlignment="1" applyProtection="1">
      <alignment vertical="center"/>
    </xf>
    <xf numFmtId="0" fontId="16" fillId="0" borderId="12" xfId="0" applyFont="1" applyFill="1" applyBorder="1" applyAlignment="1" applyProtection="1"/>
    <xf numFmtId="0" fontId="16" fillId="0" borderId="12" xfId="0" applyFont="1" applyFill="1" applyBorder="1" applyAlignment="1" applyProtection="1">
      <alignment horizontal="center"/>
    </xf>
    <xf numFmtId="0" fontId="8" fillId="0" borderId="12" xfId="0" applyFont="1" applyFill="1" applyBorder="1" applyAlignment="1" applyProtection="1">
      <alignment horizontal="center"/>
    </xf>
    <xf numFmtId="0" fontId="8" fillId="0" borderId="12" xfId="0" applyFont="1" applyFill="1" applyBorder="1" applyProtection="1"/>
    <xf numFmtId="0" fontId="18" fillId="0" borderId="10" xfId="0" applyFont="1" applyFill="1" applyBorder="1" applyAlignment="1" applyProtection="1"/>
    <xf numFmtId="0" fontId="8" fillId="0" borderId="10" xfId="0" applyFont="1" applyBorder="1" applyProtection="1"/>
    <xf numFmtId="0" fontId="0" fillId="0" borderId="12" xfId="0" applyFont="1" applyBorder="1" applyAlignment="1" applyProtection="1">
      <alignment horizontal="center" vertical="center"/>
    </xf>
    <xf numFmtId="0" fontId="0" fillId="0" borderId="12" xfId="0" applyBorder="1" applyAlignment="1" applyProtection="1">
      <alignment horizontal="center" vertical="center"/>
    </xf>
    <xf numFmtId="0" fontId="0" fillId="0" borderId="0" xfId="0" applyFont="1" applyAlignment="1" applyProtection="1">
      <alignment horizontal="center" vertical="center"/>
    </xf>
    <xf numFmtId="0" fontId="6" fillId="3" borderId="13" xfId="51" applyFont="1" applyFill="1" applyBorder="1" applyAlignment="1" applyProtection="1">
      <alignment horizontal="center" vertical="center"/>
    </xf>
    <xf numFmtId="15" fontId="6" fillId="0" borderId="13" xfId="50" applyNumberFormat="1" applyFont="1" applyFill="1" applyBorder="1" applyAlignment="1" applyProtection="1">
      <alignment horizontal="center"/>
    </xf>
    <xf numFmtId="15" fontId="6" fillId="0" borderId="14" xfId="50" applyNumberFormat="1" applyFont="1" applyFill="1" applyBorder="1" applyAlignment="1" applyProtection="1">
      <alignment horizontal="center"/>
    </xf>
    <xf numFmtId="0" fontId="8" fillId="0" borderId="15" xfId="0" applyFont="1" applyBorder="1" applyProtection="1"/>
    <xf numFmtId="0" fontId="8" fillId="3" borderId="2" xfId="0" applyFont="1" applyFill="1" applyBorder="1" applyProtection="1"/>
    <xf numFmtId="0" fontId="8" fillId="5" borderId="2" xfId="0" applyFont="1" applyFill="1" applyBorder="1" applyProtection="1"/>
    <xf numFmtId="0" fontId="8" fillId="5" borderId="3" xfId="0" applyFont="1" applyFill="1" applyBorder="1" applyProtection="1"/>
    <xf numFmtId="3" fontId="11" fillId="5" borderId="13" xfId="51" applyNumberFormat="1" applyFont="1" applyFill="1" applyBorder="1" applyProtection="1">
      <alignment vertical="center"/>
    </xf>
    <xf numFmtId="0" fontId="8" fillId="0" borderId="15" xfId="0" applyFont="1" applyFill="1" applyBorder="1" applyProtection="1"/>
    <xf numFmtId="0" fontId="8" fillId="0" borderId="6" xfId="0" applyFont="1" applyFill="1" applyBorder="1" applyProtection="1"/>
    <xf numFmtId="0" fontId="8" fillId="0" borderId="2" xfId="0" applyFont="1" applyBorder="1" applyProtection="1"/>
    <xf numFmtId="0" fontId="0" fillId="0" borderId="15" xfId="0" applyBorder="1" applyAlignment="1" applyProtection="1">
      <alignment horizontal="center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6" xfId="51"/>
    <cellStyle name="Percent 3" xfId="52"/>
  </cellStyles>
  <tableStyles count="0" defaultTableStyle="TableStyleMedium2" defaultPivotStyle="PivotStyleLight16"/>
  <colors>
    <mruColors>
      <color rgb="00BFBFBF"/>
      <color rgb="00FFFF00"/>
      <color rgb="00FFFFFF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82550</xdr:colOff>
          <xdr:row>3</xdr:row>
          <xdr:rowOff>12700</xdr:rowOff>
        </xdr:from>
        <xdr:to>
          <xdr:col>8</xdr:col>
          <xdr:colOff>82550</xdr:colOff>
          <xdr:row>4</xdr:row>
          <xdr:rowOff>50800</xdr:rowOff>
        </xdr:to>
        <xdr:sp macro="[0]!InsertRowb84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4933950" y="565150"/>
              <a:ext cx="622300" cy="222250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850900</xdr:colOff>
          <xdr:row>3</xdr:row>
          <xdr:rowOff>38100</xdr:rowOff>
        </xdr:from>
        <xdr:to>
          <xdr:col>9</xdr:col>
          <xdr:colOff>590550</xdr:colOff>
          <xdr:row>4</xdr:row>
          <xdr:rowOff>50800</xdr:rowOff>
        </xdr:to>
        <xdr:sp macro="[0]!DeleteRow84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096000" y="590550"/>
              <a:ext cx="590550" cy="196850"/>
            </a:xfrm>
            <a:prstGeom prst="rect">
              <a:avLst/>
            </a:prstGeom>
          </xdr:spPr>
          <xdr:txBody>
            <a:bodyPr vert="horz" wrap="square" lIns="27432" tIns="27432" rIns="27432" bIns="27432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31"/>
  <sheetViews>
    <sheetView showGridLines="0" tabSelected="1" zoomScaleSheetLayoutView="60" workbookViewId="0">
      <selection activeCell="E11" sqref="E11"/>
    </sheetView>
  </sheetViews>
  <sheetFormatPr defaultColWidth="0" defaultRowHeight="14.5"/>
  <cols>
    <col min="1" max="1" width="3.81818181818182" style="22" customWidth="1"/>
    <col min="2" max="2" width="11.5454545454545" style="24" customWidth="1"/>
    <col min="3" max="3" width="18.4545454545455" style="24" customWidth="1"/>
    <col min="4" max="10" width="8.90909090909091" style="24" customWidth="1"/>
    <col min="11" max="12" width="8.90909090909091" style="25" customWidth="1"/>
    <col min="13" max="18" width="8.90909090909091" style="24" customWidth="1"/>
    <col min="19" max="19" width="8.81818181818182" style="24" customWidth="1"/>
    <col min="20" max="16384" width="8.81818181818182" style="24" hidden="1"/>
  </cols>
  <sheetData>
    <row r="1" s="22" customFormat="1" spans="1:12">
      <c r="A1" s="26" t="s">
        <v>0</v>
      </c>
      <c r="K1" s="93" t="s">
        <v>1</v>
      </c>
      <c r="L1" s="93" t="s">
        <v>2</v>
      </c>
    </row>
    <row r="2" spans="1:18">
      <c r="A2" s="26" t="s">
        <v>0</v>
      </c>
      <c r="B2" s="27" t="s">
        <v>3</v>
      </c>
      <c r="C2" s="28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120"/>
    </row>
    <row r="3" spans="1:18">
      <c r="A3" s="26" t="s">
        <v>0</v>
      </c>
      <c r="B3" s="30" t="s">
        <v>4</v>
      </c>
      <c r="C3" s="31" t="s">
        <v>5</v>
      </c>
      <c r="D3" s="32"/>
      <c r="E3" s="33"/>
      <c r="F3" s="34"/>
      <c r="G3" s="35"/>
      <c r="H3" s="35"/>
      <c r="I3" s="35"/>
      <c r="J3" s="35"/>
      <c r="K3" s="94"/>
      <c r="L3" s="94"/>
      <c r="M3" s="35"/>
      <c r="N3" s="35"/>
      <c r="O3" s="35"/>
      <c r="P3" s="35"/>
      <c r="Q3" s="35"/>
      <c r="R3" s="121"/>
    </row>
    <row r="4" spans="1:18">
      <c r="A4" s="26" t="s">
        <v>0</v>
      </c>
      <c r="B4" s="36" t="s">
        <v>6</v>
      </c>
      <c r="C4" s="37" t="s">
        <v>7</v>
      </c>
      <c r="D4" s="38"/>
      <c r="E4" s="39"/>
      <c r="F4" s="40"/>
      <c r="G4" s="41"/>
      <c r="H4" s="41"/>
      <c r="I4" s="41"/>
      <c r="J4" s="41"/>
      <c r="K4" s="95"/>
      <c r="L4" s="95"/>
      <c r="M4" s="41"/>
      <c r="N4" s="41"/>
      <c r="O4" s="41"/>
      <c r="P4" s="41"/>
      <c r="Q4" s="41"/>
      <c r="R4" s="122"/>
    </row>
    <row r="5" spans="1:18">
      <c r="A5" s="26" t="s">
        <v>0</v>
      </c>
      <c r="B5" s="42" t="s">
        <v>8</v>
      </c>
      <c r="C5" s="43"/>
      <c r="D5" s="44"/>
      <c r="E5" s="39"/>
      <c r="F5" s="40"/>
      <c r="G5" s="41"/>
      <c r="H5" s="41"/>
      <c r="I5" s="41"/>
      <c r="J5" s="41"/>
      <c r="K5" s="95"/>
      <c r="L5" s="95"/>
      <c r="M5" s="41"/>
      <c r="N5" s="41"/>
      <c r="O5" s="41"/>
      <c r="P5" s="41"/>
      <c r="Q5" s="41"/>
      <c r="R5" s="122"/>
    </row>
    <row r="6" spans="1:18">
      <c r="A6" s="26" t="s">
        <v>0</v>
      </c>
      <c r="B6" s="45"/>
      <c r="C6" s="46"/>
      <c r="D6" s="47">
        <v>1</v>
      </c>
      <c r="E6" s="48"/>
      <c r="F6" s="48"/>
      <c r="G6" s="48"/>
      <c r="H6" s="48"/>
      <c r="I6" s="48"/>
      <c r="J6" s="48"/>
      <c r="K6" s="96"/>
      <c r="L6" s="96"/>
      <c r="M6" s="48"/>
      <c r="N6" s="48"/>
      <c r="O6" s="97"/>
      <c r="P6" s="97"/>
      <c r="Q6" s="97"/>
      <c r="R6" s="123"/>
    </row>
    <row r="7" spans="1:18">
      <c r="A7" s="26" t="s">
        <v>0</v>
      </c>
      <c r="B7" s="49"/>
      <c r="C7" s="48"/>
      <c r="D7" s="48"/>
      <c r="E7" s="48"/>
      <c r="F7" s="48"/>
      <c r="G7" s="48"/>
      <c r="H7" s="48"/>
      <c r="I7" s="48"/>
      <c r="J7" s="48"/>
      <c r="K7" s="98"/>
      <c r="L7" s="98"/>
      <c r="M7" s="48"/>
      <c r="N7" s="48"/>
      <c r="O7" s="97"/>
      <c r="P7" s="97"/>
      <c r="Q7" s="97"/>
      <c r="R7" s="123"/>
    </row>
    <row r="8" spans="1:18">
      <c r="A8" s="26" t="s">
        <v>9</v>
      </c>
      <c r="B8" s="50"/>
      <c r="C8" s="50" t="s">
        <v>10</v>
      </c>
      <c r="D8" s="51">
        <v>0</v>
      </c>
      <c r="E8" s="52"/>
      <c r="F8" s="53" t="s">
        <v>11</v>
      </c>
      <c r="G8" s="54">
        <v>0</v>
      </c>
      <c r="H8" s="55"/>
      <c r="I8" s="55"/>
      <c r="J8" s="55"/>
      <c r="K8" s="99"/>
      <c r="L8" s="100"/>
      <c r="M8" s="101"/>
      <c r="N8" s="101"/>
      <c r="O8" s="102"/>
      <c r="P8" s="102"/>
      <c r="Q8" s="102"/>
      <c r="R8" s="124"/>
    </row>
    <row r="9" ht="84" spans="1:18">
      <c r="A9" s="26" t="s">
        <v>9</v>
      </c>
      <c r="B9" s="56" t="s">
        <v>12</v>
      </c>
      <c r="C9" s="56" t="s">
        <v>13</v>
      </c>
      <c r="D9" s="57" t="s">
        <v>14</v>
      </c>
      <c r="E9" s="58" t="s">
        <v>15</v>
      </c>
      <c r="F9" s="58" t="s">
        <v>16</v>
      </c>
      <c r="G9" s="59" t="s">
        <v>17</v>
      </c>
      <c r="H9" s="59" t="s">
        <v>18</v>
      </c>
      <c r="I9" s="59" t="s">
        <v>19</v>
      </c>
      <c r="J9" s="59" t="s">
        <v>20</v>
      </c>
      <c r="K9" s="103" t="s">
        <v>21</v>
      </c>
      <c r="L9" s="104" t="s">
        <v>22</v>
      </c>
      <c r="M9" s="58" t="s">
        <v>23</v>
      </c>
      <c r="N9" s="58" t="s">
        <v>24</v>
      </c>
      <c r="O9" s="58" t="s">
        <v>25</v>
      </c>
      <c r="P9" s="58" t="s">
        <v>26</v>
      </c>
      <c r="Q9" s="58" t="s">
        <v>27</v>
      </c>
      <c r="R9" s="58" t="s">
        <v>28</v>
      </c>
    </row>
    <row r="10" spans="1:18">
      <c r="A10" s="26" t="s">
        <v>9</v>
      </c>
      <c r="B10" s="60" t="s">
        <v>29</v>
      </c>
      <c r="C10" s="61"/>
      <c r="D10" s="61"/>
      <c r="E10" s="61"/>
      <c r="F10" s="61"/>
      <c r="G10" s="61"/>
      <c r="H10" s="61"/>
      <c r="I10" s="61"/>
      <c r="J10" s="61"/>
      <c r="K10" s="105"/>
      <c r="L10" s="105"/>
      <c r="M10" s="61"/>
      <c r="N10" s="61"/>
      <c r="O10" s="106"/>
      <c r="P10" s="106"/>
      <c r="Q10" s="125"/>
      <c r="R10" s="126"/>
    </row>
    <row r="11" spans="1:18">
      <c r="A11" s="26" t="s">
        <v>30</v>
      </c>
      <c r="B11" s="62">
        <v>1</v>
      </c>
      <c r="C11" s="63" t="s">
        <v>31</v>
      </c>
      <c r="D11" s="64" t="s">
        <v>32</v>
      </c>
      <c r="E11" s="65">
        <v>0</v>
      </c>
      <c r="F11" s="65">
        <v>0</v>
      </c>
      <c r="G11" s="65">
        <v>0</v>
      </c>
      <c r="H11" s="66"/>
      <c r="I11" s="66"/>
      <c r="J11" s="66"/>
      <c r="K11" s="107">
        <f>+F11+G11</f>
        <v>0</v>
      </c>
      <c r="L11" s="108">
        <f>IF(D8=0,0,K11/D8)</f>
        <v>0</v>
      </c>
      <c r="M11" s="64" t="s">
        <v>32</v>
      </c>
      <c r="N11" s="65">
        <v>0</v>
      </c>
      <c r="O11" s="65">
        <v>0</v>
      </c>
      <c r="P11" s="64" t="s">
        <v>32</v>
      </c>
      <c r="Q11" s="65">
        <v>0</v>
      </c>
      <c r="R11" s="64" t="s">
        <v>32</v>
      </c>
    </row>
    <row r="12" spans="1:18">
      <c r="A12" s="26" t="s">
        <v>33</v>
      </c>
      <c r="B12" s="62">
        <v>2</v>
      </c>
      <c r="C12" s="63" t="s">
        <v>34</v>
      </c>
      <c r="D12" s="66"/>
      <c r="E12" s="65">
        <v>0</v>
      </c>
      <c r="F12" s="65">
        <v>0</v>
      </c>
      <c r="G12" s="65">
        <v>0</v>
      </c>
      <c r="H12" s="66"/>
      <c r="I12" s="66"/>
      <c r="J12" s="66"/>
      <c r="K12" s="107">
        <f>+F12+G12</f>
        <v>0</v>
      </c>
      <c r="L12" s="108">
        <f>IF(D8=0,0,K12/D8)</f>
        <v>0</v>
      </c>
      <c r="M12" s="64" t="s">
        <v>32</v>
      </c>
      <c r="N12" s="65">
        <v>0</v>
      </c>
      <c r="O12" s="65">
        <v>0</v>
      </c>
      <c r="P12" s="64" t="s">
        <v>32</v>
      </c>
      <c r="Q12" s="65">
        <v>0</v>
      </c>
      <c r="R12" s="64" t="s">
        <v>32</v>
      </c>
    </row>
    <row r="13" spans="1:18">
      <c r="A13" s="26" t="s">
        <v>35</v>
      </c>
      <c r="B13" s="62">
        <v>3</v>
      </c>
      <c r="C13" s="63" t="s">
        <v>36</v>
      </c>
      <c r="D13" s="66"/>
      <c r="E13" s="65">
        <v>0</v>
      </c>
      <c r="F13" s="65">
        <v>0</v>
      </c>
      <c r="G13" s="65">
        <v>0</v>
      </c>
      <c r="H13" s="66"/>
      <c r="I13" s="66"/>
      <c r="J13" s="66"/>
      <c r="K13" s="107">
        <f>+F13+G13</f>
        <v>0</v>
      </c>
      <c r="L13" s="108">
        <f>IF(D8=0,0,K13/D8)</f>
        <v>0</v>
      </c>
      <c r="M13" s="64" t="s">
        <v>32</v>
      </c>
      <c r="N13" s="65">
        <v>0</v>
      </c>
      <c r="O13" s="65">
        <v>0</v>
      </c>
      <c r="P13" s="64" t="s">
        <v>32</v>
      </c>
      <c r="Q13" s="65">
        <v>0</v>
      </c>
      <c r="R13" s="64" t="s">
        <v>32</v>
      </c>
    </row>
    <row r="14" spans="1:18">
      <c r="A14" s="26" t="s">
        <v>37</v>
      </c>
      <c r="B14" s="67">
        <v>4</v>
      </c>
      <c r="C14" s="68" t="s">
        <v>38</v>
      </c>
      <c r="D14" s="69"/>
      <c r="E14" s="65">
        <v>0</v>
      </c>
      <c r="F14" s="65">
        <v>0</v>
      </c>
      <c r="G14" s="65">
        <v>0</v>
      </c>
      <c r="H14" s="70"/>
      <c r="I14" s="70"/>
      <c r="J14" s="70"/>
      <c r="K14" s="107">
        <f>+F14+G14</f>
        <v>0</v>
      </c>
      <c r="L14" s="108">
        <f>IF(D8=0,0,K14/D8)</f>
        <v>0</v>
      </c>
      <c r="M14" s="64" t="s">
        <v>32</v>
      </c>
      <c r="N14" s="65">
        <v>0</v>
      </c>
      <c r="O14" s="65">
        <v>0</v>
      </c>
      <c r="P14" s="64" t="s">
        <v>32</v>
      </c>
      <c r="Q14" s="65">
        <v>0</v>
      </c>
      <c r="R14" s="64" t="s">
        <v>32</v>
      </c>
    </row>
    <row r="15" spans="1:18">
      <c r="A15" s="26" t="s">
        <v>39</v>
      </c>
      <c r="B15" s="71"/>
      <c r="C15" s="72" t="s">
        <v>40</v>
      </c>
      <c r="D15" s="72"/>
      <c r="E15" s="72"/>
      <c r="F15" s="73">
        <f>SUM(F11:F14)</f>
        <v>0</v>
      </c>
      <c r="G15" s="73">
        <f>SUM(G11:G14)</f>
        <v>0</v>
      </c>
      <c r="H15" s="73"/>
      <c r="I15" s="73"/>
      <c r="J15" s="73"/>
      <c r="K15" s="109">
        <f>+F15+G15</f>
        <v>0</v>
      </c>
      <c r="L15" s="110">
        <f>IF(D8=0,0,K15/D8)</f>
        <v>0</v>
      </c>
      <c r="M15" s="84"/>
      <c r="N15" s="73">
        <f>SUM(N11:N14)</f>
        <v>0</v>
      </c>
      <c r="O15" s="73">
        <f>SUM(O11:O14)</f>
        <v>0</v>
      </c>
      <c r="P15" s="84"/>
      <c r="Q15" s="73">
        <f>SUM(Q11:Q14)</f>
        <v>0</v>
      </c>
      <c r="R15" s="84"/>
    </row>
    <row r="16" spans="1:18">
      <c r="A16" s="26" t="s">
        <v>9</v>
      </c>
      <c r="B16" s="60" t="s">
        <v>41</v>
      </c>
      <c r="C16" s="61"/>
      <c r="D16" s="61"/>
      <c r="E16" s="61"/>
      <c r="F16" s="61"/>
      <c r="G16" s="61"/>
      <c r="H16" s="61"/>
      <c r="I16" s="61"/>
      <c r="J16" s="61"/>
      <c r="K16" s="105"/>
      <c r="L16" s="105"/>
      <c r="M16" s="61"/>
      <c r="N16" s="61"/>
      <c r="O16" s="106"/>
      <c r="P16" s="106"/>
      <c r="Q16" s="127"/>
      <c r="R16" s="126"/>
    </row>
    <row r="17" spans="1:18">
      <c r="A17" s="26" t="s">
        <v>42</v>
      </c>
      <c r="B17" s="62">
        <v>1</v>
      </c>
      <c r="C17" s="63" t="s">
        <v>31</v>
      </c>
      <c r="D17" s="64" t="s">
        <v>32</v>
      </c>
      <c r="E17" s="65">
        <v>0</v>
      </c>
      <c r="F17" s="66"/>
      <c r="G17" s="66"/>
      <c r="H17" s="65">
        <v>0</v>
      </c>
      <c r="I17" s="65">
        <v>0</v>
      </c>
      <c r="J17" s="65">
        <v>0</v>
      </c>
      <c r="K17" s="107">
        <f>I17+J17</f>
        <v>0</v>
      </c>
      <c r="L17" s="108">
        <f>IF(D8=0,0,K17/D8)</f>
        <v>0</v>
      </c>
      <c r="M17" s="64" t="s">
        <v>32</v>
      </c>
      <c r="N17" s="65">
        <v>0</v>
      </c>
      <c r="O17" s="65">
        <v>0</v>
      </c>
      <c r="P17" s="64" t="s">
        <v>32</v>
      </c>
      <c r="Q17" s="65">
        <v>0</v>
      </c>
      <c r="R17" s="64" t="s">
        <v>32</v>
      </c>
    </row>
    <row r="18" spans="1:18">
      <c r="A18" s="26" t="s">
        <v>43</v>
      </c>
      <c r="B18" s="62">
        <v>2</v>
      </c>
      <c r="C18" s="63" t="s">
        <v>34</v>
      </c>
      <c r="D18" s="66"/>
      <c r="E18" s="65">
        <v>0</v>
      </c>
      <c r="F18" s="66"/>
      <c r="G18" s="66"/>
      <c r="H18" s="65">
        <v>0</v>
      </c>
      <c r="I18" s="65">
        <v>0</v>
      </c>
      <c r="J18" s="65">
        <v>0</v>
      </c>
      <c r="K18" s="107">
        <f>I18+J18</f>
        <v>0</v>
      </c>
      <c r="L18" s="108">
        <f>IF(D8=0,0,K18/D8)</f>
        <v>0</v>
      </c>
      <c r="M18" s="64" t="s">
        <v>32</v>
      </c>
      <c r="N18" s="65">
        <v>0</v>
      </c>
      <c r="O18" s="65">
        <v>0</v>
      </c>
      <c r="P18" s="64" t="s">
        <v>32</v>
      </c>
      <c r="Q18" s="65">
        <v>0</v>
      </c>
      <c r="R18" s="64" t="s">
        <v>32</v>
      </c>
    </row>
    <row r="19" spans="1:18">
      <c r="A19" s="26" t="s">
        <v>44</v>
      </c>
      <c r="B19" s="62">
        <v>3</v>
      </c>
      <c r="C19" s="63" t="s">
        <v>36</v>
      </c>
      <c r="D19" s="66"/>
      <c r="E19" s="65">
        <v>0</v>
      </c>
      <c r="F19" s="66"/>
      <c r="G19" s="66"/>
      <c r="H19" s="65">
        <v>0</v>
      </c>
      <c r="I19" s="65">
        <v>0</v>
      </c>
      <c r="J19" s="65">
        <v>0</v>
      </c>
      <c r="K19" s="107">
        <f>I19+J19</f>
        <v>0</v>
      </c>
      <c r="L19" s="108">
        <f>IF(D8=0,0,K19/D8)</f>
        <v>0</v>
      </c>
      <c r="M19" s="64" t="s">
        <v>32</v>
      </c>
      <c r="N19" s="65">
        <v>0</v>
      </c>
      <c r="O19" s="65">
        <v>0</v>
      </c>
      <c r="P19" s="64" t="s">
        <v>32</v>
      </c>
      <c r="Q19" s="65">
        <v>0</v>
      </c>
      <c r="R19" s="64" t="s">
        <v>32</v>
      </c>
    </row>
    <row r="20" spans="1:18">
      <c r="A20" s="26" t="s">
        <v>45</v>
      </c>
      <c r="B20" s="62">
        <v>4</v>
      </c>
      <c r="C20" s="63" t="s">
        <v>38</v>
      </c>
      <c r="D20" s="69"/>
      <c r="E20" s="65">
        <v>0</v>
      </c>
      <c r="F20" s="70"/>
      <c r="G20" s="70"/>
      <c r="H20" s="65">
        <v>0</v>
      </c>
      <c r="I20" s="65">
        <v>0</v>
      </c>
      <c r="J20" s="65">
        <v>0</v>
      </c>
      <c r="K20" s="107">
        <f>I20+J20</f>
        <v>0</v>
      </c>
      <c r="L20" s="108">
        <f>IF(D8=0,0,K20/D8)</f>
        <v>0</v>
      </c>
      <c r="M20" s="64" t="s">
        <v>32</v>
      </c>
      <c r="N20" s="65">
        <v>0</v>
      </c>
      <c r="O20" s="65">
        <v>0</v>
      </c>
      <c r="P20" s="64" t="s">
        <v>32</v>
      </c>
      <c r="Q20" s="65">
        <v>0</v>
      </c>
      <c r="R20" s="64" t="s">
        <v>32</v>
      </c>
    </row>
    <row r="21" spans="1:18">
      <c r="A21" s="26" t="s">
        <v>46</v>
      </c>
      <c r="B21" s="74"/>
      <c r="C21" s="74" t="s">
        <v>40</v>
      </c>
      <c r="D21" s="74"/>
      <c r="E21" s="74"/>
      <c r="F21" s="70"/>
      <c r="G21" s="70"/>
      <c r="H21" s="70">
        <f>SUM(H17:H20)</f>
        <v>0</v>
      </c>
      <c r="I21" s="70">
        <f>SUM(I17:I20)</f>
        <v>0</v>
      </c>
      <c r="J21" s="70">
        <f>SUM(J17:J20)</f>
        <v>0</v>
      </c>
      <c r="K21" s="107">
        <f>I21+J21</f>
        <v>0</v>
      </c>
      <c r="L21" s="108">
        <f>IF(D8=0,0,K21/D8)</f>
        <v>0</v>
      </c>
      <c r="M21" s="66"/>
      <c r="N21" s="70">
        <f>SUM(N17:N20)</f>
        <v>0</v>
      </c>
      <c r="O21" s="70">
        <f>SUM(O17:O20)</f>
        <v>0</v>
      </c>
      <c r="P21" s="66"/>
      <c r="Q21" s="70">
        <f>SUM(Q17:Q20)</f>
        <v>0</v>
      </c>
      <c r="R21" s="66"/>
    </row>
    <row r="22" spans="1:18">
      <c r="A22" s="26" t="s">
        <v>9</v>
      </c>
      <c r="B22" s="60" t="s">
        <v>47</v>
      </c>
      <c r="C22" s="61"/>
      <c r="D22" s="61"/>
      <c r="E22" s="61"/>
      <c r="F22" s="61"/>
      <c r="G22" s="61"/>
      <c r="H22" s="61"/>
      <c r="I22" s="61"/>
      <c r="J22" s="61"/>
      <c r="K22" s="105"/>
      <c r="L22" s="105"/>
      <c r="M22" s="61"/>
      <c r="N22" s="61"/>
      <c r="O22" s="106"/>
      <c r="P22" s="106"/>
      <c r="Q22" s="125"/>
      <c r="R22" s="126"/>
    </row>
    <row r="23" ht="18" customHeight="1" spans="1:18">
      <c r="A23" s="26" t="s">
        <v>48</v>
      </c>
      <c r="B23" s="75">
        <v>1</v>
      </c>
      <c r="C23" s="76" t="s">
        <v>32</v>
      </c>
      <c r="D23" s="64" t="s">
        <v>32</v>
      </c>
      <c r="E23" s="65">
        <v>0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107">
        <f>+F23+G23+I23+J23</f>
        <v>0</v>
      </c>
      <c r="L23" s="108">
        <f>IF(D8=0,0,K23/D8)</f>
        <v>0</v>
      </c>
      <c r="M23" s="64" t="s">
        <v>32</v>
      </c>
      <c r="N23" s="65">
        <v>0</v>
      </c>
      <c r="O23" s="65">
        <v>0</v>
      </c>
      <c r="P23" s="64" t="s">
        <v>32</v>
      </c>
      <c r="Q23" s="65">
        <v>0</v>
      </c>
      <c r="R23" s="64" t="s">
        <v>32</v>
      </c>
    </row>
    <row r="24" spans="1:18">
      <c r="A24" s="26" t="s">
        <v>49</v>
      </c>
      <c r="B24" s="74"/>
      <c r="C24" s="74" t="s">
        <v>40</v>
      </c>
      <c r="D24" s="74"/>
      <c r="E24" s="74"/>
      <c r="F24" s="70">
        <f>SUM(F23:F23)</f>
        <v>0</v>
      </c>
      <c r="G24" s="70">
        <f>SUM(G23:G23)</f>
        <v>0</v>
      </c>
      <c r="H24" s="70">
        <f>SUM(H23:H23)</f>
        <v>0</v>
      </c>
      <c r="I24" s="70">
        <f>SUM(I23:I23)</f>
        <v>0</v>
      </c>
      <c r="J24" s="70">
        <f>SUM(J23:J23)</f>
        <v>0</v>
      </c>
      <c r="K24" s="107">
        <f>+F24+G24+I24+J24</f>
        <v>0</v>
      </c>
      <c r="L24" s="108">
        <f>IF(D8=0,0,K24/D8)</f>
        <v>0</v>
      </c>
      <c r="M24" s="66"/>
      <c r="N24" s="70">
        <f>SUM(N23:N23)</f>
        <v>0</v>
      </c>
      <c r="O24" s="70">
        <f>SUM(O23:O23)</f>
        <v>0</v>
      </c>
      <c r="P24" s="66"/>
      <c r="Q24" s="70">
        <f>SUM(Q23:Q23)</f>
        <v>0</v>
      </c>
      <c r="R24" s="66"/>
    </row>
    <row r="25" spans="1:18">
      <c r="A25" s="26" t="s">
        <v>9</v>
      </c>
      <c r="B25" s="77" t="s">
        <v>50</v>
      </c>
      <c r="C25" s="78"/>
      <c r="D25" s="79"/>
      <c r="E25" s="79"/>
      <c r="F25" s="80"/>
      <c r="G25" s="81"/>
      <c r="H25" s="82"/>
      <c r="I25" s="82"/>
      <c r="J25" s="82"/>
      <c r="K25" s="111"/>
      <c r="L25" s="112"/>
      <c r="M25" s="113"/>
      <c r="N25" s="113"/>
      <c r="O25" s="114"/>
      <c r="P25" s="114"/>
      <c r="Q25" s="128"/>
      <c r="R25" s="129"/>
    </row>
    <row r="26" ht="18" customHeight="1" spans="1:18">
      <c r="A26" s="26" t="s">
        <v>51</v>
      </c>
      <c r="B26" s="75">
        <v>1</v>
      </c>
      <c r="C26" s="64" t="s">
        <v>32</v>
      </c>
      <c r="D26" s="64" t="s">
        <v>32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109">
        <f>+F26+G26+I26+J26</f>
        <v>0</v>
      </c>
      <c r="L26" s="108">
        <f>IF(D8=0,0,K26/D8)</f>
        <v>0</v>
      </c>
      <c r="M26" s="64" t="s">
        <v>32</v>
      </c>
      <c r="N26" s="65">
        <v>0</v>
      </c>
      <c r="O26" s="65">
        <v>0</v>
      </c>
      <c r="P26" s="64" t="s">
        <v>32</v>
      </c>
      <c r="Q26" s="65">
        <v>0</v>
      </c>
      <c r="R26" s="64" t="s">
        <v>32</v>
      </c>
    </row>
    <row r="27" spans="1:18">
      <c r="A27" s="26" t="s">
        <v>52</v>
      </c>
      <c r="B27" s="83"/>
      <c r="C27" s="84" t="s">
        <v>53</v>
      </c>
      <c r="D27" s="84"/>
      <c r="E27" s="84"/>
      <c r="F27" s="73">
        <f>SUM(F26:F26)</f>
        <v>0</v>
      </c>
      <c r="G27" s="73">
        <f>SUM(G26:G26)</f>
        <v>0</v>
      </c>
      <c r="H27" s="73">
        <f>SUM(H26:H26)</f>
        <v>0</v>
      </c>
      <c r="I27" s="73">
        <f>SUM(I26:I26)</f>
        <v>0</v>
      </c>
      <c r="J27" s="73">
        <f>SUM(J26:J26)</f>
        <v>0</v>
      </c>
      <c r="K27" s="109">
        <f>+F27+G27+I27+J27</f>
        <v>0</v>
      </c>
      <c r="L27" s="108">
        <f>IF(D8=0,0,K27/D8)</f>
        <v>0</v>
      </c>
      <c r="M27" s="84"/>
      <c r="N27" s="73">
        <f>SUM(N26:N26)</f>
        <v>0</v>
      </c>
      <c r="O27" s="73">
        <f>SUM(O26:O26)</f>
        <v>0</v>
      </c>
      <c r="P27" s="84"/>
      <c r="Q27" s="73">
        <f>SUM(Q26:Q26)</f>
        <v>0</v>
      </c>
      <c r="R27" s="84"/>
    </row>
    <row r="28" spans="1:18">
      <c r="A28" s="26" t="s">
        <v>0</v>
      </c>
      <c r="B28" s="85"/>
      <c r="C28" s="86" t="s">
        <v>54</v>
      </c>
      <c r="D28" s="87"/>
      <c r="E28" s="87"/>
      <c r="F28" s="87"/>
      <c r="G28" s="87"/>
      <c r="H28" s="87"/>
      <c r="I28" s="87"/>
      <c r="J28" s="87"/>
      <c r="K28" s="115"/>
      <c r="L28" s="115"/>
      <c r="M28" s="91"/>
      <c r="N28" s="91"/>
      <c r="O28" s="116"/>
      <c r="P28" s="116"/>
      <c r="Q28" s="116"/>
      <c r="R28" s="130"/>
    </row>
    <row r="29" s="23" customFormat="1" spans="1:18">
      <c r="A29" s="26" t="s">
        <v>0</v>
      </c>
      <c r="B29" s="88"/>
      <c r="C29" s="89" t="s">
        <v>55</v>
      </c>
      <c r="D29" s="90"/>
      <c r="E29" s="90"/>
      <c r="F29" s="91"/>
      <c r="G29" s="91"/>
      <c r="H29" s="91"/>
      <c r="I29" s="91"/>
      <c r="J29" s="91"/>
      <c r="K29" s="117"/>
      <c r="L29" s="117"/>
      <c r="M29" s="118"/>
      <c r="N29" s="118"/>
      <c r="O29" s="118"/>
      <c r="P29" s="118"/>
      <c r="Q29" s="118"/>
      <c r="R29" s="131"/>
    </row>
    <row r="30" s="23" customFormat="1" spans="1:12">
      <c r="A30" s="92"/>
      <c r="K30" s="119"/>
      <c r="L30" s="119"/>
    </row>
    <row r="31" spans="1:10">
      <c r="A31" s="92"/>
      <c r="B31" s="23"/>
      <c r="C31" s="23"/>
      <c r="D31" s="23"/>
      <c r="E31" s="23"/>
      <c r="F31" s="23"/>
      <c r="G31" s="23"/>
      <c r="H31" s="23"/>
      <c r="I31" s="23"/>
      <c r="J31" s="23"/>
    </row>
  </sheetData>
  <sheetProtection password="CC74" sheet="1" objects="1" scenarios="1"/>
  <mergeCells count="5">
    <mergeCell ref="B2:R2"/>
    <mergeCell ref="C3:D3"/>
    <mergeCell ref="C4:D4"/>
    <mergeCell ref="C5:D5"/>
    <mergeCell ref="B6:C6"/>
  </mergeCells>
  <dataValidations count="4">
    <dataValidation type="whole" operator="greaterThanOrEqual" allowBlank="1" showInputMessage="1" showErrorMessage="1" error="Please input a valid data!" sqref="D8:E8 D25:E25">
      <formula1>0</formula1>
    </dataValidation>
    <dataValidation allowBlank="1" showInputMessage="1" showErrorMessage="1" error="Please input a valid data!" sqref="F8"/>
    <dataValidation type="list" allowBlank="1" showInputMessage="1" showErrorMessage="1" sqref="D11 D17 D23 D26">
      <formula1>COUNTRIES</formula1>
    </dataValidation>
    <dataValidation type="whole" operator="greaterThanOrEqual" allowBlank="1" showInputMessage="1" showErrorMessage="1" sqref="E23:J23 N23:O23 Q23 E26:J26 N26:O26 Q26 E17:E20 Q11:Q14 Q17:Q20 E11:G14 N11:O14 H17:J20 N17:O20">
      <formula1>0</formula1>
    </dataValidation>
  </dataValidations>
  <pageMargins left="0.7" right="0.7" top="0.75" bottom="0.75" header="0.3" footer="0.3"/>
  <pageSetup paperSize="9" scale="80" fitToHeight="0" orientation="landscape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print="0" defaultSize="0">
                <anchor moveWithCells="1" sizeWithCells="1">
                  <from>
                    <xdr:col>7</xdr:col>
                    <xdr:colOff>82550</xdr:colOff>
                    <xdr:row>3</xdr:row>
                    <xdr:rowOff>12700</xdr:rowOff>
                  </from>
                  <to>
                    <xdr:col>8</xdr:col>
                    <xdr:colOff>82550</xdr:colOff>
                    <xdr:row>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Button 2" r:id="rId4">
              <controlPr print="0" defaultSize="0">
                <anchor moveWithCells="1" sizeWithCells="1">
                  <from>
                    <xdr:col>8</xdr:col>
                    <xdr:colOff>850900</xdr:colOff>
                    <xdr:row>3</xdr:row>
                    <xdr:rowOff>38100</xdr:rowOff>
                  </from>
                  <to>
                    <xdr:col>9</xdr:col>
                    <xdr:colOff>590550</xdr:colOff>
                    <xdr:row>4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261"/>
  <sheetViews>
    <sheetView zoomScaleSheetLayoutView="60" topLeftCell="A244" workbookViewId="0">
      <selection activeCell="B261" sqref="B3:B261"/>
    </sheetView>
  </sheetViews>
  <sheetFormatPr defaultColWidth="8.81818181818182" defaultRowHeight="13" outlineLevelCol="4"/>
  <cols>
    <col min="1" max="1" width="7.54545454545455" style="1" customWidth="1"/>
    <col min="2" max="2" width="45.8181818181818" style="1"/>
    <col min="3" max="3" width="4" style="1" customWidth="1"/>
    <col min="4" max="4" width="8.81818181818182" style="1"/>
    <col min="5" max="5" width="97.4545454545455" style="1" customWidth="1"/>
    <col min="6" max="241" width="8.81818181818182" style="1"/>
    <col min="242" max="242" width="7.54545454545455" style="1" customWidth="1"/>
    <col min="243" max="243" width="45.8181818181818" style="1"/>
    <col min="244" max="244" width="4" style="1" customWidth="1"/>
    <col min="245" max="245" width="15.5454545454545" style="1" customWidth="1"/>
    <col min="246" max="246" width="23.8181818181818" style="1" customWidth="1"/>
    <col min="247" max="248" width="8.81818181818182" style="1"/>
    <col min="249" max="249" width="101.454545454545" style="1" customWidth="1"/>
    <col min="250" max="251" width="8.81818181818182" style="1"/>
    <col min="252" max="252" width="46.8181818181818" style="1" customWidth="1"/>
    <col min="253" max="254" width="8.81818181818182" style="1"/>
    <col min="255" max="255" width="46.8181818181818" style="1" customWidth="1"/>
    <col min="256" max="16384" width="8.81818181818182" style="1"/>
  </cols>
  <sheetData>
    <row r="1" spans="1:5">
      <c r="A1" s="2" t="s">
        <v>56</v>
      </c>
      <c r="B1" s="3"/>
      <c r="D1" s="4" t="s">
        <v>57</v>
      </c>
      <c r="E1" s="5" t="s">
        <v>58</v>
      </c>
    </row>
    <row r="2" spans="1:5">
      <c r="A2" s="6" t="s">
        <v>57</v>
      </c>
      <c r="B2" s="6" t="s">
        <v>59</v>
      </c>
      <c r="D2" s="7" t="s">
        <v>60</v>
      </c>
      <c r="E2" s="8" t="s">
        <v>61</v>
      </c>
    </row>
    <row r="3" spans="1:5">
      <c r="A3" s="9" t="s">
        <v>62</v>
      </c>
      <c r="B3" s="9" t="s">
        <v>63</v>
      </c>
      <c r="D3" s="10"/>
      <c r="E3" s="11" t="s">
        <v>64</v>
      </c>
    </row>
    <row r="4" spans="1:5">
      <c r="A4" s="9" t="s">
        <v>65</v>
      </c>
      <c r="B4" s="9" t="s">
        <v>66</v>
      </c>
      <c r="D4" s="10"/>
      <c r="E4" s="11" t="s">
        <v>67</v>
      </c>
    </row>
    <row r="5" spans="1:5">
      <c r="A5" s="9" t="s">
        <v>68</v>
      </c>
      <c r="B5" s="9" t="s">
        <v>69</v>
      </c>
      <c r="D5" s="10"/>
      <c r="E5" s="11" t="s">
        <v>70</v>
      </c>
    </row>
    <row r="6" spans="1:5">
      <c r="A6" s="9" t="s">
        <v>71</v>
      </c>
      <c r="B6" s="9" t="s">
        <v>72</v>
      </c>
      <c r="D6" s="10"/>
      <c r="E6" s="11" t="s">
        <v>73</v>
      </c>
    </row>
    <row r="7" spans="1:5">
      <c r="A7" s="9" t="s">
        <v>74</v>
      </c>
      <c r="B7" s="9" t="s">
        <v>75</v>
      </c>
      <c r="D7" s="10"/>
      <c r="E7" s="11" t="s">
        <v>76</v>
      </c>
    </row>
    <row r="8" spans="1:5">
      <c r="A8" s="9" t="s">
        <v>77</v>
      </c>
      <c r="B8" s="9" t="s">
        <v>78</v>
      </c>
      <c r="D8" s="10"/>
      <c r="E8" s="11" t="s">
        <v>79</v>
      </c>
    </row>
    <row r="9" spans="1:5">
      <c r="A9" s="9" t="s">
        <v>80</v>
      </c>
      <c r="B9" s="9" t="s">
        <v>81</v>
      </c>
      <c r="D9" s="10"/>
      <c r="E9" s="11" t="s">
        <v>82</v>
      </c>
    </row>
    <row r="10" spans="1:5">
      <c r="A10" s="9" t="s">
        <v>83</v>
      </c>
      <c r="B10" s="9" t="s">
        <v>84</v>
      </c>
      <c r="D10" s="10"/>
      <c r="E10" s="11" t="s">
        <v>85</v>
      </c>
    </row>
    <row r="11" spans="1:5">
      <c r="A11" s="9" t="s">
        <v>86</v>
      </c>
      <c r="B11" s="9" t="s">
        <v>87</v>
      </c>
      <c r="D11" s="10"/>
      <c r="E11" s="11" t="s">
        <v>88</v>
      </c>
    </row>
    <row r="12" spans="1:5">
      <c r="A12" s="9" t="s">
        <v>89</v>
      </c>
      <c r="B12" s="9" t="s">
        <v>90</v>
      </c>
      <c r="D12" s="10"/>
      <c r="E12" s="11" t="s">
        <v>91</v>
      </c>
    </row>
    <row r="13" spans="1:5">
      <c r="A13" s="9" t="s">
        <v>92</v>
      </c>
      <c r="B13" s="9" t="s">
        <v>93</v>
      </c>
      <c r="D13" s="10"/>
      <c r="E13" s="11" t="s">
        <v>94</v>
      </c>
    </row>
    <row r="14" spans="1:5">
      <c r="A14" s="9" t="s">
        <v>95</v>
      </c>
      <c r="B14" s="9" t="s">
        <v>96</v>
      </c>
      <c r="D14" s="12"/>
      <c r="E14" s="13" t="s">
        <v>97</v>
      </c>
    </row>
    <row r="15" spans="1:5">
      <c r="A15" s="9" t="s">
        <v>98</v>
      </c>
      <c r="B15" s="9" t="s">
        <v>99</v>
      </c>
      <c r="D15" s="14" t="s">
        <v>100</v>
      </c>
      <c r="E15" s="15" t="s">
        <v>101</v>
      </c>
    </row>
    <row r="16" spans="1:5">
      <c r="A16" s="9" t="s">
        <v>102</v>
      </c>
      <c r="B16" s="9" t="s">
        <v>103</v>
      </c>
      <c r="D16" s="16" t="s">
        <v>104</v>
      </c>
      <c r="E16" s="8" t="s">
        <v>105</v>
      </c>
    </row>
    <row r="17" spans="1:5">
      <c r="A17" s="9" t="s">
        <v>106</v>
      </c>
      <c r="B17" s="9" t="s">
        <v>107</v>
      </c>
      <c r="D17" s="17"/>
      <c r="E17" s="11" t="s">
        <v>108</v>
      </c>
    </row>
    <row r="18" spans="1:5">
      <c r="A18" s="9" t="s">
        <v>109</v>
      </c>
      <c r="B18" s="9" t="s">
        <v>110</v>
      </c>
      <c r="D18" s="17"/>
      <c r="E18" s="11" t="s">
        <v>111</v>
      </c>
    </row>
    <row r="19" spans="1:5">
      <c r="A19" s="9" t="s">
        <v>112</v>
      </c>
      <c r="B19" s="9" t="s">
        <v>113</v>
      </c>
      <c r="D19" s="17"/>
      <c r="E19" s="11" t="s">
        <v>114</v>
      </c>
    </row>
    <row r="20" spans="1:5">
      <c r="A20" s="9" t="s">
        <v>115</v>
      </c>
      <c r="B20" s="9" t="s">
        <v>116</v>
      </c>
      <c r="D20" s="17"/>
      <c r="E20" s="11" t="s">
        <v>117</v>
      </c>
    </row>
    <row r="21" spans="1:5">
      <c r="A21" s="9" t="s">
        <v>118</v>
      </c>
      <c r="B21" s="9" t="s">
        <v>119</v>
      </c>
      <c r="D21" s="17"/>
      <c r="E21" s="11" t="s">
        <v>120</v>
      </c>
    </row>
    <row r="22" spans="1:5">
      <c r="A22" s="9" t="s">
        <v>121</v>
      </c>
      <c r="B22" s="9" t="s">
        <v>122</v>
      </c>
      <c r="D22" s="18"/>
      <c r="E22" s="11" t="s">
        <v>123</v>
      </c>
    </row>
    <row r="23" spans="1:5">
      <c r="A23" s="9" t="s">
        <v>124</v>
      </c>
      <c r="B23" s="9" t="s">
        <v>125</v>
      </c>
      <c r="D23" s="19" t="s">
        <v>126</v>
      </c>
      <c r="E23" s="8" t="s">
        <v>127</v>
      </c>
    </row>
    <row r="24" spans="1:5">
      <c r="A24" s="9" t="s">
        <v>128</v>
      </c>
      <c r="B24" s="9" t="s">
        <v>129</v>
      </c>
      <c r="D24" s="20"/>
      <c r="E24" s="11" t="s">
        <v>130</v>
      </c>
    </row>
    <row r="25" spans="1:5">
      <c r="A25" s="9" t="s">
        <v>131</v>
      </c>
      <c r="B25" s="9" t="s">
        <v>132</v>
      </c>
      <c r="D25" s="20"/>
      <c r="E25" s="11" t="s">
        <v>133</v>
      </c>
    </row>
    <row r="26" spans="1:5">
      <c r="A26" s="9" t="s">
        <v>134</v>
      </c>
      <c r="B26" s="9" t="s">
        <v>135</v>
      </c>
      <c r="D26" s="20"/>
      <c r="E26" s="11" t="s">
        <v>136</v>
      </c>
    </row>
    <row r="27" spans="1:5">
      <c r="A27" s="9" t="s">
        <v>137</v>
      </c>
      <c r="B27" s="9" t="s">
        <v>138</v>
      </c>
      <c r="D27" s="20"/>
      <c r="E27" s="11" t="s">
        <v>139</v>
      </c>
    </row>
    <row r="28" spans="1:5">
      <c r="A28" s="9" t="s">
        <v>140</v>
      </c>
      <c r="B28" s="9" t="s">
        <v>141</v>
      </c>
      <c r="D28" s="20"/>
      <c r="E28" s="11" t="s">
        <v>142</v>
      </c>
    </row>
    <row r="29" spans="1:5">
      <c r="A29" s="9" t="s">
        <v>143</v>
      </c>
      <c r="B29" s="9" t="s">
        <v>144</v>
      </c>
      <c r="D29" s="20"/>
      <c r="E29" s="11" t="s">
        <v>145</v>
      </c>
    </row>
    <row r="30" spans="1:5">
      <c r="A30" s="9" t="s">
        <v>146</v>
      </c>
      <c r="B30" s="9" t="s">
        <v>147</v>
      </c>
      <c r="D30" s="20"/>
      <c r="E30" s="11" t="s">
        <v>148</v>
      </c>
    </row>
    <row r="31" spans="1:5">
      <c r="A31" s="9" t="s">
        <v>149</v>
      </c>
      <c r="B31" s="9" t="s">
        <v>150</v>
      </c>
      <c r="D31" s="20"/>
      <c r="E31" s="11" t="s">
        <v>151</v>
      </c>
    </row>
    <row r="32" spans="1:5">
      <c r="A32" s="9" t="s">
        <v>152</v>
      </c>
      <c r="B32" s="9" t="s">
        <v>153</v>
      </c>
      <c r="D32" s="20"/>
      <c r="E32" s="11" t="s">
        <v>154</v>
      </c>
    </row>
    <row r="33" spans="1:5">
      <c r="A33" s="9" t="s">
        <v>9</v>
      </c>
      <c r="B33" s="9" t="s">
        <v>155</v>
      </c>
      <c r="D33" s="20"/>
      <c r="E33" s="11" t="s">
        <v>156</v>
      </c>
    </row>
    <row r="34" spans="1:5">
      <c r="A34" s="9" t="s">
        <v>157</v>
      </c>
      <c r="B34" s="9" t="s">
        <v>158</v>
      </c>
      <c r="D34" s="20"/>
      <c r="E34" s="11" t="s">
        <v>159</v>
      </c>
    </row>
    <row r="35" spans="1:5">
      <c r="A35" s="9" t="s">
        <v>160</v>
      </c>
      <c r="B35" s="9" t="s">
        <v>161</v>
      </c>
      <c r="D35" s="21"/>
      <c r="E35" s="13" t="s">
        <v>162</v>
      </c>
    </row>
    <row r="36" spans="1:5">
      <c r="A36" s="9" t="s">
        <v>163</v>
      </c>
      <c r="B36" s="9" t="s">
        <v>164</v>
      </c>
      <c r="D36" s="16" t="s">
        <v>165</v>
      </c>
      <c r="E36" s="8" t="s">
        <v>166</v>
      </c>
    </row>
    <row r="37" spans="1:5">
      <c r="A37" s="9" t="s">
        <v>167</v>
      </c>
      <c r="B37" s="9" t="s">
        <v>168</v>
      </c>
      <c r="D37" s="18"/>
      <c r="E37" s="13" t="s">
        <v>169</v>
      </c>
    </row>
    <row r="38" spans="1:5">
      <c r="A38" s="9" t="s">
        <v>170</v>
      </c>
      <c r="B38" s="9" t="s">
        <v>171</v>
      </c>
      <c r="D38" s="16" t="s">
        <v>172</v>
      </c>
      <c r="E38" s="8" t="s">
        <v>173</v>
      </c>
    </row>
    <row r="39" spans="1:5">
      <c r="A39" s="9" t="s">
        <v>174</v>
      </c>
      <c r="B39" s="9" t="s">
        <v>175</v>
      </c>
      <c r="D39" s="18"/>
      <c r="E39" s="13" t="s">
        <v>169</v>
      </c>
    </row>
    <row r="40" spans="1:5">
      <c r="A40" s="9" t="s">
        <v>176</v>
      </c>
      <c r="B40" s="9" t="s">
        <v>177</v>
      </c>
      <c r="D40" s="16" t="s">
        <v>178</v>
      </c>
      <c r="E40" s="8" t="s">
        <v>179</v>
      </c>
    </row>
    <row r="41" spans="1:5">
      <c r="A41" s="9" t="s">
        <v>180</v>
      </c>
      <c r="B41" s="9" t="s">
        <v>181</v>
      </c>
      <c r="D41" s="18"/>
      <c r="E41" s="13" t="s">
        <v>182</v>
      </c>
    </row>
    <row r="42" spans="1:5">
      <c r="A42" s="9" t="s">
        <v>183</v>
      </c>
      <c r="B42" s="9" t="s">
        <v>184</v>
      </c>
      <c r="D42" s="16" t="s">
        <v>185</v>
      </c>
      <c r="E42" s="8" t="s">
        <v>186</v>
      </c>
    </row>
    <row r="43" spans="1:5">
      <c r="A43" s="9" t="s">
        <v>187</v>
      </c>
      <c r="B43" s="9" t="s">
        <v>188</v>
      </c>
      <c r="D43" s="18"/>
      <c r="E43" s="13" t="s">
        <v>182</v>
      </c>
    </row>
    <row r="44" spans="1:5">
      <c r="A44" s="9" t="s">
        <v>189</v>
      </c>
      <c r="B44" s="9" t="s">
        <v>190</v>
      </c>
      <c r="D44" s="16" t="s">
        <v>191</v>
      </c>
      <c r="E44" s="8" t="s">
        <v>192</v>
      </c>
    </row>
    <row r="45" spans="1:5">
      <c r="A45" s="9" t="s">
        <v>193</v>
      </c>
      <c r="B45" s="9" t="s">
        <v>194</v>
      </c>
      <c r="D45" s="18"/>
      <c r="E45" s="13" t="s">
        <v>195</v>
      </c>
    </row>
    <row r="46" spans="1:2">
      <c r="A46" s="9" t="s">
        <v>196</v>
      </c>
      <c r="B46" s="9" t="s">
        <v>197</v>
      </c>
    </row>
    <row r="47" spans="1:2">
      <c r="A47" s="9" t="s">
        <v>198</v>
      </c>
      <c r="B47" s="9" t="s">
        <v>199</v>
      </c>
    </row>
    <row r="48" spans="1:2">
      <c r="A48" s="9" t="s">
        <v>200</v>
      </c>
      <c r="B48" s="9" t="s">
        <v>201</v>
      </c>
    </row>
    <row r="49" spans="1:2">
      <c r="A49" s="9" t="s">
        <v>202</v>
      </c>
      <c r="B49" s="9" t="s">
        <v>203</v>
      </c>
    </row>
    <row r="50" spans="1:2">
      <c r="A50" s="9" t="s">
        <v>204</v>
      </c>
      <c r="B50" s="9" t="s">
        <v>205</v>
      </c>
    </row>
    <row r="51" spans="1:2">
      <c r="A51" s="9" t="s">
        <v>206</v>
      </c>
      <c r="B51" s="9" t="s">
        <v>207</v>
      </c>
    </row>
    <row r="52" spans="1:2">
      <c r="A52" s="9" t="s">
        <v>208</v>
      </c>
      <c r="B52" s="9" t="s">
        <v>209</v>
      </c>
    </row>
    <row r="53" spans="1:2">
      <c r="A53" s="9" t="s">
        <v>210</v>
      </c>
      <c r="B53" s="9" t="s">
        <v>211</v>
      </c>
    </row>
    <row r="54" spans="1:2">
      <c r="A54" s="9" t="s">
        <v>212</v>
      </c>
      <c r="B54" s="9" t="s">
        <v>213</v>
      </c>
    </row>
    <row r="55" spans="1:2">
      <c r="A55" s="9" t="s">
        <v>214</v>
      </c>
      <c r="B55" s="9" t="s">
        <v>215</v>
      </c>
    </row>
    <row r="56" spans="1:2">
      <c r="A56" s="9" t="s">
        <v>216</v>
      </c>
      <c r="B56" s="9" t="s">
        <v>217</v>
      </c>
    </row>
    <row r="57" spans="1:2">
      <c r="A57" s="9" t="s">
        <v>218</v>
      </c>
      <c r="B57" s="9" t="s">
        <v>219</v>
      </c>
    </row>
    <row r="58" spans="1:2">
      <c r="A58" s="9" t="s">
        <v>220</v>
      </c>
      <c r="B58" s="9" t="s">
        <v>221</v>
      </c>
    </row>
    <row r="59" spans="1:2">
      <c r="A59" s="9" t="s">
        <v>222</v>
      </c>
      <c r="B59" s="9" t="s">
        <v>223</v>
      </c>
    </row>
    <row r="60" spans="1:2">
      <c r="A60" s="9" t="s">
        <v>224</v>
      </c>
      <c r="B60" s="9" t="s">
        <v>225</v>
      </c>
    </row>
    <row r="61" spans="1:2">
      <c r="A61" s="9" t="s">
        <v>226</v>
      </c>
      <c r="B61" s="9" t="s">
        <v>227</v>
      </c>
    </row>
    <row r="62" spans="1:2">
      <c r="A62" s="9" t="s">
        <v>228</v>
      </c>
      <c r="B62" s="9" t="s">
        <v>229</v>
      </c>
    </row>
    <row r="63" spans="1:2">
      <c r="A63" s="9" t="s">
        <v>230</v>
      </c>
      <c r="B63" s="9" t="s">
        <v>231</v>
      </c>
    </row>
    <row r="64" spans="1:2">
      <c r="A64" s="9" t="s">
        <v>232</v>
      </c>
      <c r="B64" s="9" t="s">
        <v>233</v>
      </c>
    </row>
    <row r="65" spans="1:2">
      <c r="A65" s="9" t="s">
        <v>234</v>
      </c>
      <c r="B65" s="9" t="s">
        <v>235</v>
      </c>
    </row>
    <row r="66" spans="1:2">
      <c r="A66" s="9" t="s">
        <v>236</v>
      </c>
      <c r="B66" s="9" t="s">
        <v>237</v>
      </c>
    </row>
    <row r="67" spans="1:2">
      <c r="A67" s="9" t="s">
        <v>238</v>
      </c>
      <c r="B67" s="9" t="s">
        <v>239</v>
      </c>
    </row>
    <row r="68" spans="1:2">
      <c r="A68" s="9" t="s">
        <v>240</v>
      </c>
      <c r="B68" s="9" t="s">
        <v>241</v>
      </c>
    </row>
    <row r="69" spans="1:2">
      <c r="A69" s="9" t="s">
        <v>242</v>
      </c>
      <c r="B69" s="9" t="s">
        <v>243</v>
      </c>
    </row>
    <row r="70" spans="1:2">
      <c r="A70" s="9" t="s">
        <v>244</v>
      </c>
      <c r="B70" s="9" t="s">
        <v>245</v>
      </c>
    </row>
    <row r="71" spans="1:2">
      <c r="A71" s="9" t="s">
        <v>246</v>
      </c>
      <c r="B71" s="9" t="s">
        <v>247</v>
      </c>
    </row>
    <row r="72" spans="1:2">
      <c r="A72" s="9" t="s">
        <v>248</v>
      </c>
      <c r="B72" s="9" t="s">
        <v>249</v>
      </c>
    </row>
    <row r="73" spans="1:2">
      <c r="A73" s="9" t="s">
        <v>250</v>
      </c>
      <c r="B73" s="9" t="s">
        <v>251</v>
      </c>
    </row>
    <row r="74" spans="1:2">
      <c r="A74" s="9" t="s">
        <v>252</v>
      </c>
      <c r="B74" s="9" t="s">
        <v>253</v>
      </c>
    </row>
    <row r="75" spans="1:2">
      <c r="A75" s="9" t="s">
        <v>254</v>
      </c>
      <c r="B75" s="9" t="s">
        <v>255</v>
      </c>
    </row>
    <row r="76" spans="1:2">
      <c r="A76" s="9" t="s">
        <v>256</v>
      </c>
      <c r="B76" s="9" t="s">
        <v>257</v>
      </c>
    </row>
    <row r="77" spans="1:2">
      <c r="A77" s="9" t="s">
        <v>258</v>
      </c>
      <c r="B77" s="9" t="s">
        <v>259</v>
      </c>
    </row>
    <row r="78" spans="1:2">
      <c r="A78" s="9" t="s">
        <v>260</v>
      </c>
      <c r="B78" s="9" t="s">
        <v>261</v>
      </c>
    </row>
    <row r="79" spans="1:2">
      <c r="A79" s="9" t="s">
        <v>262</v>
      </c>
      <c r="B79" s="9" t="s">
        <v>263</v>
      </c>
    </row>
    <row r="80" spans="1:2">
      <c r="A80" s="9" t="s">
        <v>264</v>
      </c>
      <c r="B80" s="9" t="s">
        <v>265</v>
      </c>
    </row>
    <row r="81" spans="1:2">
      <c r="A81" s="9" t="s">
        <v>266</v>
      </c>
      <c r="B81" s="9" t="s">
        <v>267</v>
      </c>
    </row>
    <row r="82" spans="1:2">
      <c r="A82" s="9" t="s">
        <v>268</v>
      </c>
      <c r="B82" s="9" t="s">
        <v>269</v>
      </c>
    </row>
    <row r="83" spans="1:2">
      <c r="A83" s="9" t="s">
        <v>270</v>
      </c>
      <c r="B83" s="9" t="s">
        <v>271</v>
      </c>
    </row>
    <row r="84" spans="1:2">
      <c r="A84" s="9" t="s">
        <v>272</v>
      </c>
      <c r="B84" s="9" t="s">
        <v>273</v>
      </c>
    </row>
    <row r="85" spans="1:2">
      <c r="A85" s="9" t="s">
        <v>274</v>
      </c>
      <c r="B85" s="9" t="s">
        <v>275</v>
      </c>
    </row>
    <row r="86" spans="1:2">
      <c r="A86" s="9" t="s">
        <v>276</v>
      </c>
      <c r="B86" s="9" t="s">
        <v>277</v>
      </c>
    </row>
    <row r="87" spans="1:2">
      <c r="A87" s="9" t="s">
        <v>278</v>
      </c>
      <c r="B87" s="9" t="s">
        <v>279</v>
      </c>
    </row>
    <row r="88" spans="1:2">
      <c r="A88" s="9" t="s">
        <v>280</v>
      </c>
      <c r="B88" s="9" t="s">
        <v>281</v>
      </c>
    </row>
    <row r="89" spans="1:2">
      <c r="A89" s="9" t="s">
        <v>282</v>
      </c>
      <c r="B89" s="9" t="s">
        <v>283</v>
      </c>
    </row>
    <row r="90" spans="1:2">
      <c r="A90" s="9" t="s">
        <v>284</v>
      </c>
      <c r="B90" s="9" t="s">
        <v>285</v>
      </c>
    </row>
    <row r="91" spans="1:2">
      <c r="A91" s="9" t="s">
        <v>286</v>
      </c>
      <c r="B91" s="9" t="s">
        <v>287</v>
      </c>
    </row>
    <row r="92" spans="1:2">
      <c r="A92" s="9" t="s">
        <v>288</v>
      </c>
      <c r="B92" s="9" t="s">
        <v>289</v>
      </c>
    </row>
    <row r="93" spans="1:2">
      <c r="A93" s="9" t="s">
        <v>52</v>
      </c>
      <c r="B93" s="9" t="s">
        <v>290</v>
      </c>
    </row>
    <row r="94" spans="1:2">
      <c r="A94" s="9" t="s">
        <v>291</v>
      </c>
      <c r="B94" s="9" t="s">
        <v>292</v>
      </c>
    </row>
    <row r="95" spans="1:2">
      <c r="A95" s="9" t="s">
        <v>293</v>
      </c>
      <c r="B95" s="9" t="s">
        <v>294</v>
      </c>
    </row>
    <row r="96" spans="1:2">
      <c r="A96" s="9" t="s">
        <v>295</v>
      </c>
      <c r="B96" s="9" t="s">
        <v>296</v>
      </c>
    </row>
    <row r="97" spans="1:2">
      <c r="A97" s="9" t="s">
        <v>297</v>
      </c>
      <c r="B97" s="9" t="s">
        <v>298</v>
      </c>
    </row>
    <row r="98" spans="1:2">
      <c r="A98" s="9" t="s">
        <v>299</v>
      </c>
      <c r="B98" s="9" t="s">
        <v>300</v>
      </c>
    </row>
    <row r="99" spans="1:2">
      <c r="A99" s="9" t="s">
        <v>301</v>
      </c>
      <c r="B99" s="9" t="s">
        <v>302</v>
      </c>
    </row>
    <row r="100" spans="1:2">
      <c r="A100" s="9" t="s">
        <v>303</v>
      </c>
      <c r="B100" s="9" t="s">
        <v>304</v>
      </c>
    </row>
    <row r="101" spans="1:2">
      <c r="A101" s="9" t="s">
        <v>305</v>
      </c>
      <c r="B101" s="9" t="s">
        <v>306</v>
      </c>
    </row>
    <row r="102" spans="1:2">
      <c r="A102" s="9" t="s">
        <v>307</v>
      </c>
      <c r="B102" s="9" t="s">
        <v>308</v>
      </c>
    </row>
    <row r="103" spans="1:2">
      <c r="A103" s="9" t="s">
        <v>309</v>
      </c>
      <c r="B103" s="9" t="s">
        <v>310</v>
      </c>
    </row>
    <row r="104" spans="1:2">
      <c r="A104" s="9" t="s">
        <v>311</v>
      </c>
      <c r="B104" s="9" t="s">
        <v>312</v>
      </c>
    </row>
    <row r="105" spans="1:2">
      <c r="A105" s="9" t="s">
        <v>313</v>
      </c>
      <c r="B105" s="9" t="s">
        <v>314</v>
      </c>
    </row>
    <row r="106" spans="1:2">
      <c r="A106" s="9" t="s">
        <v>315</v>
      </c>
      <c r="B106" s="9" t="s">
        <v>316</v>
      </c>
    </row>
    <row r="107" spans="1:2">
      <c r="A107" s="9" t="s">
        <v>317</v>
      </c>
      <c r="B107" s="9" t="s">
        <v>318</v>
      </c>
    </row>
    <row r="108" spans="1:2">
      <c r="A108" s="9" t="s">
        <v>319</v>
      </c>
      <c r="B108" s="9" t="s">
        <v>320</v>
      </c>
    </row>
    <row r="109" spans="1:2">
      <c r="A109" s="9" t="s">
        <v>321</v>
      </c>
      <c r="B109" s="9" t="s">
        <v>322</v>
      </c>
    </row>
    <row r="110" spans="1:2">
      <c r="A110" s="9" t="s">
        <v>323</v>
      </c>
      <c r="B110" s="9" t="s">
        <v>324</v>
      </c>
    </row>
    <row r="111" spans="1:2">
      <c r="A111" s="9" t="s">
        <v>325</v>
      </c>
      <c r="B111" s="9" t="s">
        <v>326</v>
      </c>
    </row>
    <row r="112" spans="1:2">
      <c r="A112" s="9" t="s">
        <v>327</v>
      </c>
      <c r="B112" s="9" t="s">
        <v>328</v>
      </c>
    </row>
    <row r="113" spans="1:2">
      <c r="A113" s="9" t="s">
        <v>329</v>
      </c>
      <c r="B113" s="9" t="s">
        <v>330</v>
      </c>
    </row>
    <row r="114" spans="1:2">
      <c r="A114" s="9" t="s">
        <v>331</v>
      </c>
      <c r="B114" s="9" t="s">
        <v>332</v>
      </c>
    </row>
    <row r="115" spans="1:2">
      <c r="A115" s="9" t="s">
        <v>333</v>
      </c>
      <c r="B115" s="9" t="s">
        <v>334</v>
      </c>
    </row>
    <row r="116" spans="1:2">
      <c r="A116" s="9" t="s">
        <v>335</v>
      </c>
      <c r="B116" s="9" t="s">
        <v>336</v>
      </c>
    </row>
    <row r="117" spans="1:2">
      <c r="A117" s="9" t="s">
        <v>337</v>
      </c>
      <c r="B117" s="9" t="s">
        <v>338</v>
      </c>
    </row>
    <row r="118" spans="1:2">
      <c r="A118" s="9" t="s">
        <v>339</v>
      </c>
      <c r="B118" s="9" t="s">
        <v>340</v>
      </c>
    </row>
    <row r="119" spans="1:2">
      <c r="A119" s="9" t="s">
        <v>341</v>
      </c>
      <c r="B119" s="9" t="s">
        <v>342</v>
      </c>
    </row>
    <row r="120" spans="1:2">
      <c r="A120" s="9" t="s">
        <v>343</v>
      </c>
      <c r="B120" s="9" t="s">
        <v>344</v>
      </c>
    </row>
    <row r="121" spans="1:2">
      <c r="A121" s="9" t="s">
        <v>345</v>
      </c>
      <c r="B121" s="9" t="s">
        <v>346</v>
      </c>
    </row>
    <row r="122" spans="1:2">
      <c r="A122" s="9" t="s">
        <v>347</v>
      </c>
      <c r="B122" s="9" t="s">
        <v>348</v>
      </c>
    </row>
    <row r="123" spans="1:2">
      <c r="A123" s="9" t="s">
        <v>349</v>
      </c>
      <c r="B123" s="9" t="s">
        <v>350</v>
      </c>
    </row>
    <row r="124" spans="1:2">
      <c r="A124" s="9" t="s">
        <v>351</v>
      </c>
      <c r="B124" s="9" t="s">
        <v>352</v>
      </c>
    </row>
    <row r="125" spans="1:2">
      <c r="A125" s="9" t="s">
        <v>353</v>
      </c>
      <c r="B125" s="9" t="s">
        <v>354</v>
      </c>
    </row>
    <row r="126" spans="1:2">
      <c r="A126" s="9" t="s">
        <v>355</v>
      </c>
      <c r="B126" s="9" t="s">
        <v>356</v>
      </c>
    </row>
    <row r="127" spans="1:2">
      <c r="A127" s="9" t="s">
        <v>357</v>
      </c>
      <c r="B127" s="9" t="s">
        <v>358</v>
      </c>
    </row>
    <row r="128" spans="1:2">
      <c r="A128" s="9" t="s">
        <v>359</v>
      </c>
      <c r="B128" s="9" t="s">
        <v>360</v>
      </c>
    </row>
    <row r="129" spans="1:2">
      <c r="A129" s="9" t="s">
        <v>361</v>
      </c>
      <c r="B129" s="9" t="s">
        <v>362</v>
      </c>
    </row>
    <row r="130" spans="1:2">
      <c r="A130" s="9" t="s">
        <v>363</v>
      </c>
      <c r="B130" s="9" t="s">
        <v>364</v>
      </c>
    </row>
    <row r="131" spans="1:2">
      <c r="A131" s="9" t="s">
        <v>365</v>
      </c>
      <c r="B131" s="9" t="s">
        <v>366</v>
      </c>
    </row>
    <row r="132" spans="1:2">
      <c r="A132" s="9" t="s">
        <v>367</v>
      </c>
      <c r="B132" s="9" t="s">
        <v>368</v>
      </c>
    </row>
    <row r="133" spans="1:2">
      <c r="A133" s="9" t="s">
        <v>0</v>
      </c>
      <c r="B133" s="9" t="s">
        <v>369</v>
      </c>
    </row>
    <row r="134" spans="1:2">
      <c r="A134" s="9" t="s">
        <v>370</v>
      </c>
      <c r="B134" s="9" t="s">
        <v>371</v>
      </c>
    </row>
    <row r="135" spans="1:2">
      <c r="A135" s="9" t="s">
        <v>372</v>
      </c>
      <c r="B135" s="9" t="s">
        <v>373</v>
      </c>
    </row>
    <row r="136" spans="1:2">
      <c r="A136" s="9" t="s">
        <v>374</v>
      </c>
      <c r="B136" s="9" t="s">
        <v>375</v>
      </c>
    </row>
    <row r="137" spans="1:2">
      <c r="A137" s="9" t="s">
        <v>376</v>
      </c>
      <c r="B137" s="9" t="s">
        <v>377</v>
      </c>
    </row>
    <row r="138" spans="1:2">
      <c r="A138" s="9" t="s">
        <v>378</v>
      </c>
      <c r="B138" s="9" t="s">
        <v>379</v>
      </c>
    </row>
    <row r="139" spans="1:2">
      <c r="A139" s="9" t="s">
        <v>380</v>
      </c>
      <c r="B139" s="9" t="s">
        <v>381</v>
      </c>
    </row>
    <row r="140" spans="1:2">
      <c r="A140" s="9" t="s">
        <v>382</v>
      </c>
      <c r="B140" s="9" t="s">
        <v>383</v>
      </c>
    </row>
    <row r="141" spans="1:2">
      <c r="A141" s="9" t="s">
        <v>384</v>
      </c>
      <c r="B141" s="9" t="s">
        <v>385</v>
      </c>
    </row>
    <row r="142" spans="1:2">
      <c r="A142" s="9" t="s">
        <v>386</v>
      </c>
      <c r="B142" s="9" t="s">
        <v>387</v>
      </c>
    </row>
    <row r="143" spans="1:2">
      <c r="A143" s="9" t="s">
        <v>388</v>
      </c>
      <c r="B143" s="9" t="s">
        <v>389</v>
      </c>
    </row>
    <row r="144" spans="1:2">
      <c r="A144" s="9" t="s">
        <v>390</v>
      </c>
      <c r="B144" s="9" t="s">
        <v>391</v>
      </c>
    </row>
    <row r="145" spans="1:2">
      <c r="A145" s="9" t="s">
        <v>392</v>
      </c>
      <c r="B145" s="9" t="s">
        <v>393</v>
      </c>
    </row>
    <row r="146" spans="1:2">
      <c r="A146" s="9" t="s">
        <v>394</v>
      </c>
      <c r="B146" s="9" t="s">
        <v>395</v>
      </c>
    </row>
    <row r="147" spans="1:2">
      <c r="A147" s="9" t="s">
        <v>396</v>
      </c>
      <c r="B147" s="9" t="s">
        <v>397</v>
      </c>
    </row>
    <row r="148" spans="1:2">
      <c r="A148" s="9" t="s">
        <v>398</v>
      </c>
      <c r="B148" s="9" t="s">
        <v>399</v>
      </c>
    </row>
    <row r="149" spans="1:2">
      <c r="A149" s="9" t="s">
        <v>400</v>
      </c>
      <c r="B149" s="9" t="s">
        <v>401</v>
      </c>
    </row>
    <row r="150" spans="1:2">
      <c r="A150" s="9" t="s">
        <v>402</v>
      </c>
      <c r="B150" s="9" t="s">
        <v>403</v>
      </c>
    </row>
    <row r="151" spans="1:2">
      <c r="A151" s="9" t="s">
        <v>404</v>
      </c>
      <c r="B151" s="9" t="s">
        <v>405</v>
      </c>
    </row>
    <row r="152" spans="1:2">
      <c r="A152" s="9" t="s">
        <v>406</v>
      </c>
      <c r="B152" s="9" t="s">
        <v>407</v>
      </c>
    </row>
    <row r="153" spans="1:2">
      <c r="A153" s="9" t="s">
        <v>408</v>
      </c>
      <c r="B153" s="9" t="s">
        <v>409</v>
      </c>
    </row>
    <row r="154" spans="1:2">
      <c r="A154" s="9" t="s">
        <v>410</v>
      </c>
      <c r="B154" s="9" t="s">
        <v>411</v>
      </c>
    </row>
    <row r="155" spans="1:2">
      <c r="A155" s="9" t="s">
        <v>412</v>
      </c>
      <c r="B155" s="9" t="s">
        <v>413</v>
      </c>
    </row>
    <row r="156" spans="1:2">
      <c r="A156" s="9" t="s">
        <v>414</v>
      </c>
      <c r="B156" s="9" t="s">
        <v>415</v>
      </c>
    </row>
    <row r="157" spans="1:2">
      <c r="A157" s="9" t="s">
        <v>416</v>
      </c>
      <c r="B157" s="9" t="s">
        <v>417</v>
      </c>
    </row>
    <row r="158" spans="1:2">
      <c r="A158" s="9" t="s">
        <v>418</v>
      </c>
      <c r="B158" s="9" t="s">
        <v>419</v>
      </c>
    </row>
    <row r="159" spans="1:2">
      <c r="A159" s="9" t="s">
        <v>420</v>
      </c>
      <c r="B159" s="9" t="s">
        <v>421</v>
      </c>
    </row>
    <row r="160" spans="1:2">
      <c r="A160" s="9" t="s">
        <v>422</v>
      </c>
      <c r="B160" s="9" t="s">
        <v>423</v>
      </c>
    </row>
    <row r="161" spans="1:2">
      <c r="A161" s="9" t="s">
        <v>424</v>
      </c>
      <c r="B161" s="9" t="s">
        <v>425</v>
      </c>
    </row>
    <row r="162" spans="1:2">
      <c r="A162" s="9" t="s">
        <v>426</v>
      </c>
      <c r="B162" s="9" t="s">
        <v>427</v>
      </c>
    </row>
    <row r="163" spans="1:2">
      <c r="A163" s="9" t="s">
        <v>428</v>
      </c>
      <c r="B163" s="9" t="s">
        <v>429</v>
      </c>
    </row>
    <row r="164" spans="1:2">
      <c r="A164" s="9" t="s">
        <v>430</v>
      </c>
      <c r="B164" s="9" t="s">
        <v>431</v>
      </c>
    </row>
    <row r="165" spans="1:2">
      <c r="A165" s="9" t="s">
        <v>432</v>
      </c>
      <c r="B165" s="9" t="s">
        <v>433</v>
      </c>
    </row>
    <row r="166" spans="1:2">
      <c r="A166" s="9" t="s">
        <v>434</v>
      </c>
      <c r="B166" s="9" t="s">
        <v>435</v>
      </c>
    </row>
    <row r="167" spans="1:2">
      <c r="A167" s="9" t="s">
        <v>436</v>
      </c>
      <c r="B167" s="9" t="s">
        <v>437</v>
      </c>
    </row>
    <row r="168" spans="1:2">
      <c r="A168" s="9" t="s">
        <v>438</v>
      </c>
      <c r="B168" s="9" t="s">
        <v>439</v>
      </c>
    </row>
    <row r="169" spans="1:2">
      <c r="A169" s="9" t="s">
        <v>440</v>
      </c>
      <c r="B169" s="9" t="s">
        <v>441</v>
      </c>
    </row>
    <row r="170" spans="1:2">
      <c r="A170" s="9" t="s">
        <v>442</v>
      </c>
      <c r="B170" s="9" t="s">
        <v>443</v>
      </c>
    </row>
    <row r="171" spans="1:2">
      <c r="A171" s="9" t="s">
        <v>444</v>
      </c>
      <c r="B171" s="9" t="s">
        <v>445</v>
      </c>
    </row>
    <row r="172" spans="1:2">
      <c r="A172" s="9" t="s">
        <v>446</v>
      </c>
      <c r="B172" s="9" t="s">
        <v>447</v>
      </c>
    </row>
    <row r="173" spans="1:2">
      <c r="A173" s="9" t="s">
        <v>448</v>
      </c>
      <c r="B173" s="9" t="s">
        <v>449</v>
      </c>
    </row>
    <row r="174" spans="1:2">
      <c r="A174" s="9" t="s">
        <v>450</v>
      </c>
      <c r="B174" s="9" t="s">
        <v>451</v>
      </c>
    </row>
    <row r="175" spans="1:2">
      <c r="A175" s="9" t="s">
        <v>452</v>
      </c>
      <c r="B175" s="9" t="s">
        <v>453</v>
      </c>
    </row>
    <row r="176" spans="1:2">
      <c r="A176" s="9" t="s">
        <v>454</v>
      </c>
      <c r="B176" s="9" t="s">
        <v>455</v>
      </c>
    </row>
    <row r="177" spans="1:2">
      <c r="A177" s="9" t="s">
        <v>456</v>
      </c>
      <c r="B177" s="9" t="s">
        <v>457</v>
      </c>
    </row>
    <row r="178" spans="1:2">
      <c r="A178" s="9" t="s">
        <v>458</v>
      </c>
      <c r="B178" s="9" t="s">
        <v>459</v>
      </c>
    </row>
    <row r="179" spans="1:2">
      <c r="A179" s="9" t="s">
        <v>460</v>
      </c>
      <c r="B179" s="9" t="s">
        <v>461</v>
      </c>
    </row>
    <row r="180" spans="1:2">
      <c r="A180" s="9" t="s">
        <v>462</v>
      </c>
      <c r="B180" s="9" t="s">
        <v>463</v>
      </c>
    </row>
    <row r="181" spans="1:2">
      <c r="A181" s="9" t="s">
        <v>464</v>
      </c>
      <c r="B181" s="9" t="s">
        <v>465</v>
      </c>
    </row>
    <row r="182" spans="1:2">
      <c r="A182" s="9" t="s">
        <v>466</v>
      </c>
      <c r="B182" s="9" t="s">
        <v>467</v>
      </c>
    </row>
    <row r="183" spans="1:2">
      <c r="A183" s="9" t="s">
        <v>468</v>
      </c>
      <c r="B183" s="9" t="s">
        <v>469</v>
      </c>
    </row>
    <row r="184" spans="1:2">
      <c r="A184" s="9" t="s">
        <v>470</v>
      </c>
      <c r="B184" s="9" t="s">
        <v>471</v>
      </c>
    </row>
    <row r="185" spans="1:2">
      <c r="A185" s="9" t="s">
        <v>472</v>
      </c>
      <c r="B185" s="9" t="s">
        <v>473</v>
      </c>
    </row>
    <row r="186" spans="1:2">
      <c r="A186" s="9" t="s">
        <v>474</v>
      </c>
      <c r="B186" s="9" t="s">
        <v>475</v>
      </c>
    </row>
    <row r="187" spans="1:2">
      <c r="A187" s="9" t="s">
        <v>476</v>
      </c>
      <c r="B187" s="9" t="s">
        <v>477</v>
      </c>
    </row>
    <row r="188" spans="1:2">
      <c r="A188" s="9" t="s">
        <v>478</v>
      </c>
      <c r="B188" s="9" t="s">
        <v>479</v>
      </c>
    </row>
    <row r="189" spans="1:2">
      <c r="A189" s="9" t="s">
        <v>480</v>
      </c>
      <c r="B189" s="9" t="s">
        <v>481</v>
      </c>
    </row>
    <row r="190" spans="1:2">
      <c r="A190" s="9" t="s">
        <v>482</v>
      </c>
      <c r="B190" s="9" t="s">
        <v>483</v>
      </c>
    </row>
    <row r="191" spans="1:2">
      <c r="A191" s="9" t="s">
        <v>484</v>
      </c>
      <c r="B191" s="9" t="s">
        <v>485</v>
      </c>
    </row>
    <row r="192" spans="1:2">
      <c r="A192" s="9" t="s">
        <v>486</v>
      </c>
      <c r="B192" s="9" t="s">
        <v>487</v>
      </c>
    </row>
    <row r="193" spans="1:2">
      <c r="A193" s="9" t="s">
        <v>488</v>
      </c>
      <c r="B193" s="9" t="s">
        <v>489</v>
      </c>
    </row>
    <row r="194" spans="1:2">
      <c r="A194" s="9" t="s">
        <v>490</v>
      </c>
      <c r="B194" s="9" t="s">
        <v>491</v>
      </c>
    </row>
    <row r="195" spans="1:2">
      <c r="A195" s="9" t="s">
        <v>492</v>
      </c>
      <c r="B195" s="9" t="s">
        <v>493</v>
      </c>
    </row>
    <row r="196" spans="1:2">
      <c r="A196" s="9" t="s">
        <v>494</v>
      </c>
      <c r="B196" s="9" t="s">
        <v>495</v>
      </c>
    </row>
    <row r="197" spans="1:2">
      <c r="A197" s="9" t="s">
        <v>496</v>
      </c>
      <c r="B197" s="9" t="s">
        <v>497</v>
      </c>
    </row>
    <row r="198" spans="1:2">
      <c r="A198" s="9" t="s">
        <v>498</v>
      </c>
      <c r="B198" s="9" t="s">
        <v>499</v>
      </c>
    </row>
    <row r="199" spans="1:2">
      <c r="A199" s="9" t="s">
        <v>500</v>
      </c>
      <c r="B199" s="9" t="s">
        <v>501</v>
      </c>
    </row>
    <row r="200" spans="1:2">
      <c r="A200" s="9" t="s">
        <v>502</v>
      </c>
      <c r="B200" s="9" t="s">
        <v>503</v>
      </c>
    </row>
    <row r="201" spans="1:2">
      <c r="A201" s="9" t="s">
        <v>504</v>
      </c>
      <c r="B201" s="9" t="s">
        <v>505</v>
      </c>
    </row>
    <row r="202" spans="1:2">
      <c r="A202" s="9" t="s">
        <v>506</v>
      </c>
      <c r="B202" s="9" t="s">
        <v>507</v>
      </c>
    </row>
    <row r="203" spans="1:2">
      <c r="A203" s="9" t="s">
        <v>508</v>
      </c>
      <c r="B203" s="9" t="s">
        <v>509</v>
      </c>
    </row>
    <row r="204" spans="1:2">
      <c r="A204" s="9" t="s">
        <v>510</v>
      </c>
      <c r="B204" s="9" t="s">
        <v>511</v>
      </c>
    </row>
    <row r="205" spans="1:2">
      <c r="A205" s="9" t="s">
        <v>512</v>
      </c>
      <c r="B205" s="9" t="s">
        <v>513</v>
      </c>
    </row>
    <row r="206" spans="1:2">
      <c r="A206" s="9" t="s">
        <v>514</v>
      </c>
      <c r="B206" s="9" t="s">
        <v>515</v>
      </c>
    </row>
    <row r="207" spans="1:2">
      <c r="A207" s="9" t="s">
        <v>12</v>
      </c>
      <c r="B207" s="9" t="s">
        <v>516</v>
      </c>
    </row>
    <row r="208" spans="1:2">
      <c r="A208" s="9" t="s">
        <v>517</v>
      </c>
      <c r="B208" s="9" t="s">
        <v>518</v>
      </c>
    </row>
    <row r="209" spans="1:2">
      <c r="A209" s="9" t="s">
        <v>519</v>
      </c>
      <c r="B209" s="9" t="s">
        <v>520</v>
      </c>
    </row>
    <row r="210" spans="1:2">
      <c r="A210" s="9" t="s">
        <v>521</v>
      </c>
      <c r="B210" s="9" t="s">
        <v>522</v>
      </c>
    </row>
    <row r="211" spans="1:2">
      <c r="A211" s="9" t="s">
        <v>523</v>
      </c>
      <c r="B211" s="9" t="s">
        <v>524</v>
      </c>
    </row>
    <row r="212" spans="1:2">
      <c r="A212" s="9" t="s">
        <v>525</v>
      </c>
      <c r="B212" s="9" t="s">
        <v>526</v>
      </c>
    </row>
    <row r="213" spans="1:2">
      <c r="A213" s="9" t="s">
        <v>527</v>
      </c>
      <c r="B213" s="9" t="s">
        <v>528</v>
      </c>
    </row>
    <row r="214" spans="1:2">
      <c r="A214" s="9" t="s">
        <v>529</v>
      </c>
      <c r="B214" s="9" t="s">
        <v>530</v>
      </c>
    </row>
    <row r="215" spans="1:2">
      <c r="A215" s="9" t="s">
        <v>531</v>
      </c>
      <c r="B215" s="9" t="s">
        <v>532</v>
      </c>
    </row>
    <row r="216" spans="1:2">
      <c r="A216" s="9" t="s">
        <v>533</v>
      </c>
      <c r="B216" s="9" t="s">
        <v>534</v>
      </c>
    </row>
    <row r="217" spans="1:2">
      <c r="A217" s="9" t="s">
        <v>535</v>
      </c>
      <c r="B217" s="9" t="s">
        <v>536</v>
      </c>
    </row>
    <row r="218" spans="1:2">
      <c r="A218" s="9" t="s">
        <v>537</v>
      </c>
      <c r="B218" s="9" t="s">
        <v>538</v>
      </c>
    </row>
    <row r="219" spans="1:2">
      <c r="A219" s="9" t="s">
        <v>539</v>
      </c>
      <c r="B219" s="9" t="s">
        <v>540</v>
      </c>
    </row>
    <row r="220" spans="1:2">
      <c r="A220" s="9" t="s">
        <v>541</v>
      </c>
      <c r="B220" s="9" t="s">
        <v>542</v>
      </c>
    </row>
    <row r="221" spans="1:2">
      <c r="A221" s="9" t="s">
        <v>543</v>
      </c>
      <c r="B221" s="9" t="s">
        <v>544</v>
      </c>
    </row>
    <row r="222" spans="1:2">
      <c r="A222" s="9" t="s">
        <v>545</v>
      </c>
      <c r="B222" s="9" t="s">
        <v>546</v>
      </c>
    </row>
    <row r="223" spans="1:2">
      <c r="A223" s="9" t="s">
        <v>547</v>
      </c>
      <c r="B223" s="9" t="s">
        <v>548</v>
      </c>
    </row>
    <row r="224" spans="1:2">
      <c r="A224" s="9" t="s">
        <v>549</v>
      </c>
      <c r="B224" s="9" t="s">
        <v>550</v>
      </c>
    </row>
    <row r="225" spans="1:2">
      <c r="A225" s="9" t="s">
        <v>551</v>
      </c>
      <c r="B225" s="9" t="s">
        <v>552</v>
      </c>
    </row>
    <row r="226" spans="1:2">
      <c r="A226" s="9" t="s">
        <v>553</v>
      </c>
      <c r="B226" s="9" t="s">
        <v>554</v>
      </c>
    </row>
    <row r="227" spans="1:2">
      <c r="A227" s="9" t="s">
        <v>555</v>
      </c>
      <c r="B227" s="9" t="s">
        <v>556</v>
      </c>
    </row>
    <row r="228" spans="1:2">
      <c r="A228" s="9" t="s">
        <v>557</v>
      </c>
      <c r="B228" s="9" t="s">
        <v>558</v>
      </c>
    </row>
    <row r="229" spans="1:2">
      <c r="A229" s="9" t="s">
        <v>559</v>
      </c>
      <c r="B229" s="9" t="s">
        <v>560</v>
      </c>
    </row>
    <row r="230" spans="1:2">
      <c r="A230" s="9" t="s">
        <v>561</v>
      </c>
      <c r="B230" s="9" t="s">
        <v>562</v>
      </c>
    </row>
    <row r="231" spans="1:2">
      <c r="A231" s="9" t="s">
        <v>563</v>
      </c>
      <c r="B231" s="9" t="s">
        <v>564</v>
      </c>
    </row>
    <row r="232" spans="1:2">
      <c r="A232" s="9" t="s">
        <v>565</v>
      </c>
      <c r="B232" s="9" t="s">
        <v>566</v>
      </c>
    </row>
    <row r="233" spans="1:2">
      <c r="A233" s="9" t="s">
        <v>567</v>
      </c>
      <c r="B233" s="9" t="s">
        <v>568</v>
      </c>
    </row>
    <row r="234" spans="1:2">
      <c r="A234" s="9" t="s">
        <v>569</v>
      </c>
      <c r="B234" s="9" t="s">
        <v>570</v>
      </c>
    </row>
    <row r="235" spans="1:2">
      <c r="A235" s="9" t="s">
        <v>571</v>
      </c>
      <c r="B235" s="9" t="s">
        <v>572</v>
      </c>
    </row>
    <row r="236" spans="1:2">
      <c r="A236" s="9" t="s">
        <v>573</v>
      </c>
      <c r="B236" s="9" t="s">
        <v>574</v>
      </c>
    </row>
    <row r="237" spans="1:2">
      <c r="A237" s="9" t="s">
        <v>575</v>
      </c>
      <c r="B237" s="9" t="s">
        <v>576</v>
      </c>
    </row>
    <row r="238" spans="1:2">
      <c r="A238" s="9" t="s">
        <v>577</v>
      </c>
      <c r="B238" s="9" t="s">
        <v>578</v>
      </c>
    </row>
    <row r="239" spans="1:2">
      <c r="A239" s="9" t="s">
        <v>579</v>
      </c>
      <c r="B239" s="9" t="s">
        <v>580</v>
      </c>
    </row>
    <row r="240" spans="1:2">
      <c r="A240" s="9" t="s">
        <v>581</v>
      </c>
      <c r="B240" s="9" t="s">
        <v>582</v>
      </c>
    </row>
    <row r="241" spans="1:2">
      <c r="A241" s="9" t="s">
        <v>583</v>
      </c>
      <c r="B241" s="9" t="s">
        <v>584</v>
      </c>
    </row>
    <row r="242" spans="1:2">
      <c r="A242" s="9" t="s">
        <v>585</v>
      </c>
      <c r="B242" s="9" t="s">
        <v>586</v>
      </c>
    </row>
    <row r="243" spans="1:2">
      <c r="A243" s="9" t="s">
        <v>587</v>
      </c>
      <c r="B243" s="9" t="s">
        <v>588</v>
      </c>
    </row>
    <row r="244" spans="1:2">
      <c r="A244" s="9" t="s">
        <v>589</v>
      </c>
      <c r="B244" s="9" t="s">
        <v>590</v>
      </c>
    </row>
    <row r="245" spans="1:2">
      <c r="A245" s="9" t="s">
        <v>591</v>
      </c>
      <c r="B245" s="9" t="s">
        <v>592</v>
      </c>
    </row>
    <row r="246" spans="1:2">
      <c r="A246" s="9" t="s">
        <v>593</v>
      </c>
      <c r="B246" s="9" t="s">
        <v>594</v>
      </c>
    </row>
    <row r="247" spans="1:2">
      <c r="A247" s="9" t="s">
        <v>595</v>
      </c>
      <c r="B247" s="9" t="s">
        <v>596</v>
      </c>
    </row>
    <row r="248" spans="1:2">
      <c r="A248" s="9" t="s">
        <v>597</v>
      </c>
      <c r="B248" s="9" t="s">
        <v>598</v>
      </c>
    </row>
    <row r="249" spans="1:2">
      <c r="A249" s="9" t="s">
        <v>599</v>
      </c>
      <c r="B249" s="9" t="s">
        <v>600</v>
      </c>
    </row>
    <row r="250" spans="1:2">
      <c r="A250" s="9" t="s">
        <v>601</v>
      </c>
      <c r="B250" s="9" t="s">
        <v>602</v>
      </c>
    </row>
    <row r="251" spans="1:2">
      <c r="A251" s="9" t="s">
        <v>603</v>
      </c>
      <c r="B251" s="9" t="s">
        <v>604</v>
      </c>
    </row>
    <row r="252" spans="1:2">
      <c r="A252" s="9" t="s">
        <v>605</v>
      </c>
      <c r="B252" s="9" t="s">
        <v>606</v>
      </c>
    </row>
    <row r="253" spans="1:2">
      <c r="A253" s="9" t="s">
        <v>607</v>
      </c>
      <c r="B253" s="9" t="s">
        <v>608</v>
      </c>
    </row>
    <row r="254" spans="1:2">
      <c r="A254" s="9" t="s">
        <v>609</v>
      </c>
      <c r="B254" s="9" t="s">
        <v>610</v>
      </c>
    </row>
    <row r="255" spans="1:2">
      <c r="A255" s="9" t="s">
        <v>611</v>
      </c>
      <c r="B255" s="9" t="s">
        <v>612</v>
      </c>
    </row>
    <row r="256" spans="1:2">
      <c r="A256" s="9" t="s">
        <v>613</v>
      </c>
      <c r="B256" s="9" t="s">
        <v>614</v>
      </c>
    </row>
    <row r="257" spans="1:2">
      <c r="A257" s="9" t="s">
        <v>615</v>
      </c>
      <c r="B257" s="9" t="s">
        <v>616</v>
      </c>
    </row>
    <row r="258" spans="1:2">
      <c r="A258" s="9" t="s">
        <v>617</v>
      </c>
      <c r="B258" s="9" t="s">
        <v>618</v>
      </c>
    </row>
    <row r="259" spans="1:2">
      <c r="A259" s="9" t="s">
        <v>619</v>
      </c>
      <c r="B259" s="9" t="s">
        <v>620</v>
      </c>
    </row>
    <row r="260" spans="1:2">
      <c r="A260" s="9" t="s">
        <v>621</v>
      </c>
      <c r="B260" s="9" t="s">
        <v>622</v>
      </c>
    </row>
    <row r="261" spans="1:2">
      <c r="A261" s="9" t="s">
        <v>623</v>
      </c>
      <c r="B261" s="9" t="s">
        <v>624</v>
      </c>
    </row>
  </sheetData>
  <mergeCells count="9">
    <mergeCell ref="A1:B1"/>
    <mergeCell ref="D2:D14"/>
    <mergeCell ref="D16:D22"/>
    <mergeCell ref="D23:D35"/>
    <mergeCell ref="D36:D37"/>
    <mergeCell ref="D38:D39"/>
    <mergeCell ref="D40:D41"/>
    <mergeCell ref="D42:D43"/>
    <mergeCell ref="D44:D4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BRF84</vt:lpstr>
      <vt:lpstr>Drop_Down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2023-10-29T11:51:04Z</dcterms:created>
  <dcterms:modified xsi:type="dcterms:W3CDTF">2024-02-22T06:24:40Z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F914CB4D25E741F9B92AF70363DAA208_13</vt:lpwstr>
  </property>
  <property fmtid="{D5CDD505-2E9C-101B-9397-08002B2CF9AE}" pid="3" name="KSOProductBuildVer">
    <vt:lpwstr>1033-12.2.0.13431</vt:lpwstr>
  </property>
</Properties>
</file>