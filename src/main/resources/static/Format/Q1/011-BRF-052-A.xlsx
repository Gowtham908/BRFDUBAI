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52GLOBAL LIAB" sheetId="1" r:id="rId1"/>
    <sheet name="Country_Code" sheetId="2" r:id="rId2"/>
  </sheets>
  <definedNames>
    <definedName name="CODE">Country_Code!$A$2:$A$260</definedName>
    <definedName name="COUNTRIES">Country_Code!$B$2:$B$260</definedName>
    <definedName name="_xlnm.Print_Area" localSheetId="0">'BRF 52GLOBAL LIAB'!$B$2:$Z$96</definedName>
  </definedNames>
  <calcPr calcId="144525"/>
</workbook>
</file>

<file path=xl/sharedStrings.xml><?xml version="1.0" encoding="utf-8"?>
<sst xmlns="http://schemas.openxmlformats.org/spreadsheetml/2006/main" count="683" uniqueCount="624">
  <si>
    <t xml:space="preserve">                                                     BANKING AND MONETARY STATISTICS-  GLOBAL LIABILITIES AND  CAPITAL- BRF 52 (AED 000)</t>
  </si>
  <si>
    <t>ID:</t>
  </si>
  <si>
    <t>4-52-1-0</t>
  </si>
  <si>
    <t>BANK</t>
  </si>
  <si>
    <t>Bank of Baroda</t>
  </si>
  <si>
    <t>As On</t>
  </si>
  <si>
    <t>Global Amount</t>
  </si>
  <si>
    <t>UAE -BRF 2</t>
  </si>
  <si>
    <t>Foreign branches/ countries</t>
  </si>
  <si>
    <t>NA</t>
  </si>
  <si>
    <t>No</t>
  </si>
  <si>
    <t>LIABILITIES</t>
  </si>
  <si>
    <t>Amount</t>
  </si>
  <si>
    <t>GOVERNMENT SECTOR</t>
  </si>
  <si>
    <t>Demand</t>
  </si>
  <si>
    <t>Savings</t>
  </si>
  <si>
    <t>Time including CDs/ structured products</t>
  </si>
  <si>
    <t>Commercial prepayments (Margin deposits)</t>
  </si>
  <si>
    <t>GREs (Govt ownership of more than 50%)</t>
  </si>
  <si>
    <t xml:space="preserve">PRIVATE SECTOR </t>
  </si>
  <si>
    <t>Corporate</t>
  </si>
  <si>
    <t>16.1.1</t>
  </si>
  <si>
    <t>16.1.2</t>
  </si>
  <si>
    <t>16.1.3</t>
  </si>
  <si>
    <t>16.1.4</t>
  </si>
  <si>
    <t>Individuals</t>
  </si>
  <si>
    <t>16.2.1</t>
  </si>
  <si>
    <t>16.2.2</t>
  </si>
  <si>
    <t>16.2.3</t>
  </si>
  <si>
    <t>16.2.4</t>
  </si>
  <si>
    <t>NON BANKING FINANCIAL INSTITUTIONS</t>
  </si>
  <si>
    <t>Money at call and short notice</t>
  </si>
  <si>
    <t>Time</t>
  </si>
  <si>
    <t>Borrowings under repurchase agreement</t>
  </si>
  <si>
    <t>REFINANCING</t>
  </si>
  <si>
    <t>Under various housing loan schemes of Central and State Governments</t>
  </si>
  <si>
    <t>BANKERS DRAFT/ CASHIER ORDER</t>
  </si>
  <si>
    <t>DUE TO CENTRAL BANK</t>
  </si>
  <si>
    <t>Against CD</t>
  </si>
  <si>
    <t>Against other securities</t>
  </si>
  <si>
    <t>Other Balances</t>
  </si>
  <si>
    <t>DUE TO HEAD OFFICE/ OWN BRANCHES/BANKING SUBSIDIARIES(GROSS)</t>
  </si>
  <si>
    <t>Due to Head Office/Branches of foreign banks</t>
  </si>
  <si>
    <t>Due to overseas branches national banks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</si>
  <si>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</si>
  <si>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</si>
  <si>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</si>
  <si>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</si>
  <si>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TERM FINANCING</t>
  </si>
  <si>
    <t>Capital Market Funding</t>
  </si>
  <si>
    <t>INTER-BRANCH TRANSACTIONS (EXCL 21.1 AND 21.2)</t>
  </si>
  <si>
    <t>PROVISIONS &amp; INTEREST IN SUSPENSE</t>
  </si>
  <si>
    <t>Specific provision for loans &amp; advances</t>
  </si>
  <si>
    <t>Collective Provisions</t>
  </si>
  <si>
    <t>25.2.1</t>
  </si>
  <si>
    <t>Collective impairment expected</t>
  </si>
  <si>
    <t>25.2.2</t>
  </si>
  <si>
    <t>Other unallocated  provisions for impaired assets</t>
  </si>
  <si>
    <t>25.2.3</t>
  </si>
  <si>
    <t>General Provision as per Circular 28/2010</t>
  </si>
  <si>
    <t>Interest in suspense</t>
  </si>
  <si>
    <t>Provision for investments &amp; impairment of non-financial assets</t>
  </si>
  <si>
    <t>Staff benefits (pension, ESB etc)</t>
  </si>
  <si>
    <t>Other Provisions</t>
  </si>
  <si>
    <t>OTHER LIABILITIES</t>
  </si>
  <si>
    <t>Interest payable on deposits/ other liabilities</t>
  </si>
  <si>
    <t>Income tax liability</t>
  </si>
  <si>
    <t xml:space="preserve">Accounts payable and sundry creditors </t>
  </si>
  <si>
    <t>Income (interest &amp; fees) received in advance</t>
  </si>
  <si>
    <t>Interest free deposits from H.O. for provision</t>
  </si>
  <si>
    <t>Earmarked Loans from H.O</t>
  </si>
  <si>
    <t>Subordinated borrowings/ deposits</t>
  </si>
  <si>
    <t>Acceptances</t>
  </si>
  <si>
    <t>All other borrowings</t>
  </si>
  <si>
    <t>NEGATIVE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</si>
  <si>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</si>
  <si>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</si>
  <si>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</si>
  <si>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</si>
  <si>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</si>
  <si>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</si>
  <si>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</si>
  <si>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CAPITAL &amp; RESERVES</t>
  </si>
  <si>
    <t>Paid-up Capital</t>
  </si>
  <si>
    <t>28.1.1</t>
  </si>
  <si>
    <t>Share capital</t>
  </si>
  <si>
    <t>28.1.2</t>
  </si>
  <si>
    <t>Treasury shares held for resale</t>
  </si>
  <si>
    <t>Reserve Funds</t>
  </si>
  <si>
    <t>28.2.1</t>
  </si>
  <si>
    <t>Statutory/ legal reserves</t>
  </si>
  <si>
    <t>28.2.2</t>
  </si>
  <si>
    <t>Asset Revaluation Reserve</t>
  </si>
  <si>
    <t>28.2.3</t>
  </si>
  <si>
    <t xml:space="preserve">Accumulated other comprehensive income </t>
  </si>
  <si>
    <t>28.2.4</t>
  </si>
  <si>
    <t>Other reserves</t>
  </si>
  <si>
    <t>28.2.5</t>
  </si>
  <si>
    <t xml:space="preserve">Retained earnings </t>
  </si>
  <si>
    <t>28.2.6</t>
  </si>
  <si>
    <t xml:space="preserve">Current year's profit/ (loss) </t>
  </si>
  <si>
    <t>Instruments such as Perpetual Notes</t>
  </si>
  <si>
    <t>TOTAL LIABILITIES, CAPITAL &amp; RESERVES</t>
  </si>
  <si>
    <t>Form No: BSD/BRF 52- GLOB LIAB/DEC 13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</si>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</sst>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i/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0" fillId="8" borderId="14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0" applyNumberFormat="0" applyFill="0" applyBorder="0" applyAlignment="0" applyProtection="0"/>
    <xf numFmtId="0" fontId="19" fillId="9" borderId="18" applyNumberFormat="0" applyAlignment="0" applyProtection="0"/>
    <xf numFmtId="0" fontId="20" fillId="10" borderId="19" applyNumberFormat="0" applyAlignment="0" applyProtection="0"/>
    <xf numFmtId="0" fontId="21" fillId="10" borderId="18" applyNumberFormat="0" applyAlignment="0" applyProtection="0"/>
    <xf numFmtId="0" fontId="22" fillId="11" borderId="20" applyNumberFormat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8" fillId="37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</cellStyleXfs>
  <cellXfs count="69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3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3" fillId="3" borderId="1" xfId="53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3" fillId="4" borderId="1" xfId="53" applyNumberFormat="1" applyFont="1" applyFill="1" applyBorder="1" applyAlignment="1"/>
    <xf numFmtId="0" fontId="3" fillId="4" borderId="1" xfId="6" applyNumberFormat="1" applyFont="1" applyFill="1" applyBorder="1" applyAlignment="1" applyProtection="1"/>
    <xf numFmtId="0" fontId="4" fillId="0" borderId="0" xfId="0" applyFont="1" applyProtection="1"/>
    <xf numFmtId="0" fontId="5" fillId="5" borderId="1" xfId="52" applyFont="1" applyFill="1" applyBorder="1" applyAlignment="1" applyProtection="1">
      <alignment horizontal="center"/>
    </xf>
    <xf numFmtId="0" fontId="6" fillId="6" borderId="1" xfId="49" applyFont="1" applyFill="1" applyBorder="1" applyAlignment="1" applyProtection="1"/>
    <xf numFmtId="15" fontId="7" fillId="0" borderId="1" xfId="50" applyNumberFormat="1" applyFont="1" applyFill="1" applyBorder="1" applyAlignment="1" applyProtection="1">
      <alignment horizontal="left"/>
    </xf>
    <xf numFmtId="15" fontId="7" fillId="0" borderId="2" xfId="50" applyNumberFormat="1" applyFont="1" applyFill="1" applyBorder="1" applyAlignment="1" applyProtection="1">
      <alignment horizontal="center"/>
    </xf>
    <xf numFmtId="15" fontId="7" fillId="0" borderId="3" xfId="50" applyNumberFormat="1" applyFont="1" applyFill="1" applyBorder="1" applyAlignment="1" applyProtection="1">
      <alignment horizontal="center"/>
    </xf>
    <xf numFmtId="15" fontId="7" fillId="6" borderId="1" xfId="50" applyNumberFormat="1" applyFont="1" applyFill="1" applyBorder="1" applyAlignment="1" applyProtection="1">
      <alignment horizontal="left"/>
    </xf>
    <xf numFmtId="15" fontId="7" fillId="0" borderId="4" xfId="50" applyNumberFormat="1" applyFont="1" applyFill="1" applyBorder="1" applyAlignment="1" applyProtection="1">
      <alignment horizontal="center"/>
    </xf>
    <xf numFmtId="15" fontId="7" fillId="0" borderId="0" xfId="50" applyNumberFormat="1" applyFont="1" applyFill="1" applyBorder="1" applyAlignment="1" applyProtection="1">
      <alignment horizontal="center"/>
    </xf>
    <xf numFmtId="0" fontId="7" fillId="6" borderId="1" xfId="50" applyFont="1" applyFill="1" applyBorder="1" applyProtection="1"/>
    <xf numFmtId="15" fontId="7" fillId="0" borderId="5" xfId="50" applyNumberFormat="1" applyFont="1" applyFill="1" applyBorder="1" applyAlignment="1" applyProtection="1">
      <alignment horizontal="center"/>
    </xf>
    <xf numFmtId="15" fontId="7" fillId="0" borderId="6" xfId="50" applyNumberFormat="1" applyFont="1" applyFill="1" applyBorder="1" applyAlignment="1" applyProtection="1">
      <alignment horizontal="center"/>
    </xf>
    <xf numFmtId="0" fontId="4" fillId="0" borderId="7" xfId="0" applyFont="1" applyBorder="1" applyAlignment="1" applyProtection="1"/>
    <xf numFmtId="0" fontId="4" fillId="0" borderId="8" xfId="0" applyFont="1" applyBorder="1" applyAlignment="1" applyProtection="1"/>
    <xf numFmtId="0" fontId="7" fillId="7" borderId="9" xfId="50" applyFont="1" applyFill="1" applyBorder="1" applyAlignment="1" applyProtection="1"/>
    <xf numFmtId="0" fontId="7" fillId="7" borderId="9" xfId="50" applyFont="1" applyFill="1" applyBorder="1" applyAlignment="1" applyProtection="1">
      <alignment horizontal="center"/>
    </xf>
    <xf numFmtId="0" fontId="6" fillId="7" borderId="9" xfId="0" applyFont="1" applyFill="1" applyBorder="1" applyAlignment="1" applyProtection="1">
      <alignment horizontal="center" wrapText="1"/>
    </xf>
    <xf numFmtId="0" fontId="6" fillId="7" borderId="9" xfId="0" applyFont="1" applyFill="1" applyBorder="1" applyAlignment="1" applyProtection="1">
      <alignment horizontal="center" vertical="center" wrapText="1"/>
    </xf>
    <xf numFmtId="0" fontId="6" fillId="7" borderId="9" xfId="0" applyFont="1" applyFill="1" applyBorder="1" applyAlignment="1" applyProtection="1">
      <alignment horizontal="center" vertical="center"/>
    </xf>
    <xf numFmtId="0" fontId="6" fillId="7" borderId="9" xfId="0" applyFont="1" applyFill="1" applyBorder="1" applyAlignment="1" applyProtection="1"/>
    <xf numFmtId="0" fontId="7" fillId="7" borderId="1" xfId="50" applyFont="1" applyFill="1" applyBorder="1" applyAlignment="1" applyProtection="1"/>
    <xf numFmtId="0" fontId="7" fillId="7" borderId="1" xfId="50" applyFont="1" applyFill="1" applyBorder="1" applyAlignment="1" applyProtection="1">
      <alignment horizontal="center"/>
    </xf>
    <xf numFmtId="0" fontId="6" fillId="7" borderId="1" xfId="0" applyFont="1" applyFill="1" applyBorder="1" applyAlignment="1" applyProtection="1">
      <alignment horizontal="center" wrapText="1"/>
    </xf>
    <xf numFmtId="0" fontId="6" fillId="7" borderId="1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7" fillId="7" borderId="1" xfId="50" applyFont="1" applyFill="1" applyBorder="1" applyAlignment="1" applyProtection="1">
      <alignment wrapText="1"/>
    </xf>
    <xf numFmtId="0" fontId="7" fillId="7" borderId="1" xfId="50" applyFont="1" applyFill="1" applyBorder="1" applyAlignment="1" applyProtection="1">
      <alignment horizontal="left" wrapText="1"/>
    </xf>
    <xf numFmtId="0" fontId="4" fillId="7" borderId="1" xfId="0" applyFont="1" applyFill="1" applyBorder="1" applyProtection="1"/>
    <xf numFmtId="0" fontId="4" fillId="0" borderId="1" xfId="51" applyFont="1" applyFill="1" applyBorder="1" applyAlignment="1" applyProtection="1">
      <alignment wrapText="1"/>
    </xf>
    <xf numFmtId="0" fontId="4" fillId="0" borderId="1" xfId="0" applyFont="1" applyFill="1" applyBorder="1" applyProtection="1">
      <protection locked="0"/>
    </xf>
    <xf numFmtId="0" fontId="7" fillId="7" borderId="1" xfId="50" applyNumberFormat="1" applyFont="1" applyFill="1" applyBorder="1" applyAlignment="1" applyProtection="1">
      <alignment wrapText="1"/>
    </xf>
    <xf numFmtId="0" fontId="4" fillId="0" borderId="1" xfId="51" applyFont="1" applyFill="1" applyBorder="1" applyAlignment="1" applyProtection="1">
      <alignment horizontal="right" wrapText="1"/>
    </xf>
    <xf numFmtId="0" fontId="9" fillId="0" borderId="1" xfId="49" applyFont="1" applyFill="1" applyBorder="1" applyProtection="1"/>
    <xf numFmtId="0" fontId="9" fillId="0" borderId="1" xfId="50" applyFont="1" applyFill="1" applyBorder="1" applyAlignment="1" applyProtection="1">
      <alignment horizontal="left" wrapText="1"/>
    </xf>
    <xf numFmtId="0" fontId="7" fillId="0" borderId="1" xfId="50" applyFont="1" applyFill="1" applyBorder="1" applyAlignment="1" applyProtection="1">
      <alignment wrapText="1"/>
    </xf>
    <xf numFmtId="0" fontId="9" fillId="0" borderId="1" xfId="51" applyFont="1" applyFill="1" applyBorder="1" applyAlignment="1" applyProtection="1">
      <alignment wrapText="1"/>
    </xf>
    <xf numFmtId="0" fontId="4" fillId="3" borderId="1" xfId="51" applyFont="1" applyFill="1" applyBorder="1" applyAlignment="1" applyProtection="1">
      <alignment wrapText="1"/>
    </xf>
    <xf numFmtId="0" fontId="6" fillId="0" borderId="1" xfId="51" applyFont="1" applyFill="1" applyBorder="1" applyAlignment="1" applyProtection="1">
      <alignment wrapText="1"/>
    </xf>
    <xf numFmtId="0" fontId="9" fillId="0" borderId="1" xfId="51" applyFont="1" applyFill="1" applyBorder="1" applyAlignment="1" applyProtection="1">
      <alignment horizontal="right" vertical="top" wrapText="1"/>
    </xf>
    <xf numFmtId="0" fontId="9" fillId="0" borderId="1" xfId="49" applyFont="1" applyFill="1" applyBorder="1" applyAlignment="1" applyProtection="1">
      <alignment horizontal="right" vertical="top"/>
    </xf>
    <xf numFmtId="0" fontId="6" fillId="7" borderId="5" xfId="0" applyFont="1" applyFill="1" applyBorder="1" applyAlignment="1" applyProtection="1">
      <alignment horizontal="center" vertical="center"/>
    </xf>
    <xf numFmtId="15" fontId="7" fillId="0" borderId="10" xfId="50" applyNumberFormat="1" applyFont="1" applyFill="1" applyBorder="1" applyAlignment="1" applyProtection="1">
      <alignment horizontal="center"/>
    </xf>
    <xf numFmtId="15" fontId="7" fillId="0" borderId="11" xfId="50" applyNumberFormat="1" applyFont="1" applyFill="1" applyBorder="1" applyAlignment="1" applyProtection="1">
      <alignment horizontal="center"/>
    </xf>
    <xf numFmtId="15" fontId="7" fillId="0" borderId="12" xfId="50" applyNumberFormat="1" applyFont="1" applyFill="1" applyBorder="1" applyAlignment="1" applyProtection="1">
      <alignment horizontal="center"/>
    </xf>
    <xf numFmtId="0" fontId="4" fillId="0" borderId="13" xfId="0" applyFont="1" applyBorder="1" applyAlignment="1" applyProtection="1"/>
    <xf numFmtId="0" fontId="6" fillId="7" borderId="6" xfId="0" applyFont="1" applyFill="1" applyBorder="1" applyAlignment="1" applyProtection="1">
      <alignment horizontal="center" vertical="center"/>
    </xf>
    <xf numFmtId="0" fontId="6" fillId="7" borderId="12" xfId="0" applyFont="1" applyFill="1" applyBorder="1" applyAlignment="1" applyProtection="1">
      <alignment horizontal="center" vertical="center"/>
    </xf>
    <xf numFmtId="0" fontId="9" fillId="0" borderId="1" xfId="51" applyFont="1" applyFill="1" applyBorder="1" applyAlignment="1" applyProtection="1">
      <alignment horizontal="right" wrapText="1"/>
    </xf>
    <xf numFmtId="0" fontId="9" fillId="0" borderId="1" xfId="50" applyFont="1" applyFill="1" applyBorder="1" applyAlignment="1" applyProtection="1">
      <alignment wrapText="1"/>
    </xf>
    <xf numFmtId="0" fontId="9" fillId="0" borderId="1" xfId="51" applyFont="1" applyFill="1" applyBorder="1" applyAlignment="1" applyProtection="1"/>
    <xf numFmtId="0" fontId="4" fillId="0" borderId="1" xfId="54" applyFont="1" applyFill="1" applyBorder="1" applyProtection="1"/>
    <xf numFmtId="0" fontId="4" fillId="0" borderId="1" xfId="54" applyFont="1" applyFill="1" applyBorder="1" applyAlignment="1" applyProtection="1">
      <alignment horizontal="right"/>
    </xf>
    <xf numFmtId="0" fontId="4" fillId="0" borderId="1" xfId="50" applyFont="1" applyFill="1" applyBorder="1" applyAlignment="1" applyProtection="1">
      <alignment wrapText="1"/>
    </xf>
    <xf numFmtId="0" fontId="9" fillId="0" borderId="1" xfId="51" applyFont="1" applyFill="1" applyBorder="1" applyAlignment="1" applyProtection="1">
      <alignment horizontal="left" wrapText="1"/>
    </xf>
    <xf numFmtId="0" fontId="4" fillId="0" borderId="1" xfId="0" applyFont="1" applyFill="1" applyBorder="1" applyProtection="1"/>
    <xf numFmtId="0" fontId="7" fillId="0" borderId="1" xfId="49" applyFont="1" applyFill="1" applyBorder="1" applyProtection="1"/>
    <xf numFmtId="0" fontId="4" fillId="0" borderId="7" xfId="0" applyFont="1" applyFill="1" applyBorder="1" applyAlignment="1" applyProtection="1">
      <alignment horizontal="center"/>
    </xf>
    <xf numFmtId="0" fontId="4" fillId="0" borderId="8" xfId="0" applyFont="1" applyFill="1" applyBorder="1" applyAlignment="1" applyProtection="1">
      <alignment horizontal="center"/>
    </xf>
    <xf numFmtId="0" fontId="4" fillId="0" borderId="13" xfId="0" applyFont="1" applyFill="1" applyBorder="1" applyAlignment="1" applyProtection="1">
      <alignment horizont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5" xfId="52"/>
    <cellStyle name="Normal_Country_Code" xfId="53"/>
    <cellStyle name="Normal_Sheet2" xfId="54"/>
  </cellStyles>
  <tableStyles count="0" defaultTableStyle="TableStyleMedium9" defaultPivotStyle="PivotStyleLight16"/>
  <colors>
    <mruColors>
      <color rgb="00333333"/>
      <color rgb="0099CCFF"/>
      <color rgb="00FFFF00"/>
      <color rgb="00C0C0C0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Z108"/>
  <sheetViews>
    <sheetView showGridLines="0" tabSelected="1" zoomScale="90" zoomScaleNormal="90" zoomScaleSheetLayoutView="60" topLeftCell="A2" workbookViewId="0">
      <selection activeCell="F12" sqref="F12"/>
    </sheetView>
  </sheetViews>
  <sheetFormatPr defaultColWidth="0" defaultRowHeight="0" customHeight="1" zeroHeight="1"/>
  <cols>
    <col min="1" max="1" width="9.13636363636364" style="10" customWidth="1"/>
    <col min="2" max="2" width="16.8545454545455" style="10"/>
    <col min="3" max="3" width="43.5727272727273" style="10"/>
    <col min="4" max="11" width="14.7090909090909" style="10" customWidth="1"/>
    <col min="12" max="12" width="9.13636363636364" style="10" customWidth="1"/>
    <col min="13" max="26" width="10.7090909090909" style="10" customWidth="1"/>
    <col min="27" max="27" width="10.7090909090909" customWidth="1"/>
    <col min="28" max="30" width="10.7090909090909" hidden="1" customWidth="1"/>
    <col min="31" max="254" width="10.7090909090909" style="10" hidden="1" customWidth="1"/>
    <col min="255" max="16384" width="10.7090909090909" style="10" hidden="1"/>
  </cols>
  <sheetData>
    <row r="1" ht="15" hidden="1"/>
    <row r="2" ht="18" customHeight="1" spans="2:26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" customHeight="1" spans="2:26">
      <c r="B3" s="12" t="s">
        <v>1</v>
      </c>
      <c r="C3" s="13" t="s">
        <v>2</v>
      </c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51"/>
    </row>
    <row r="4" ht="18" customHeight="1" spans="2:26">
      <c r="B4" s="16" t="s">
        <v>3</v>
      </c>
      <c r="C4" s="13" t="s">
        <v>4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52"/>
    </row>
    <row r="5" ht="18" customHeight="1" spans="2:26">
      <c r="B5" s="19" t="s">
        <v>5</v>
      </c>
      <c r="C5" s="13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53"/>
    </row>
    <row r="6" ht="18" customHeight="1" spans="2:26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54"/>
    </row>
    <row r="7" ht="18" customHeight="1" spans="2:26">
      <c r="B7" s="24"/>
      <c r="C7" s="25"/>
      <c r="D7" s="26" t="s">
        <v>6</v>
      </c>
      <c r="E7" s="27" t="s">
        <v>7</v>
      </c>
      <c r="F7" s="28" t="s">
        <v>8</v>
      </c>
      <c r="G7" s="29"/>
      <c r="H7" s="29"/>
      <c r="I7" s="29"/>
      <c r="J7" s="29"/>
      <c r="K7" s="29"/>
      <c r="L7" s="28" t="s">
        <v>8</v>
      </c>
      <c r="M7" s="29"/>
      <c r="N7" s="29"/>
      <c r="O7" s="29"/>
      <c r="P7" s="29"/>
      <c r="Q7" s="29"/>
      <c r="R7" s="28" t="s">
        <v>8</v>
      </c>
      <c r="S7" s="29"/>
      <c r="T7" s="29"/>
      <c r="U7" s="29"/>
      <c r="V7" s="29"/>
      <c r="W7" s="29"/>
      <c r="X7" s="50" t="s">
        <v>8</v>
      </c>
      <c r="Y7" s="55"/>
      <c r="Z7" s="56"/>
    </row>
    <row r="8" ht="18" customHeight="1" spans="2:26">
      <c r="B8" s="30"/>
      <c r="C8" s="31"/>
      <c r="D8" s="32"/>
      <c r="E8" s="33"/>
      <c r="F8" s="34" t="s">
        <v>9</v>
      </c>
      <c r="G8" s="34" t="s">
        <v>9</v>
      </c>
      <c r="H8" s="34" t="s">
        <v>9</v>
      </c>
      <c r="I8" s="34" t="s">
        <v>9</v>
      </c>
      <c r="J8" s="34" t="s">
        <v>9</v>
      </c>
      <c r="K8" s="34" t="s">
        <v>9</v>
      </c>
      <c r="L8" s="34" t="s">
        <v>9</v>
      </c>
      <c r="M8" s="34" t="s">
        <v>9</v>
      </c>
      <c r="N8" s="34" t="s">
        <v>9</v>
      </c>
      <c r="O8" s="34" t="s">
        <v>9</v>
      </c>
      <c r="P8" s="34" t="s">
        <v>9</v>
      </c>
      <c r="Q8" s="34" t="s">
        <v>9</v>
      </c>
      <c r="R8" s="34" t="s">
        <v>9</v>
      </c>
      <c r="S8" s="34" t="s">
        <v>9</v>
      </c>
      <c r="T8" s="34" t="s">
        <v>9</v>
      </c>
      <c r="U8" s="34" t="s">
        <v>9</v>
      </c>
      <c r="V8" s="34" t="s">
        <v>9</v>
      </c>
      <c r="W8" s="34" t="s">
        <v>9</v>
      </c>
      <c r="X8" s="34" t="s">
        <v>9</v>
      </c>
      <c r="Y8" s="34" t="s">
        <v>9</v>
      </c>
      <c r="Z8" s="34" t="s">
        <v>9</v>
      </c>
    </row>
    <row r="9" ht="18" customHeight="1" spans="2:26">
      <c r="B9" s="35" t="s">
        <v>10</v>
      </c>
      <c r="C9" s="36" t="s">
        <v>11</v>
      </c>
      <c r="D9" s="32"/>
      <c r="E9" s="30" t="s">
        <v>12</v>
      </c>
      <c r="F9" s="30" t="s">
        <v>12</v>
      </c>
      <c r="G9" s="30" t="s">
        <v>12</v>
      </c>
      <c r="H9" s="30" t="s">
        <v>12</v>
      </c>
      <c r="I9" s="30" t="s">
        <v>12</v>
      </c>
      <c r="J9" s="30" t="s">
        <v>12</v>
      </c>
      <c r="K9" s="30" t="s">
        <v>12</v>
      </c>
      <c r="L9" s="30" t="s">
        <v>12</v>
      </c>
      <c r="M9" s="30" t="s">
        <v>12</v>
      </c>
      <c r="N9" s="30" t="s">
        <v>12</v>
      </c>
      <c r="O9" s="30" t="s">
        <v>12</v>
      </c>
      <c r="P9" s="30" t="s">
        <v>12</v>
      </c>
      <c r="Q9" s="30" t="s">
        <v>12</v>
      </c>
      <c r="R9" s="30" t="s">
        <v>12</v>
      </c>
      <c r="S9" s="30" t="s">
        <v>12</v>
      </c>
      <c r="T9" s="30" t="s">
        <v>12</v>
      </c>
      <c r="U9" s="30" t="s">
        <v>12</v>
      </c>
      <c r="V9" s="30" t="s">
        <v>12</v>
      </c>
      <c r="W9" s="30" t="s">
        <v>12</v>
      </c>
      <c r="X9" s="30" t="s">
        <v>12</v>
      </c>
      <c r="Y9" s="30" t="s">
        <v>12</v>
      </c>
      <c r="Z9" s="30" t="s">
        <v>12</v>
      </c>
    </row>
    <row r="10" ht="18" customHeight="1" spans="2:26">
      <c r="B10" s="35">
        <v>14</v>
      </c>
      <c r="C10" s="35" t="s">
        <v>13</v>
      </c>
      <c r="D10" s="37">
        <f>SUM(D11:D14)</f>
        <v>0</v>
      </c>
      <c r="E10" s="37">
        <f t="shared" ref="E10:K10" si="0">SUM(E11:E14)</f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ref="L10:Z10" si="1">SUM(L11:L14)</f>
        <v>0</v>
      </c>
      <c r="M10" s="37">
        <f t="shared" si="1"/>
        <v>0</v>
      </c>
      <c r="N10" s="37">
        <f t="shared" si="1"/>
        <v>0</v>
      </c>
      <c r="O10" s="37">
        <f t="shared" si="1"/>
        <v>0</v>
      </c>
      <c r="P10" s="37">
        <f t="shared" si="1"/>
        <v>0</v>
      </c>
      <c r="Q10" s="37">
        <f t="shared" si="1"/>
        <v>0</v>
      </c>
      <c r="R10" s="37">
        <f t="shared" si="1"/>
        <v>0</v>
      </c>
      <c r="S10" s="37">
        <f t="shared" si="1"/>
        <v>0</v>
      </c>
      <c r="T10" s="37">
        <f t="shared" si="1"/>
        <v>0</v>
      </c>
      <c r="U10" s="37">
        <f t="shared" si="1"/>
        <v>0</v>
      </c>
      <c r="V10" s="37">
        <f t="shared" si="1"/>
        <v>0</v>
      </c>
      <c r="W10" s="37">
        <f t="shared" si="1"/>
        <v>0</v>
      </c>
      <c r="X10" s="37">
        <f t="shared" si="1"/>
        <v>0</v>
      </c>
      <c r="Y10" s="37">
        <f t="shared" si="1"/>
        <v>0</v>
      </c>
      <c r="Z10" s="37">
        <f t="shared" si="1"/>
        <v>0</v>
      </c>
    </row>
    <row r="11" ht="18" customHeight="1" spans="2:26">
      <c r="B11" s="38">
        <v>14.1</v>
      </c>
      <c r="C11" s="38" t="s">
        <v>14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</row>
    <row r="12" ht="18" customHeight="1" spans="2:26">
      <c r="B12" s="38">
        <v>14.2</v>
      </c>
      <c r="C12" s="38" t="s">
        <v>15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</row>
    <row r="13" ht="18" customHeight="1" spans="2:26">
      <c r="B13" s="38">
        <v>14.3</v>
      </c>
      <c r="C13" s="38" t="s">
        <v>16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</row>
    <row r="14" ht="18" customHeight="1" spans="2:26">
      <c r="B14" s="38">
        <v>14.4</v>
      </c>
      <c r="C14" s="38" t="s">
        <v>17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</row>
    <row r="15" ht="18" customHeight="1" spans="2:26">
      <c r="B15" s="40">
        <v>15</v>
      </c>
      <c r="C15" s="35" t="s">
        <v>18</v>
      </c>
      <c r="D15" s="37">
        <f>SUM(D16:D19)</f>
        <v>0</v>
      </c>
      <c r="E15" s="37">
        <f t="shared" ref="E15:K15" si="2">SUM(E16:E19)</f>
        <v>0</v>
      </c>
      <c r="F15" s="37">
        <f t="shared" si="2"/>
        <v>0</v>
      </c>
      <c r="G15" s="37">
        <f t="shared" si="2"/>
        <v>0</v>
      </c>
      <c r="H15" s="37">
        <f t="shared" si="2"/>
        <v>0</v>
      </c>
      <c r="I15" s="37">
        <f t="shared" si="2"/>
        <v>0</v>
      </c>
      <c r="J15" s="37">
        <f t="shared" si="2"/>
        <v>0</v>
      </c>
      <c r="K15" s="37">
        <f t="shared" si="2"/>
        <v>0</v>
      </c>
      <c r="L15" s="37">
        <f t="shared" ref="L15:Z15" si="3">SUM(L16:L19)</f>
        <v>0</v>
      </c>
      <c r="M15" s="37">
        <f t="shared" si="3"/>
        <v>0</v>
      </c>
      <c r="N15" s="37">
        <f t="shared" si="3"/>
        <v>0</v>
      </c>
      <c r="O15" s="37">
        <f t="shared" si="3"/>
        <v>0</v>
      </c>
      <c r="P15" s="37">
        <f t="shared" si="3"/>
        <v>0</v>
      </c>
      <c r="Q15" s="37">
        <f t="shared" si="3"/>
        <v>0</v>
      </c>
      <c r="R15" s="37">
        <f t="shared" si="3"/>
        <v>0</v>
      </c>
      <c r="S15" s="37">
        <f t="shared" si="3"/>
        <v>0</v>
      </c>
      <c r="T15" s="37">
        <f t="shared" si="3"/>
        <v>0</v>
      </c>
      <c r="U15" s="37">
        <f t="shared" si="3"/>
        <v>0</v>
      </c>
      <c r="V15" s="37">
        <f t="shared" si="3"/>
        <v>0</v>
      </c>
      <c r="W15" s="37">
        <f t="shared" si="3"/>
        <v>0</v>
      </c>
      <c r="X15" s="37">
        <f t="shared" si="3"/>
        <v>0</v>
      </c>
      <c r="Y15" s="37">
        <f t="shared" si="3"/>
        <v>0</v>
      </c>
      <c r="Z15" s="37">
        <f t="shared" si="3"/>
        <v>0</v>
      </c>
    </row>
    <row r="16" ht="18" customHeight="1" spans="2:26">
      <c r="B16" s="38">
        <v>15.1</v>
      </c>
      <c r="C16" s="38" t="s">
        <v>14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</row>
    <row r="17" ht="18" customHeight="1" spans="2:26">
      <c r="B17" s="38">
        <v>15.2</v>
      </c>
      <c r="C17" s="38" t="s">
        <v>15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</row>
    <row r="18" ht="18" customHeight="1" spans="2:26">
      <c r="B18" s="38">
        <v>15.3</v>
      </c>
      <c r="C18" s="38" t="s">
        <v>16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</row>
    <row r="19" ht="18" customHeight="1" spans="2:26">
      <c r="B19" s="38">
        <v>15.4</v>
      </c>
      <c r="C19" s="38" t="s">
        <v>17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</row>
    <row r="20" ht="18" customHeight="1" spans="2:26">
      <c r="B20" s="40">
        <v>16</v>
      </c>
      <c r="C20" s="35" t="s">
        <v>19</v>
      </c>
      <c r="D20" s="37">
        <f>+D21+D26</f>
        <v>0</v>
      </c>
      <c r="E20" s="37">
        <f t="shared" ref="E20:K20" si="4">+E21+E26</f>
        <v>0</v>
      </c>
      <c r="F20" s="37">
        <f t="shared" si="4"/>
        <v>0</v>
      </c>
      <c r="G20" s="37">
        <f t="shared" si="4"/>
        <v>0</v>
      </c>
      <c r="H20" s="37">
        <f t="shared" si="4"/>
        <v>0</v>
      </c>
      <c r="I20" s="37">
        <f t="shared" si="4"/>
        <v>0</v>
      </c>
      <c r="J20" s="37">
        <f t="shared" si="4"/>
        <v>0</v>
      </c>
      <c r="K20" s="37">
        <f t="shared" si="4"/>
        <v>0</v>
      </c>
      <c r="L20" s="37">
        <f t="shared" ref="L20:Z20" si="5">+L21+L26</f>
        <v>0</v>
      </c>
      <c r="M20" s="37">
        <f t="shared" si="5"/>
        <v>0</v>
      </c>
      <c r="N20" s="37">
        <f t="shared" si="5"/>
        <v>0</v>
      </c>
      <c r="O20" s="37">
        <f t="shared" si="5"/>
        <v>0</v>
      </c>
      <c r="P20" s="37">
        <f t="shared" si="5"/>
        <v>0</v>
      </c>
      <c r="Q20" s="37">
        <f t="shared" si="5"/>
        <v>0</v>
      </c>
      <c r="R20" s="37">
        <f t="shared" si="5"/>
        <v>0</v>
      </c>
      <c r="S20" s="37">
        <f t="shared" si="5"/>
        <v>0</v>
      </c>
      <c r="T20" s="37">
        <f t="shared" si="5"/>
        <v>0</v>
      </c>
      <c r="U20" s="37">
        <f t="shared" si="5"/>
        <v>0</v>
      </c>
      <c r="V20" s="37">
        <f t="shared" si="5"/>
        <v>0</v>
      </c>
      <c r="W20" s="37">
        <f t="shared" si="5"/>
        <v>0</v>
      </c>
      <c r="X20" s="37">
        <f t="shared" si="5"/>
        <v>0</v>
      </c>
      <c r="Y20" s="37">
        <f t="shared" si="5"/>
        <v>0</v>
      </c>
      <c r="Z20" s="37">
        <f t="shared" si="5"/>
        <v>0</v>
      </c>
    </row>
    <row r="21" ht="18" customHeight="1" spans="2:26">
      <c r="B21" s="40">
        <v>16.1</v>
      </c>
      <c r="C21" s="35" t="s">
        <v>20</v>
      </c>
      <c r="D21" s="37">
        <f>SUM(D22:D25)</f>
        <v>0</v>
      </c>
      <c r="E21" s="37">
        <f t="shared" ref="E21:K21" si="6">SUM(E22:E25)</f>
        <v>0</v>
      </c>
      <c r="F21" s="37">
        <f t="shared" si="6"/>
        <v>0</v>
      </c>
      <c r="G21" s="37">
        <f t="shared" si="6"/>
        <v>0</v>
      </c>
      <c r="H21" s="37">
        <f t="shared" si="6"/>
        <v>0</v>
      </c>
      <c r="I21" s="37">
        <f t="shared" si="6"/>
        <v>0</v>
      </c>
      <c r="J21" s="37">
        <f t="shared" si="6"/>
        <v>0</v>
      </c>
      <c r="K21" s="37">
        <f t="shared" si="6"/>
        <v>0</v>
      </c>
      <c r="L21" s="37">
        <f t="shared" ref="L21:Z21" si="7">SUM(L22:L25)</f>
        <v>0</v>
      </c>
      <c r="M21" s="37">
        <f t="shared" si="7"/>
        <v>0</v>
      </c>
      <c r="N21" s="37">
        <f t="shared" si="7"/>
        <v>0</v>
      </c>
      <c r="O21" s="37">
        <f t="shared" si="7"/>
        <v>0</v>
      </c>
      <c r="P21" s="37">
        <f t="shared" si="7"/>
        <v>0</v>
      </c>
      <c r="Q21" s="37">
        <f t="shared" si="7"/>
        <v>0</v>
      </c>
      <c r="R21" s="37">
        <f t="shared" si="7"/>
        <v>0</v>
      </c>
      <c r="S21" s="37">
        <f t="shared" si="7"/>
        <v>0</v>
      </c>
      <c r="T21" s="37">
        <f t="shared" si="7"/>
        <v>0</v>
      </c>
      <c r="U21" s="37">
        <f t="shared" si="7"/>
        <v>0</v>
      </c>
      <c r="V21" s="37">
        <f t="shared" si="7"/>
        <v>0</v>
      </c>
      <c r="W21" s="37">
        <f t="shared" si="7"/>
        <v>0</v>
      </c>
      <c r="X21" s="37">
        <f t="shared" si="7"/>
        <v>0</v>
      </c>
      <c r="Y21" s="37">
        <f t="shared" si="7"/>
        <v>0</v>
      </c>
      <c r="Z21" s="37">
        <f t="shared" si="7"/>
        <v>0</v>
      </c>
    </row>
    <row r="22" ht="18" customHeight="1" spans="2:26">
      <c r="B22" s="41" t="s">
        <v>21</v>
      </c>
      <c r="C22" s="42" t="s">
        <v>14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</row>
    <row r="23" ht="18" customHeight="1" spans="2:26">
      <c r="B23" s="41" t="s">
        <v>22</v>
      </c>
      <c r="C23" s="38" t="s">
        <v>15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</row>
    <row r="24" ht="18" customHeight="1" spans="2:26">
      <c r="B24" s="41" t="s">
        <v>23</v>
      </c>
      <c r="C24" s="38" t="s">
        <v>16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</row>
    <row r="25" ht="18" customHeight="1" spans="2:26">
      <c r="B25" s="41" t="s">
        <v>24</v>
      </c>
      <c r="C25" s="38" t="s">
        <v>17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</row>
    <row r="26" ht="18" customHeight="1" spans="2:26">
      <c r="B26" s="40">
        <v>16.2</v>
      </c>
      <c r="C26" s="35" t="s">
        <v>25</v>
      </c>
      <c r="D26" s="37">
        <f>SUM(D27:D30)</f>
        <v>0</v>
      </c>
      <c r="E26" s="37">
        <f t="shared" ref="E26:K26" si="8">SUM(E27:E30)</f>
        <v>0</v>
      </c>
      <c r="F26" s="37">
        <f t="shared" si="8"/>
        <v>0</v>
      </c>
      <c r="G26" s="37">
        <f t="shared" si="8"/>
        <v>0</v>
      </c>
      <c r="H26" s="37">
        <f t="shared" si="8"/>
        <v>0</v>
      </c>
      <c r="I26" s="37">
        <f t="shared" si="8"/>
        <v>0</v>
      </c>
      <c r="J26" s="37">
        <f t="shared" si="8"/>
        <v>0</v>
      </c>
      <c r="K26" s="37">
        <f t="shared" si="8"/>
        <v>0</v>
      </c>
      <c r="L26" s="37">
        <f t="shared" ref="L26:Z26" si="9">SUM(L27:L30)</f>
        <v>0</v>
      </c>
      <c r="M26" s="37">
        <f t="shared" si="9"/>
        <v>0</v>
      </c>
      <c r="N26" s="37">
        <f t="shared" si="9"/>
        <v>0</v>
      </c>
      <c r="O26" s="37">
        <f t="shared" si="9"/>
        <v>0</v>
      </c>
      <c r="P26" s="37">
        <f t="shared" si="9"/>
        <v>0</v>
      </c>
      <c r="Q26" s="37">
        <f t="shared" si="9"/>
        <v>0</v>
      </c>
      <c r="R26" s="37">
        <f t="shared" si="9"/>
        <v>0</v>
      </c>
      <c r="S26" s="37">
        <f t="shared" si="9"/>
        <v>0</v>
      </c>
      <c r="T26" s="37">
        <f t="shared" si="9"/>
        <v>0</v>
      </c>
      <c r="U26" s="37">
        <f t="shared" si="9"/>
        <v>0</v>
      </c>
      <c r="V26" s="37">
        <f t="shared" si="9"/>
        <v>0</v>
      </c>
      <c r="W26" s="37">
        <f t="shared" si="9"/>
        <v>0</v>
      </c>
      <c r="X26" s="37">
        <f t="shared" si="9"/>
        <v>0</v>
      </c>
      <c r="Y26" s="37">
        <f t="shared" si="9"/>
        <v>0</v>
      </c>
      <c r="Z26" s="37">
        <f t="shared" si="9"/>
        <v>0</v>
      </c>
    </row>
    <row r="27" ht="18" customHeight="1" spans="2:26">
      <c r="B27" s="41" t="s">
        <v>26</v>
      </c>
      <c r="C27" s="42" t="s">
        <v>14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</row>
    <row r="28" ht="18" customHeight="1" spans="2:26">
      <c r="B28" s="41" t="s">
        <v>27</v>
      </c>
      <c r="C28" s="38" t="s">
        <v>15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</row>
    <row r="29" ht="18" customHeight="1" spans="2:26">
      <c r="B29" s="41" t="s">
        <v>28</v>
      </c>
      <c r="C29" s="38" t="s">
        <v>16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</row>
    <row r="30" ht="18" customHeight="1" spans="2:26">
      <c r="B30" s="41" t="s">
        <v>29</v>
      </c>
      <c r="C30" s="38" t="s">
        <v>17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</row>
    <row r="31" ht="18" customHeight="1" spans="2:26">
      <c r="B31" s="40">
        <v>17</v>
      </c>
      <c r="C31" s="35" t="s">
        <v>30</v>
      </c>
      <c r="D31" s="37">
        <f>SUM(D32:D35)</f>
        <v>0</v>
      </c>
      <c r="E31" s="37">
        <f t="shared" ref="E31:K31" si="10">SUM(E32:E35)</f>
        <v>0</v>
      </c>
      <c r="F31" s="37">
        <f t="shared" si="10"/>
        <v>0</v>
      </c>
      <c r="G31" s="37">
        <f t="shared" si="10"/>
        <v>0</v>
      </c>
      <c r="H31" s="37">
        <f t="shared" si="10"/>
        <v>0</v>
      </c>
      <c r="I31" s="37">
        <f t="shared" si="10"/>
        <v>0</v>
      </c>
      <c r="J31" s="37">
        <f t="shared" si="10"/>
        <v>0</v>
      </c>
      <c r="K31" s="37">
        <f t="shared" si="10"/>
        <v>0</v>
      </c>
      <c r="L31" s="37">
        <f t="shared" ref="L31:Z31" si="11">SUM(L32:L35)</f>
        <v>0</v>
      </c>
      <c r="M31" s="37">
        <f t="shared" si="11"/>
        <v>0</v>
      </c>
      <c r="N31" s="37">
        <f t="shared" si="11"/>
        <v>0</v>
      </c>
      <c r="O31" s="37">
        <f t="shared" si="11"/>
        <v>0</v>
      </c>
      <c r="P31" s="37">
        <f t="shared" si="11"/>
        <v>0</v>
      </c>
      <c r="Q31" s="37">
        <f t="shared" si="11"/>
        <v>0</v>
      </c>
      <c r="R31" s="37">
        <f t="shared" si="11"/>
        <v>0</v>
      </c>
      <c r="S31" s="37">
        <f t="shared" si="11"/>
        <v>0</v>
      </c>
      <c r="T31" s="37">
        <f t="shared" si="11"/>
        <v>0</v>
      </c>
      <c r="U31" s="37">
        <f t="shared" si="11"/>
        <v>0</v>
      </c>
      <c r="V31" s="37">
        <f t="shared" si="11"/>
        <v>0</v>
      </c>
      <c r="W31" s="37">
        <f t="shared" si="11"/>
        <v>0</v>
      </c>
      <c r="X31" s="37">
        <f t="shared" si="11"/>
        <v>0</v>
      </c>
      <c r="Y31" s="37">
        <f t="shared" si="11"/>
        <v>0</v>
      </c>
      <c r="Z31" s="37">
        <f t="shared" si="11"/>
        <v>0</v>
      </c>
    </row>
    <row r="32" ht="18" customHeight="1" spans="2:26">
      <c r="B32" s="38">
        <v>17.1</v>
      </c>
      <c r="C32" s="43" t="s">
        <v>31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</row>
    <row r="33" ht="18" customHeight="1" spans="2:26">
      <c r="B33" s="38">
        <v>17.2</v>
      </c>
      <c r="C33" s="38" t="s">
        <v>14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</row>
    <row r="34" ht="18" customHeight="1" spans="2:26">
      <c r="B34" s="38">
        <v>17.3</v>
      </c>
      <c r="C34" s="38" t="s">
        <v>32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</row>
    <row r="35" ht="18" customHeight="1" spans="2:26">
      <c r="B35" s="38">
        <v>17.4</v>
      </c>
      <c r="C35" s="38" t="s">
        <v>33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</row>
    <row r="36" ht="18" customHeight="1" spans="2:26">
      <c r="B36" s="40">
        <v>18</v>
      </c>
      <c r="C36" s="35" t="s">
        <v>34</v>
      </c>
      <c r="D36" s="37">
        <f>+D37</f>
        <v>0</v>
      </c>
      <c r="E36" s="37">
        <f t="shared" ref="E36:Z36" si="12">+E37</f>
        <v>0</v>
      </c>
      <c r="F36" s="37">
        <f t="shared" si="12"/>
        <v>0</v>
      </c>
      <c r="G36" s="37">
        <f t="shared" si="12"/>
        <v>0</v>
      </c>
      <c r="H36" s="37">
        <f t="shared" si="12"/>
        <v>0</v>
      </c>
      <c r="I36" s="37">
        <f t="shared" si="12"/>
        <v>0</v>
      </c>
      <c r="J36" s="37">
        <f t="shared" si="12"/>
        <v>0</v>
      </c>
      <c r="K36" s="37">
        <f t="shared" si="12"/>
        <v>0</v>
      </c>
      <c r="L36" s="37">
        <f t="shared" si="12"/>
        <v>0</v>
      </c>
      <c r="M36" s="37">
        <f t="shared" si="12"/>
        <v>0</v>
      </c>
      <c r="N36" s="37">
        <f t="shared" si="12"/>
        <v>0</v>
      </c>
      <c r="O36" s="37">
        <f t="shared" si="12"/>
        <v>0</v>
      </c>
      <c r="P36" s="37">
        <f t="shared" si="12"/>
        <v>0</v>
      </c>
      <c r="Q36" s="37">
        <f t="shared" si="12"/>
        <v>0</v>
      </c>
      <c r="R36" s="37">
        <f t="shared" si="12"/>
        <v>0</v>
      </c>
      <c r="S36" s="37">
        <f t="shared" si="12"/>
        <v>0</v>
      </c>
      <c r="T36" s="37">
        <f t="shared" si="12"/>
        <v>0</v>
      </c>
      <c r="U36" s="37">
        <f t="shared" si="12"/>
        <v>0</v>
      </c>
      <c r="V36" s="37">
        <f t="shared" si="12"/>
        <v>0</v>
      </c>
      <c r="W36" s="37">
        <f t="shared" si="12"/>
        <v>0</v>
      </c>
      <c r="X36" s="37">
        <f t="shared" si="12"/>
        <v>0</v>
      </c>
      <c r="Y36" s="37">
        <f t="shared" si="12"/>
        <v>0</v>
      </c>
      <c r="Z36" s="37">
        <f t="shared" si="12"/>
        <v>0</v>
      </c>
    </row>
    <row r="37" ht="31.5" customHeight="1" spans="2:26">
      <c r="B37" s="38">
        <v>18.1</v>
      </c>
      <c r="C37" s="38" t="s">
        <v>35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</row>
    <row r="38" ht="18" customHeight="1" spans="2:26">
      <c r="B38" s="44">
        <v>19</v>
      </c>
      <c r="C38" s="44" t="s">
        <v>36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</row>
    <row r="39" ht="18" customHeight="1" spans="2:26">
      <c r="B39" s="40">
        <v>20</v>
      </c>
      <c r="C39" s="35" t="s">
        <v>37</v>
      </c>
      <c r="D39" s="37">
        <f>SUM(D40:D42)</f>
        <v>0</v>
      </c>
      <c r="E39" s="37">
        <f t="shared" ref="E39:K39" si="13">SUM(E40:E42)</f>
        <v>0</v>
      </c>
      <c r="F39" s="37">
        <f t="shared" si="13"/>
        <v>0</v>
      </c>
      <c r="G39" s="37">
        <f t="shared" si="13"/>
        <v>0</v>
      </c>
      <c r="H39" s="37">
        <f t="shared" si="13"/>
        <v>0</v>
      </c>
      <c r="I39" s="37">
        <f t="shared" si="13"/>
        <v>0</v>
      </c>
      <c r="J39" s="37">
        <f t="shared" si="13"/>
        <v>0</v>
      </c>
      <c r="K39" s="37">
        <f t="shared" si="13"/>
        <v>0</v>
      </c>
      <c r="L39" s="37">
        <f t="shared" ref="L39:Z39" si="14">SUM(L40:L42)</f>
        <v>0</v>
      </c>
      <c r="M39" s="37">
        <f t="shared" si="14"/>
        <v>0</v>
      </c>
      <c r="N39" s="37">
        <f t="shared" si="14"/>
        <v>0</v>
      </c>
      <c r="O39" s="37">
        <f t="shared" si="14"/>
        <v>0</v>
      </c>
      <c r="P39" s="37">
        <f t="shared" si="14"/>
        <v>0</v>
      </c>
      <c r="Q39" s="37">
        <f t="shared" si="14"/>
        <v>0</v>
      </c>
      <c r="R39" s="37">
        <f t="shared" si="14"/>
        <v>0</v>
      </c>
      <c r="S39" s="37">
        <f t="shared" si="14"/>
        <v>0</v>
      </c>
      <c r="T39" s="37">
        <f t="shared" si="14"/>
        <v>0</v>
      </c>
      <c r="U39" s="37">
        <f t="shared" si="14"/>
        <v>0</v>
      </c>
      <c r="V39" s="37">
        <f t="shared" si="14"/>
        <v>0</v>
      </c>
      <c r="W39" s="37">
        <f t="shared" si="14"/>
        <v>0</v>
      </c>
      <c r="X39" s="37">
        <f t="shared" si="14"/>
        <v>0</v>
      </c>
      <c r="Y39" s="37">
        <f t="shared" si="14"/>
        <v>0</v>
      </c>
      <c r="Z39" s="37">
        <f t="shared" si="14"/>
        <v>0</v>
      </c>
    </row>
    <row r="40" ht="18" customHeight="1" spans="2:26">
      <c r="B40" s="38">
        <v>20.1</v>
      </c>
      <c r="C40" s="38" t="s">
        <v>38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</row>
    <row r="41" ht="18" customHeight="1" spans="2:26">
      <c r="B41" s="38">
        <v>20.2</v>
      </c>
      <c r="C41" s="38" t="s">
        <v>39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</row>
    <row r="42" ht="18" customHeight="1" spans="2:26">
      <c r="B42" s="38">
        <v>20.3</v>
      </c>
      <c r="C42" s="38" t="s">
        <v>40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</row>
    <row r="43" ht="32.25" customHeight="1" spans="2:26">
      <c r="B43" s="40">
        <v>21</v>
      </c>
      <c r="C43" s="35" t="s">
        <v>41</v>
      </c>
      <c r="D43" s="37">
        <f>SUM(D44:D45)</f>
        <v>0</v>
      </c>
      <c r="E43" s="37">
        <f t="shared" ref="E43:K43" si="15">SUM(E44:E45)</f>
        <v>0</v>
      </c>
      <c r="F43" s="37">
        <f t="shared" si="15"/>
        <v>0</v>
      </c>
      <c r="G43" s="37">
        <f t="shared" si="15"/>
        <v>0</v>
      </c>
      <c r="H43" s="37">
        <f t="shared" si="15"/>
        <v>0</v>
      </c>
      <c r="I43" s="37">
        <f t="shared" si="15"/>
        <v>0</v>
      </c>
      <c r="J43" s="37">
        <f t="shared" si="15"/>
        <v>0</v>
      </c>
      <c r="K43" s="37">
        <f t="shared" si="15"/>
        <v>0</v>
      </c>
      <c r="L43" s="37">
        <f t="shared" ref="L43:Z43" si="16">SUM(L44:L45)</f>
        <v>0</v>
      </c>
      <c r="M43" s="37">
        <f t="shared" si="16"/>
        <v>0</v>
      </c>
      <c r="N43" s="37">
        <f t="shared" si="16"/>
        <v>0</v>
      </c>
      <c r="O43" s="37">
        <f t="shared" si="16"/>
        <v>0</v>
      </c>
      <c r="P43" s="37">
        <f t="shared" si="16"/>
        <v>0</v>
      </c>
      <c r="Q43" s="37">
        <f t="shared" si="16"/>
        <v>0</v>
      </c>
      <c r="R43" s="37">
        <f t="shared" si="16"/>
        <v>0</v>
      </c>
      <c r="S43" s="37">
        <f t="shared" si="16"/>
        <v>0</v>
      </c>
      <c r="T43" s="37">
        <f t="shared" si="16"/>
        <v>0</v>
      </c>
      <c r="U43" s="37">
        <f t="shared" si="16"/>
        <v>0</v>
      </c>
      <c r="V43" s="37">
        <f t="shared" si="16"/>
        <v>0</v>
      </c>
      <c r="W43" s="37">
        <f t="shared" si="16"/>
        <v>0</v>
      </c>
      <c r="X43" s="37">
        <f t="shared" si="16"/>
        <v>0</v>
      </c>
      <c r="Y43" s="37">
        <f t="shared" si="16"/>
        <v>0</v>
      </c>
      <c r="Z43" s="37">
        <f t="shared" si="16"/>
        <v>0</v>
      </c>
    </row>
    <row r="44" ht="18" customHeight="1" spans="2:26">
      <c r="B44" s="45">
        <v>21.1</v>
      </c>
      <c r="C44" s="45" t="s">
        <v>42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</row>
    <row r="45" ht="18" customHeight="1" spans="2:26">
      <c r="B45" s="45">
        <v>21.2</v>
      </c>
      <c r="C45" s="45" t="s">
        <v>43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</row>
    <row r="46" ht="18" customHeight="1" spans="2:26">
      <c r="B46" s="40">
        <v>22</v>
      </c>
      <c r="C46" s="35" t="s">
        <v>44</v>
      </c>
      <c r="D46" s="37">
        <f>SUM(D47:D50)</f>
        <v>0</v>
      </c>
      <c r="E46" s="37">
        <f t="shared" ref="E46:K46" si="17">SUM(E47:E50)</f>
        <v>0</v>
      </c>
      <c r="F46" s="37">
        <f t="shared" si="17"/>
        <v>0</v>
      </c>
      <c r="G46" s="37">
        <f t="shared" si="17"/>
        <v>0</v>
      </c>
      <c r="H46" s="37">
        <f t="shared" si="17"/>
        <v>0</v>
      </c>
      <c r="I46" s="37">
        <f t="shared" si="17"/>
        <v>0</v>
      </c>
      <c r="J46" s="37">
        <f t="shared" si="17"/>
        <v>0</v>
      </c>
      <c r="K46" s="37">
        <f t="shared" si="17"/>
        <v>0</v>
      </c>
      <c r="L46" s="37">
        <f t="shared" ref="L46:Z46" si="18">SUM(L47:L50)</f>
        <v>0</v>
      </c>
      <c r="M46" s="37">
        <f t="shared" si="18"/>
        <v>0</v>
      </c>
      <c r="N46" s="37">
        <f t="shared" si="18"/>
        <v>0</v>
      </c>
      <c r="O46" s="37">
        <f t="shared" si="18"/>
        <v>0</v>
      </c>
      <c r="P46" s="37">
        <f t="shared" si="18"/>
        <v>0</v>
      </c>
      <c r="Q46" s="37">
        <f t="shared" si="18"/>
        <v>0</v>
      </c>
      <c r="R46" s="37">
        <f t="shared" si="18"/>
        <v>0</v>
      </c>
      <c r="S46" s="37">
        <f t="shared" si="18"/>
        <v>0</v>
      </c>
      <c r="T46" s="37">
        <f t="shared" si="18"/>
        <v>0</v>
      </c>
      <c r="U46" s="37">
        <f t="shared" si="18"/>
        <v>0</v>
      </c>
      <c r="V46" s="37">
        <f t="shared" si="18"/>
        <v>0</v>
      </c>
      <c r="W46" s="37">
        <f t="shared" si="18"/>
        <v>0</v>
      </c>
      <c r="X46" s="37">
        <f t="shared" si="18"/>
        <v>0</v>
      </c>
      <c r="Y46" s="37">
        <f t="shared" si="18"/>
        <v>0</v>
      </c>
      <c r="Z46" s="37">
        <f t="shared" si="18"/>
        <v>0</v>
      </c>
    </row>
    <row r="47" ht="31.5" customHeight="1" spans="2:26">
      <c r="B47" s="38">
        <v>22.1</v>
      </c>
      <c r="C47" s="46" t="s">
        <v>45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</row>
    <row r="48" ht="18" customHeight="1" spans="2:26">
      <c r="B48" s="38">
        <v>22.2</v>
      </c>
      <c r="C48" s="46" t="s">
        <v>46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</row>
    <row r="49" ht="18" customHeight="1" spans="2:26">
      <c r="B49" s="38">
        <v>22.3</v>
      </c>
      <c r="C49" s="46" t="s">
        <v>47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</row>
    <row r="50" ht="18" customHeight="1" spans="2:26">
      <c r="B50" s="38">
        <v>22.4</v>
      </c>
      <c r="C50" s="47" t="s">
        <v>33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</row>
    <row r="51" ht="18" customHeight="1" spans="2:26">
      <c r="B51" s="40">
        <v>23</v>
      </c>
      <c r="C51" s="35" t="s">
        <v>48</v>
      </c>
      <c r="D51" s="37">
        <f>SUM(D52:D53)</f>
        <v>0</v>
      </c>
      <c r="E51" s="37">
        <f t="shared" ref="E51:J51" si="19">SUM(E52:E53)</f>
        <v>0</v>
      </c>
      <c r="F51" s="37">
        <f t="shared" si="19"/>
        <v>0</v>
      </c>
      <c r="G51" s="37">
        <f t="shared" si="19"/>
        <v>0</v>
      </c>
      <c r="H51" s="37">
        <f t="shared" si="19"/>
        <v>0</v>
      </c>
      <c r="I51" s="37">
        <f t="shared" si="19"/>
        <v>0</v>
      </c>
      <c r="J51" s="37">
        <f t="shared" si="19"/>
        <v>0</v>
      </c>
      <c r="K51" s="37">
        <f t="shared" ref="K51:Z51" si="20">SUM(K52:K53)</f>
        <v>0</v>
      </c>
      <c r="L51" s="37">
        <f t="shared" si="20"/>
        <v>0</v>
      </c>
      <c r="M51" s="37">
        <f t="shared" si="20"/>
        <v>0</v>
      </c>
      <c r="N51" s="37">
        <f t="shared" si="20"/>
        <v>0</v>
      </c>
      <c r="O51" s="37">
        <f t="shared" si="20"/>
        <v>0</v>
      </c>
      <c r="P51" s="37">
        <f t="shared" si="20"/>
        <v>0</v>
      </c>
      <c r="Q51" s="37">
        <f t="shared" si="20"/>
        <v>0</v>
      </c>
      <c r="R51" s="37">
        <f t="shared" si="20"/>
        <v>0</v>
      </c>
      <c r="S51" s="37">
        <f t="shared" si="20"/>
        <v>0</v>
      </c>
      <c r="T51" s="37">
        <f t="shared" si="20"/>
        <v>0</v>
      </c>
      <c r="U51" s="37">
        <f t="shared" si="20"/>
        <v>0</v>
      </c>
      <c r="V51" s="37">
        <f t="shared" si="20"/>
        <v>0</v>
      </c>
      <c r="W51" s="37">
        <f t="shared" si="20"/>
        <v>0</v>
      </c>
      <c r="X51" s="37">
        <f t="shared" si="20"/>
        <v>0</v>
      </c>
      <c r="Y51" s="37">
        <f t="shared" si="20"/>
        <v>0</v>
      </c>
      <c r="Z51" s="37">
        <f t="shared" si="20"/>
        <v>0</v>
      </c>
    </row>
    <row r="52" ht="18" customHeight="1" spans="2:26">
      <c r="B52" s="38">
        <v>23.1</v>
      </c>
      <c r="C52" s="38" t="s">
        <v>49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</row>
    <row r="53" ht="18" customHeight="1" spans="2:26">
      <c r="B53" s="38">
        <v>23.2</v>
      </c>
      <c r="C53" s="38" t="s">
        <v>47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</row>
    <row r="54" ht="34.5" customHeight="1" spans="2:26">
      <c r="B54" s="44">
        <v>24</v>
      </c>
      <c r="C54" s="44" t="s">
        <v>50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</row>
    <row r="55" ht="18" customHeight="1" spans="2:26">
      <c r="B55" s="40">
        <v>25</v>
      </c>
      <c r="C55" s="35" t="s">
        <v>51</v>
      </c>
      <c r="D55" s="37">
        <f>+D56+D57+D61+D62+D63+D64</f>
        <v>0</v>
      </c>
      <c r="E55" s="37">
        <f t="shared" ref="E55:K55" si="21">+E56+E57+E61+E62+E63+E64</f>
        <v>0</v>
      </c>
      <c r="F55" s="37">
        <f t="shared" si="21"/>
        <v>0</v>
      </c>
      <c r="G55" s="37">
        <f t="shared" si="21"/>
        <v>0</v>
      </c>
      <c r="H55" s="37">
        <f t="shared" si="21"/>
        <v>0</v>
      </c>
      <c r="I55" s="37">
        <f t="shared" si="21"/>
        <v>0</v>
      </c>
      <c r="J55" s="37">
        <f t="shared" si="21"/>
        <v>0</v>
      </c>
      <c r="K55" s="37">
        <f t="shared" si="21"/>
        <v>0</v>
      </c>
      <c r="L55" s="37">
        <f t="shared" ref="L55:Z55" si="22">+L56+L57+L61+L62+L63+L64</f>
        <v>0</v>
      </c>
      <c r="M55" s="37">
        <f t="shared" si="22"/>
        <v>0</v>
      </c>
      <c r="N55" s="37">
        <f t="shared" si="22"/>
        <v>0</v>
      </c>
      <c r="O55" s="37">
        <f t="shared" si="22"/>
        <v>0</v>
      </c>
      <c r="P55" s="37">
        <f t="shared" si="22"/>
        <v>0</v>
      </c>
      <c r="Q55" s="37">
        <f t="shared" si="22"/>
        <v>0</v>
      </c>
      <c r="R55" s="37">
        <f t="shared" si="22"/>
        <v>0</v>
      </c>
      <c r="S55" s="37">
        <f t="shared" si="22"/>
        <v>0</v>
      </c>
      <c r="T55" s="37">
        <f t="shared" si="22"/>
        <v>0</v>
      </c>
      <c r="U55" s="37">
        <f t="shared" si="22"/>
        <v>0</v>
      </c>
      <c r="V55" s="37">
        <f t="shared" si="22"/>
        <v>0</v>
      </c>
      <c r="W55" s="37">
        <f t="shared" si="22"/>
        <v>0</v>
      </c>
      <c r="X55" s="37">
        <f t="shared" si="22"/>
        <v>0</v>
      </c>
      <c r="Y55" s="37">
        <f t="shared" si="22"/>
        <v>0</v>
      </c>
      <c r="Z55" s="37">
        <f t="shared" si="22"/>
        <v>0</v>
      </c>
    </row>
    <row r="56" ht="18" customHeight="1" spans="2:26">
      <c r="B56" s="38">
        <v>25.1</v>
      </c>
      <c r="C56" s="38" t="s">
        <v>52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</row>
    <row r="57" ht="18" customHeight="1" spans="2:26">
      <c r="B57" s="40">
        <v>25.2</v>
      </c>
      <c r="C57" s="35" t="s">
        <v>53</v>
      </c>
      <c r="D57" s="37">
        <f>SUM(D58:D60)</f>
        <v>0</v>
      </c>
      <c r="E57" s="37">
        <f t="shared" ref="E57:K57" si="23">SUM(E58:E60)</f>
        <v>0</v>
      </c>
      <c r="F57" s="37">
        <f t="shared" si="23"/>
        <v>0</v>
      </c>
      <c r="G57" s="37">
        <f t="shared" si="23"/>
        <v>0</v>
      </c>
      <c r="H57" s="37">
        <f t="shared" si="23"/>
        <v>0</v>
      </c>
      <c r="I57" s="37">
        <f t="shared" si="23"/>
        <v>0</v>
      </c>
      <c r="J57" s="37">
        <f t="shared" si="23"/>
        <v>0</v>
      </c>
      <c r="K57" s="37">
        <f t="shared" si="23"/>
        <v>0</v>
      </c>
      <c r="L57" s="37">
        <f t="shared" ref="L57:Z57" si="24">SUM(L58:L60)</f>
        <v>0</v>
      </c>
      <c r="M57" s="37">
        <f t="shared" si="24"/>
        <v>0</v>
      </c>
      <c r="N57" s="37">
        <f t="shared" si="24"/>
        <v>0</v>
      </c>
      <c r="O57" s="37">
        <f t="shared" si="24"/>
        <v>0</v>
      </c>
      <c r="P57" s="37">
        <f t="shared" si="24"/>
        <v>0</v>
      </c>
      <c r="Q57" s="37">
        <f t="shared" si="24"/>
        <v>0</v>
      </c>
      <c r="R57" s="37">
        <f t="shared" si="24"/>
        <v>0</v>
      </c>
      <c r="S57" s="37">
        <f t="shared" si="24"/>
        <v>0</v>
      </c>
      <c r="T57" s="37">
        <f t="shared" si="24"/>
        <v>0</v>
      </c>
      <c r="U57" s="37">
        <f t="shared" si="24"/>
        <v>0</v>
      </c>
      <c r="V57" s="37">
        <f t="shared" si="24"/>
        <v>0</v>
      </c>
      <c r="W57" s="37">
        <f t="shared" si="24"/>
        <v>0</v>
      </c>
      <c r="X57" s="37">
        <f t="shared" si="24"/>
        <v>0</v>
      </c>
      <c r="Y57" s="37">
        <f t="shared" si="24"/>
        <v>0</v>
      </c>
      <c r="Z57" s="37">
        <f t="shared" si="24"/>
        <v>0</v>
      </c>
    </row>
    <row r="58" ht="18" customHeight="1" spans="2:26">
      <c r="B58" s="48" t="s">
        <v>54</v>
      </c>
      <c r="C58" s="38" t="s">
        <v>55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</row>
    <row r="59" ht="18" customHeight="1" spans="2:26">
      <c r="B59" s="49" t="s">
        <v>56</v>
      </c>
      <c r="C59" s="38" t="s">
        <v>57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</row>
    <row r="60" ht="18" customHeight="1" spans="2:26">
      <c r="B60" s="49" t="s">
        <v>58</v>
      </c>
      <c r="C60" s="42" t="s">
        <v>59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</row>
    <row r="61" ht="18" customHeight="1" spans="2:26">
      <c r="B61" s="38">
        <v>25.3</v>
      </c>
      <c r="C61" s="38" t="s">
        <v>60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</row>
    <row r="62" ht="18" customHeight="1" spans="2:26">
      <c r="B62" s="38">
        <v>25.4</v>
      </c>
      <c r="C62" s="38" t="s">
        <v>61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</row>
    <row r="63" ht="18" customHeight="1" spans="2:26">
      <c r="B63" s="38">
        <v>25.5</v>
      </c>
      <c r="C63" s="42" t="s">
        <v>62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</row>
    <row r="64" ht="18" customHeight="1" spans="2:26">
      <c r="B64" s="38">
        <v>25.6</v>
      </c>
      <c r="C64" s="38" t="s">
        <v>63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</row>
    <row r="65" ht="18" customHeight="1" spans="2:26">
      <c r="B65" s="40">
        <v>26</v>
      </c>
      <c r="C65" s="35" t="s">
        <v>64</v>
      </c>
      <c r="D65" s="37">
        <f>SUM(D66:D74)</f>
        <v>0</v>
      </c>
      <c r="E65" s="37">
        <f t="shared" ref="E65:K65" si="25">SUM(E66:E74)</f>
        <v>0</v>
      </c>
      <c r="F65" s="37">
        <f t="shared" si="25"/>
        <v>0</v>
      </c>
      <c r="G65" s="37">
        <f t="shared" si="25"/>
        <v>0</v>
      </c>
      <c r="H65" s="37">
        <f t="shared" si="25"/>
        <v>0</v>
      </c>
      <c r="I65" s="37">
        <f t="shared" si="25"/>
        <v>0</v>
      </c>
      <c r="J65" s="37">
        <f t="shared" si="25"/>
        <v>0</v>
      </c>
      <c r="K65" s="37">
        <f t="shared" si="25"/>
        <v>0</v>
      </c>
      <c r="L65" s="37">
        <f t="shared" ref="L65:Z65" si="26">SUM(L66:L74)</f>
        <v>0</v>
      </c>
      <c r="M65" s="37">
        <f t="shared" si="26"/>
        <v>0</v>
      </c>
      <c r="N65" s="37">
        <f t="shared" si="26"/>
        <v>0</v>
      </c>
      <c r="O65" s="37">
        <f t="shared" si="26"/>
        <v>0</v>
      </c>
      <c r="P65" s="37">
        <f t="shared" si="26"/>
        <v>0</v>
      </c>
      <c r="Q65" s="37">
        <f t="shared" si="26"/>
        <v>0</v>
      </c>
      <c r="R65" s="37">
        <f t="shared" si="26"/>
        <v>0</v>
      </c>
      <c r="S65" s="37">
        <f t="shared" si="26"/>
        <v>0</v>
      </c>
      <c r="T65" s="37">
        <f t="shared" si="26"/>
        <v>0</v>
      </c>
      <c r="U65" s="37">
        <f t="shared" si="26"/>
        <v>0</v>
      </c>
      <c r="V65" s="37">
        <f t="shared" si="26"/>
        <v>0</v>
      </c>
      <c r="W65" s="37">
        <f t="shared" si="26"/>
        <v>0</v>
      </c>
      <c r="X65" s="37">
        <f t="shared" si="26"/>
        <v>0</v>
      </c>
      <c r="Y65" s="37">
        <f t="shared" si="26"/>
        <v>0</v>
      </c>
      <c r="Z65" s="37">
        <f t="shared" si="26"/>
        <v>0</v>
      </c>
    </row>
    <row r="66" ht="18" customHeight="1" spans="2:26">
      <c r="B66" s="41">
        <v>26.1</v>
      </c>
      <c r="C66" s="38" t="s">
        <v>65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</row>
    <row r="67" ht="18" customHeight="1" spans="2:26">
      <c r="B67" s="41">
        <v>26.2</v>
      </c>
      <c r="C67" s="38" t="s">
        <v>66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</row>
    <row r="68" ht="18" customHeight="1" spans="2:26">
      <c r="B68" s="57">
        <v>26.3</v>
      </c>
      <c r="C68" s="58" t="s">
        <v>67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</row>
    <row r="69" ht="18" customHeight="1" spans="2:26">
      <c r="B69" s="57">
        <v>26.4</v>
      </c>
      <c r="C69" s="45" t="s">
        <v>68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</row>
    <row r="70" ht="18" customHeight="1" spans="2:26">
      <c r="B70" s="57">
        <v>26.5</v>
      </c>
      <c r="C70" s="59" t="s">
        <v>69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</row>
    <row r="71" ht="18" customHeight="1" spans="2:26">
      <c r="B71" s="57">
        <v>26.6</v>
      </c>
      <c r="C71" s="59" t="s">
        <v>70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</row>
    <row r="72" ht="18" customHeight="1" spans="2:26">
      <c r="B72" s="57">
        <v>26.7</v>
      </c>
      <c r="C72" s="59" t="s">
        <v>71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</row>
    <row r="73" ht="18" customHeight="1" spans="2:26">
      <c r="B73" s="57">
        <v>26.8</v>
      </c>
      <c r="C73" s="45" t="s">
        <v>72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</row>
    <row r="74" ht="18" customHeight="1" spans="2:26">
      <c r="B74" s="57">
        <v>26.9</v>
      </c>
      <c r="C74" s="58" t="s">
        <v>73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</row>
    <row r="75" ht="18" customHeight="1" spans="2:26">
      <c r="B75" s="40">
        <v>27</v>
      </c>
      <c r="C75" s="35" t="s">
        <v>74</v>
      </c>
      <c r="D75" s="37">
        <f>SUM(D76:D82)</f>
        <v>0</v>
      </c>
      <c r="E75" s="37">
        <f t="shared" ref="E75:K75" si="27">SUM(E76:E82)</f>
        <v>0</v>
      </c>
      <c r="F75" s="37">
        <f t="shared" si="27"/>
        <v>0</v>
      </c>
      <c r="G75" s="37">
        <f t="shared" si="27"/>
        <v>0</v>
      </c>
      <c r="H75" s="37">
        <f t="shared" si="27"/>
        <v>0</v>
      </c>
      <c r="I75" s="37">
        <f t="shared" si="27"/>
        <v>0</v>
      </c>
      <c r="J75" s="37">
        <f t="shared" si="27"/>
        <v>0</v>
      </c>
      <c r="K75" s="37">
        <f t="shared" si="27"/>
        <v>0</v>
      </c>
      <c r="L75" s="37">
        <f t="shared" ref="L75:Z75" si="28">SUM(L76:L82)</f>
        <v>0</v>
      </c>
      <c r="M75" s="37">
        <f t="shared" si="28"/>
        <v>0</v>
      </c>
      <c r="N75" s="37">
        <f t="shared" si="28"/>
        <v>0</v>
      </c>
      <c r="O75" s="37">
        <f t="shared" si="28"/>
        <v>0</v>
      </c>
      <c r="P75" s="37">
        <f t="shared" si="28"/>
        <v>0</v>
      </c>
      <c r="Q75" s="37">
        <f t="shared" si="28"/>
        <v>0</v>
      </c>
      <c r="R75" s="37">
        <f t="shared" si="28"/>
        <v>0</v>
      </c>
      <c r="S75" s="37">
        <f t="shared" si="28"/>
        <v>0</v>
      </c>
      <c r="T75" s="37">
        <f t="shared" si="28"/>
        <v>0</v>
      </c>
      <c r="U75" s="37">
        <f t="shared" si="28"/>
        <v>0</v>
      </c>
      <c r="V75" s="37">
        <f t="shared" si="28"/>
        <v>0</v>
      </c>
      <c r="W75" s="37">
        <f t="shared" si="28"/>
        <v>0</v>
      </c>
      <c r="X75" s="37">
        <f t="shared" si="28"/>
        <v>0</v>
      </c>
      <c r="Y75" s="37">
        <f t="shared" si="28"/>
        <v>0</v>
      </c>
      <c r="Z75" s="37">
        <f t="shared" si="28"/>
        <v>0</v>
      </c>
    </row>
    <row r="76" ht="18" customHeight="1" spans="2:26">
      <c r="B76" s="60">
        <v>27.1</v>
      </c>
      <c r="C76" s="58" t="s">
        <v>75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</row>
    <row r="77" ht="18" customHeight="1" spans="2:26">
      <c r="B77" s="60">
        <v>27.2</v>
      </c>
      <c r="C77" s="58" t="s">
        <v>76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</row>
    <row r="78" ht="36" customHeight="1" spans="2:26">
      <c r="B78" s="60">
        <v>27.3</v>
      </c>
      <c r="C78" s="58" t="s">
        <v>77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</row>
    <row r="79" ht="18" customHeight="1" spans="2:26">
      <c r="B79" s="60">
        <v>27.4</v>
      </c>
      <c r="C79" s="58" t="s">
        <v>78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</row>
    <row r="80" ht="18" customHeight="1" spans="2:26">
      <c r="B80" s="60">
        <v>27.5</v>
      </c>
      <c r="C80" s="58" t="s">
        <v>79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</row>
    <row r="81" ht="18" customHeight="1" spans="2:26">
      <c r="B81" s="60">
        <v>27.6</v>
      </c>
      <c r="C81" s="58" t="s">
        <v>80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</row>
    <row r="82" ht="18" customHeight="1" spans="2:26">
      <c r="B82" s="60">
        <v>27.7</v>
      </c>
      <c r="C82" s="58" t="s">
        <v>81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</row>
    <row r="83" ht="18" customHeight="1" spans="2:26">
      <c r="B83" s="40">
        <v>28</v>
      </c>
      <c r="C83" s="35" t="s">
        <v>82</v>
      </c>
      <c r="D83" s="37">
        <f>+D84+D87+D94</f>
        <v>0</v>
      </c>
      <c r="E83" s="37">
        <f t="shared" ref="E83:K83" si="29">+E84+E87+E94</f>
        <v>0</v>
      </c>
      <c r="F83" s="37">
        <f t="shared" si="29"/>
        <v>0</v>
      </c>
      <c r="G83" s="37">
        <f t="shared" si="29"/>
        <v>0</v>
      </c>
      <c r="H83" s="37">
        <f t="shared" si="29"/>
        <v>0</v>
      </c>
      <c r="I83" s="37">
        <f t="shared" si="29"/>
        <v>0</v>
      </c>
      <c r="J83" s="37">
        <f t="shared" si="29"/>
        <v>0</v>
      </c>
      <c r="K83" s="37">
        <f t="shared" si="29"/>
        <v>0</v>
      </c>
      <c r="L83" s="37">
        <f t="shared" ref="L83:Z83" si="30">+L84+L87+L94</f>
        <v>0</v>
      </c>
      <c r="M83" s="37">
        <f t="shared" si="30"/>
        <v>0</v>
      </c>
      <c r="N83" s="37">
        <f t="shared" si="30"/>
        <v>0</v>
      </c>
      <c r="O83" s="37">
        <f t="shared" si="30"/>
        <v>0</v>
      </c>
      <c r="P83" s="37">
        <f t="shared" si="30"/>
        <v>0</v>
      </c>
      <c r="Q83" s="37">
        <f t="shared" si="30"/>
        <v>0</v>
      </c>
      <c r="R83" s="37">
        <f t="shared" si="30"/>
        <v>0</v>
      </c>
      <c r="S83" s="37">
        <f t="shared" si="30"/>
        <v>0</v>
      </c>
      <c r="T83" s="37">
        <f t="shared" si="30"/>
        <v>0</v>
      </c>
      <c r="U83" s="37">
        <f t="shared" si="30"/>
        <v>0</v>
      </c>
      <c r="V83" s="37">
        <f t="shared" si="30"/>
        <v>0</v>
      </c>
      <c r="W83" s="37">
        <f t="shared" si="30"/>
        <v>0</v>
      </c>
      <c r="X83" s="37">
        <f t="shared" si="30"/>
        <v>0</v>
      </c>
      <c r="Y83" s="37">
        <f t="shared" si="30"/>
        <v>0</v>
      </c>
      <c r="Z83" s="37">
        <f t="shared" si="30"/>
        <v>0</v>
      </c>
    </row>
    <row r="84" ht="18" customHeight="1" spans="2:26">
      <c r="B84" s="40">
        <v>28.1</v>
      </c>
      <c r="C84" s="35" t="s">
        <v>83</v>
      </c>
      <c r="D84" s="37">
        <f>SUM(D85:D86)</f>
        <v>0</v>
      </c>
      <c r="E84" s="37">
        <f t="shared" ref="E84:K84" si="31">SUM(E85:E86)</f>
        <v>0</v>
      </c>
      <c r="F84" s="37">
        <f t="shared" si="31"/>
        <v>0</v>
      </c>
      <c r="G84" s="37">
        <f t="shared" si="31"/>
        <v>0</v>
      </c>
      <c r="H84" s="37">
        <f t="shared" si="31"/>
        <v>0</v>
      </c>
      <c r="I84" s="37">
        <f t="shared" si="31"/>
        <v>0</v>
      </c>
      <c r="J84" s="37">
        <f t="shared" si="31"/>
        <v>0</v>
      </c>
      <c r="K84" s="37">
        <f t="shared" si="31"/>
        <v>0</v>
      </c>
      <c r="L84" s="37">
        <f t="shared" ref="L84:Z84" si="32">SUM(L85:L86)</f>
        <v>0</v>
      </c>
      <c r="M84" s="37">
        <f t="shared" si="32"/>
        <v>0</v>
      </c>
      <c r="N84" s="37">
        <f t="shared" si="32"/>
        <v>0</v>
      </c>
      <c r="O84" s="37">
        <f t="shared" si="32"/>
        <v>0</v>
      </c>
      <c r="P84" s="37">
        <f t="shared" si="32"/>
        <v>0</v>
      </c>
      <c r="Q84" s="37">
        <f t="shared" si="32"/>
        <v>0</v>
      </c>
      <c r="R84" s="37">
        <f t="shared" si="32"/>
        <v>0</v>
      </c>
      <c r="S84" s="37">
        <f t="shared" si="32"/>
        <v>0</v>
      </c>
      <c r="T84" s="37">
        <f t="shared" si="32"/>
        <v>0</v>
      </c>
      <c r="U84" s="37">
        <f t="shared" si="32"/>
        <v>0</v>
      </c>
      <c r="V84" s="37">
        <f t="shared" si="32"/>
        <v>0</v>
      </c>
      <c r="W84" s="37">
        <f t="shared" si="32"/>
        <v>0</v>
      </c>
      <c r="X84" s="37">
        <f t="shared" si="32"/>
        <v>0</v>
      </c>
      <c r="Y84" s="37">
        <f t="shared" si="32"/>
        <v>0</v>
      </c>
      <c r="Z84" s="37">
        <f t="shared" si="32"/>
        <v>0</v>
      </c>
    </row>
    <row r="85" ht="18" customHeight="1" spans="2:26">
      <c r="B85" s="41" t="s">
        <v>84</v>
      </c>
      <c r="C85" s="38" t="s">
        <v>85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</row>
    <row r="86" ht="18" customHeight="1" spans="2:26">
      <c r="B86" s="61" t="s">
        <v>86</v>
      </c>
      <c r="C86" s="62" t="s">
        <v>87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</row>
    <row r="87" ht="18" customHeight="1" spans="2:26">
      <c r="B87" s="40">
        <v>28.2</v>
      </c>
      <c r="C87" s="35" t="s">
        <v>88</v>
      </c>
      <c r="D87" s="37">
        <f>SUM(D88:D93)</f>
        <v>0</v>
      </c>
      <c r="E87" s="37">
        <f t="shared" ref="E87:K87" si="33">SUM(E88:E93)</f>
        <v>0</v>
      </c>
      <c r="F87" s="37">
        <f t="shared" si="33"/>
        <v>0</v>
      </c>
      <c r="G87" s="37">
        <f t="shared" si="33"/>
        <v>0</v>
      </c>
      <c r="H87" s="37">
        <f t="shared" si="33"/>
        <v>0</v>
      </c>
      <c r="I87" s="37">
        <f t="shared" si="33"/>
        <v>0</v>
      </c>
      <c r="J87" s="37">
        <f t="shared" si="33"/>
        <v>0</v>
      </c>
      <c r="K87" s="37">
        <f t="shared" si="33"/>
        <v>0</v>
      </c>
      <c r="L87" s="37">
        <f t="shared" ref="L87:Z87" si="34">SUM(L88:L93)</f>
        <v>0</v>
      </c>
      <c r="M87" s="37">
        <f t="shared" si="34"/>
        <v>0</v>
      </c>
      <c r="N87" s="37">
        <f t="shared" si="34"/>
        <v>0</v>
      </c>
      <c r="O87" s="37">
        <f t="shared" si="34"/>
        <v>0</v>
      </c>
      <c r="P87" s="37">
        <f t="shared" si="34"/>
        <v>0</v>
      </c>
      <c r="Q87" s="37">
        <f t="shared" si="34"/>
        <v>0</v>
      </c>
      <c r="R87" s="37">
        <f t="shared" si="34"/>
        <v>0</v>
      </c>
      <c r="S87" s="37">
        <f t="shared" si="34"/>
        <v>0</v>
      </c>
      <c r="T87" s="37">
        <f t="shared" si="34"/>
        <v>0</v>
      </c>
      <c r="U87" s="37">
        <f t="shared" si="34"/>
        <v>0</v>
      </c>
      <c r="V87" s="37">
        <f t="shared" si="34"/>
        <v>0</v>
      </c>
      <c r="W87" s="37">
        <f t="shared" si="34"/>
        <v>0</v>
      </c>
      <c r="X87" s="37">
        <f t="shared" si="34"/>
        <v>0</v>
      </c>
      <c r="Y87" s="37">
        <f t="shared" si="34"/>
        <v>0</v>
      </c>
      <c r="Z87" s="37">
        <f t="shared" si="34"/>
        <v>0</v>
      </c>
    </row>
    <row r="88" ht="18" customHeight="1" spans="2:26">
      <c r="B88" s="41" t="s">
        <v>89</v>
      </c>
      <c r="C88" s="38" t="s">
        <v>90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</row>
    <row r="89" ht="18" customHeight="1" spans="2:26">
      <c r="B89" s="41" t="s">
        <v>91</v>
      </c>
      <c r="C89" s="63" t="s">
        <v>92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</row>
    <row r="90" ht="18" customHeight="1" spans="2:26">
      <c r="B90" s="41" t="s">
        <v>93</v>
      </c>
      <c r="C90" s="42" t="s">
        <v>94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</row>
    <row r="91" ht="18" customHeight="1" spans="2:26">
      <c r="B91" s="41" t="s">
        <v>95</v>
      </c>
      <c r="C91" s="38" t="s">
        <v>96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</row>
    <row r="92" ht="18" customHeight="1" spans="2:26">
      <c r="B92" s="41" t="s">
        <v>97</v>
      </c>
      <c r="C92" s="38" t="s">
        <v>98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</row>
    <row r="93" ht="18" customHeight="1" spans="2:26">
      <c r="B93" s="41" t="s">
        <v>99</v>
      </c>
      <c r="C93" s="38" t="s">
        <v>100</v>
      </c>
      <c r="D93" s="39">
        <v>0</v>
      </c>
      <c r="E93" s="39">
        <v>0</v>
      </c>
      <c r="F93" s="39">
        <v>0</v>
      </c>
      <c r="G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</row>
    <row r="94" ht="18" customHeight="1" spans="2:26">
      <c r="B94" s="44">
        <v>28.3</v>
      </c>
      <c r="C94" s="44" t="s">
        <v>101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</row>
    <row r="95" ht="18" customHeight="1" spans="2:26">
      <c r="B95" s="40">
        <v>29</v>
      </c>
      <c r="C95" s="35" t="s">
        <v>102</v>
      </c>
      <c r="D95" s="37">
        <f>+D83+D75+D65+D55+D54+D51+D46+D43+D39+D38+D36+D31+D20+D15+D10</f>
        <v>0</v>
      </c>
      <c r="E95" s="37">
        <f t="shared" ref="E95:J95" si="35">+E83+E75+E65+E55+E54+E51+E46+E43+E39+E38+E36+E31+E20+E15+E10</f>
        <v>0</v>
      </c>
      <c r="F95" s="37">
        <f t="shared" si="35"/>
        <v>0</v>
      </c>
      <c r="G95" s="37">
        <f t="shared" si="35"/>
        <v>0</v>
      </c>
      <c r="H95" s="37">
        <f t="shared" si="35"/>
        <v>0</v>
      </c>
      <c r="I95" s="37">
        <f t="shared" si="35"/>
        <v>0</v>
      </c>
      <c r="J95" s="37">
        <f t="shared" si="35"/>
        <v>0</v>
      </c>
      <c r="K95" s="37">
        <f t="shared" ref="K95:Z95" si="36">+K83+K75+K65+K55+K54+K51+K46+K43+K39+K38+K36+K31+K20+K15+K10</f>
        <v>0</v>
      </c>
      <c r="L95" s="37">
        <f t="shared" si="36"/>
        <v>0</v>
      </c>
      <c r="M95" s="37">
        <f t="shared" si="36"/>
        <v>0</v>
      </c>
      <c r="N95" s="37">
        <f t="shared" si="36"/>
        <v>0</v>
      </c>
      <c r="O95" s="37">
        <f t="shared" si="36"/>
        <v>0</v>
      </c>
      <c r="P95" s="37">
        <f t="shared" si="36"/>
        <v>0</v>
      </c>
      <c r="Q95" s="37">
        <f t="shared" si="36"/>
        <v>0</v>
      </c>
      <c r="R95" s="37">
        <f t="shared" si="36"/>
        <v>0</v>
      </c>
      <c r="S95" s="37">
        <f t="shared" si="36"/>
        <v>0</v>
      </c>
      <c r="T95" s="37">
        <f t="shared" si="36"/>
        <v>0</v>
      </c>
      <c r="U95" s="37">
        <f t="shared" si="36"/>
        <v>0</v>
      </c>
      <c r="V95" s="37">
        <f t="shared" si="36"/>
        <v>0</v>
      </c>
      <c r="W95" s="37">
        <f t="shared" si="36"/>
        <v>0</v>
      </c>
      <c r="X95" s="37">
        <f t="shared" si="36"/>
        <v>0</v>
      </c>
      <c r="Y95" s="37">
        <f t="shared" si="36"/>
        <v>0</v>
      </c>
      <c r="Z95" s="37">
        <f t="shared" si="36"/>
        <v>0</v>
      </c>
    </row>
    <row r="96" ht="18" customHeight="1" spans="2:26">
      <c r="B96" s="64"/>
      <c r="C96" s="65" t="s">
        <v>103</v>
      </c>
      <c r="D96" s="66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8"/>
    </row>
    <row r="97" ht="15" hidden="1"/>
    <row r="98" ht="409.5" hidden="1" customHeight="1"/>
    <row r="99" ht="409.5" hidden="1" customHeight="1"/>
    <row r="100" ht="409.5" hidden="1" customHeight="1"/>
    <row r="101" ht="409.5" hidden="1" customHeight="1"/>
    <row r="102" ht="409.5" hidden="1" customHeight="1"/>
    <row r="103" ht="409.5" hidden="1" customHeight="1"/>
    <row r="104" ht="409.5" hidden="1" customHeight="1"/>
    <row r="105" ht="409.5" hidden="1" customHeight="1"/>
    <row r="106" ht="409.5" hidden="1" customHeight="1"/>
    <row r="107" ht="409.5" hidden="1" customHeight="1"/>
    <row r="108" ht="409.5" hidden="1" customHeight="1"/>
  </sheetData>
  <sheetProtection password="DE1B" sheet="1"/>
  <mergeCells count="9">
    <mergeCell ref="B2:Z2"/>
    <mergeCell ref="F7:K7"/>
    <mergeCell ref="L7:Q7"/>
    <mergeCell ref="R7:W7"/>
    <mergeCell ref="X7:Z7"/>
    <mergeCell ref="D96:Z96"/>
    <mergeCell ref="D7:D9"/>
    <mergeCell ref="E7:E8"/>
    <mergeCell ref="D3:Z5"/>
  </mergeCells>
  <dataValidations count="2">
    <dataValidation type="whole" operator="between" allowBlank="1" showInputMessage="1" showErrorMessage="1" sqref="D56:Z56 D37:Z38 D85:Z86 D11:Z14 D27:Z30 D47:Z50 D16:Z19 D32:Z35 D22:Z25 D40:Z42 D52:Z54 D44:Z45 D66:Z74 D58:Z64 D76:Z82 D88:Z94">
      <formula1>-1000000000000</formula1>
      <formula2>1000000000000</formula2>
    </dataValidation>
    <dataValidation type="whole" operator="greaterThanOrEqual" allowBlank="1" showInputMessage="1" showErrorMessage="1" error="Please insert a valid data!" sqref="D65:Z65">
      <formula1>0</formula1>
    </dataValidation>
  </dataValidations>
  <pageMargins left="0.7" right="0.7" top="0.75" bottom="0.75" header="0.3" footer="0.3"/>
  <pageSetup paperSize="9" scale="38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60"/>
  <sheetViews>
    <sheetView zoomScaleSheetLayoutView="60" topLeftCell="A244" workbookViewId="0">
      <selection activeCell="K256" sqref="K256"/>
    </sheetView>
  </sheetViews>
  <sheetFormatPr defaultColWidth="25.7090909090909" defaultRowHeight="14.5" outlineLevelCol="1"/>
  <cols>
    <col min="1" max="1" width="25.7090909090909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104</v>
      </c>
      <c r="B1" s="3" t="s">
        <v>105</v>
      </c>
    </row>
    <row r="2" spans="1:2">
      <c r="A2" s="4" t="s">
        <v>106</v>
      </c>
      <c r="B2" s="5" t="s">
        <v>107</v>
      </c>
    </row>
    <row r="3" spans="1:2">
      <c r="A3" s="4" t="s">
        <v>108</v>
      </c>
      <c r="B3" s="5" t="s">
        <v>109</v>
      </c>
    </row>
    <row r="4" spans="1:2">
      <c r="A4" s="4" t="s">
        <v>110</v>
      </c>
      <c r="B4" s="5" t="s">
        <v>111</v>
      </c>
    </row>
    <row r="5" spans="1:2">
      <c r="A5" s="4" t="s">
        <v>112</v>
      </c>
      <c r="B5" s="5" t="s">
        <v>113</v>
      </c>
    </row>
    <row r="6" spans="1:2">
      <c r="A6" s="4" t="s">
        <v>114</v>
      </c>
      <c r="B6" s="5" t="s">
        <v>115</v>
      </c>
    </row>
    <row r="7" spans="1:2">
      <c r="A7" s="4" t="s">
        <v>116</v>
      </c>
      <c r="B7" s="5" t="s">
        <v>117</v>
      </c>
    </row>
    <row r="8" spans="1:2">
      <c r="A8" s="4" t="s">
        <v>118</v>
      </c>
      <c r="B8" s="5" t="s">
        <v>119</v>
      </c>
    </row>
    <row r="9" spans="1:2">
      <c r="A9" s="4" t="s">
        <v>120</v>
      </c>
      <c r="B9" s="5" t="s">
        <v>121</v>
      </c>
    </row>
    <row r="10" spans="1:2">
      <c r="A10" s="4" t="s">
        <v>122</v>
      </c>
      <c r="B10" s="5" t="s">
        <v>123</v>
      </c>
    </row>
    <row r="11" spans="1:2">
      <c r="A11" s="4" t="s">
        <v>124</v>
      </c>
      <c r="B11" s="5" t="s">
        <v>125</v>
      </c>
    </row>
    <row r="12" spans="1:2">
      <c r="A12" s="4" t="s">
        <v>126</v>
      </c>
      <c r="B12" s="5" t="s">
        <v>127</v>
      </c>
    </row>
    <row r="13" spans="1:2">
      <c r="A13" s="4" t="s">
        <v>128</v>
      </c>
      <c r="B13" s="5" t="s">
        <v>129</v>
      </c>
    </row>
    <row r="14" spans="1:2">
      <c r="A14" s="4" t="s">
        <v>130</v>
      </c>
      <c r="B14" s="5" t="s">
        <v>131</v>
      </c>
    </row>
    <row r="15" spans="1:2">
      <c r="A15" s="4" t="s">
        <v>132</v>
      </c>
      <c r="B15" s="5" t="s">
        <v>133</v>
      </c>
    </row>
    <row r="16" spans="1:2">
      <c r="A16" s="4" t="s">
        <v>134</v>
      </c>
      <c r="B16" s="5" t="s">
        <v>135</v>
      </c>
    </row>
    <row r="17" spans="1:2">
      <c r="A17" s="4" t="s">
        <v>136</v>
      </c>
      <c r="B17" s="5" t="s">
        <v>137</v>
      </c>
    </row>
    <row r="18" spans="1:2">
      <c r="A18" s="4" t="s">
        <v>138</v>
      </c>
      <c r="B18" s="5" t="s">
        <v>139</v>
      </c>
    </row>
    <row r="19" spans="1:2">
      <c r="A19" s="4" t="s">
        <v>140</v>
      </c>
      <c r="B19" s="5" t="s">
        <v>141</v>
      </c>
    </row>
    <row r="20" spans="1:2">
      <c r="A20" s="4" t="s">
        <v>142</v>
      </c>
      <c r="B20" s="5" t="s">
        <v>143</v>
      </c>
    </row>
    <row r="21" spans="1:2">
      <c r="A21" s="4" t="s">
        <v>144</v>
      </c>
      <c r="B21" s="5" t="s">
        <v>145</v>
      </c>
    </row>
    <row r="22" spans="1:2">
      <c r="A22" s="4" t="s">
        <v>146</v>
      </c>
      <c r="B22" s="5" t="s">
        <v>147</v>
      </c>
    </row>
    <row r="23" spans="1:2">
      <c r="A23" s="4" t="s">
        <v>148</v>
      </c>
      <c r="B23" s="5" t="s">
        <v>149</v>
      </c>
    </row>
    <row r="24" spans="1:2">
      <c r="A24" s="4" t="s">
        <v>150</v>
      </c>
      <c r="B24" s="5" t="s">
        <v>151</v>
      </c>
    </row>
    <row r="25" spans="1:2">
      <c r="A25" s="4" t="s">
        <v>152</v>
      </c>
      <c r="B25" s="5" t="s">
        <v>153</v>
      </c>
    </row>
    <row r="26" spans="1:2">
      <c r="A26" s="4" t="s">
        <v>154</v>
      </c>
      <c r="B26" s="5" t="s">
        <v>155</v>
      </c>
    </row>
    <row r="27" spans="1:2">
      <c r="A27" s="4" t="s">
        <v>156</v>
      </c>
      <c r="B27" s="5" t="s">
        <v>157</v>
      </c>
    </row>
    <row r="28" spans="1:2">
      <c r="A28" s="4" t="s">
        <v>158</v>
      </c>
      <c r="B28" s="5" t="s">
        <v>159</v>
      </c>
    </row>
    <row r="29" spans="1:2">
      <c r="A29" s="4" t="s">
        <v>160</v>
      </c>
      <c r="B29" s="5" t="s">
        <v>161</v>
      </c>
    </row>
    <row r="30" spans="1:2">
      <c r="A30" s="4" t="s">
        <v>162</v>
      </c>
      <c r="B30" s="5" t="s">
        <v>163</v>
      </c>
    </row>
    <row r="31" spans="1:2">
      <c r="A31" s="4" t="s">
        <v>164</v>
      </c>
      <c r="B31" s="5" t="s">
        <v>165</v>
      </c>
    </row>
    <row r="32" spans="1:2">
      <c r="A32" s="4" t="s">
        <v>166</v>
      </c>
      <c r="B32" s="5" t="s">
        <v>167</v>
      </c>
    </row>
    <row r="33" spans="1:2">
      <c r="A33" s="4" t="s">
        <v>168</v>
      </c>
      <c r="B33" s="5" t="s">
        <v>169</v>
      </c>
    </row>
    <row r="34" spans="1:2">
      <c r="A34" s="4" t="s">
        <v>170</v>
      </c>
      <c r="B34" s="5" t="s">
        <v>171</v>
      </c>
    </row>
    <row r="35" spans="1:2">
      <c r="A35" s="4" t="s">
        <v>172</v>
      </c>
      <c r="B35" s="5" t="s">
        <v>173</v>
      </c>
    </row>
    <row r="36" spans="1:2">
      <c r="A36" s="4" t="s">
        <v>174</v>
      </c>
      <c r="B36" s="5" t="s">
        <v>175</v>
      </c>
    </row>
    <row r="37" spans="1:2">
      <c r="A37" s="4" t="s">
        <v>176</v>
      </c>
      <c r="B37" s="5" t="s">
        <v>177</v>
      </c>
    </row>
    <row r="38" spans="1:2">
      <c r="A38" s="4" t="s">
        <v>178</v>
      </c>
      <c r="B38" s="5" t="s">
        <v>179</v>
      </c>
    </row>
    <row r="39" spans="1:2">
      <c r="A39" s="4" t="s">
        <v>180</v>
      </c>
      <c r="B39" s="5" t="s">
        <v>181</v>
      </c>
    </row>
    <row r="40" spans="1:2">
      <c r="A40" s="4" t="s">
        <v>182</v>
      </c>
      <c r="B40" s="5" t="s">
        <v>183</v>
      </c>
    </row>
    <row r="41" spans="1:2">
      <c r="A41" s="4" t="s">
        <v>184</v>
      </c>
      <c r="B41" s="5" t="s">
        <v>185</v>
      </c>
    </row>
    <row r="42" spans="1:2">
      <c r="A42" s="4" t="s">
        <v>186</v>
      </c>
      <c r="B42" s="5" t="s">
        <v>187</v>
      </c>
    </row>
    <row r="43" spans="1:2">
      <c r="A43" s="4" t="s">
        <v>188</v>
      </c>
      <c r="B43" s="5" t="s">
        <v>189</v>
      </c>
    </row>
    <row r="44" spans="1:2">
      <c r="A44" s="4" t="s">
        <v>190</v>
      </c>
      <c r="B44" s="5" t="s">
        <v>191</v>
      </c>
    </row>
    <row r="45" spans="1:2">
      <c r="A45" s="4" t="s">
        <v>192</v>
      </c>
      <c r="B45" s="5" t="s">
        <v>193</v>
      </c>
    </row>
    <row r="46" spans="1:2">
      <c r="A46" s="4" t="s">
        <v>194</v>
      </c>
      <c r="B46" s="5" t="s">
        <v>195</v>
      </c>
    </row>
    <row r="47" spans="1:2">
      <c r="A47" s="4" t="s">
        <v>196</v>
      </c>
      <c r="B47" s="5" t="s">
        <v>197</v>
      </c>
    </row>
    <row r="48" spans="1:2">
      <c r="A48" s="4" t="s">
        <v>198</v>
      </c>
      <c r="B48" s="5" t="s">
        <v>199</v>
      </c>
    </row>
    <row r="49" spans="1:2">
      <c r="A49" s="4" t="s">
        <v>200</v>
      </c>
      <c r="B49" s="5" t="s">
        <v>201</v>
      </c>
    </row>
    <row r="50" spans="1:2">
      <c r="A50" s="4" t="s">
        <v>202</v>
      </c>
      <c r="B50" s="5" t="s">
        <v>203</v>
      </c>
    </row>
    <row r="51" spans="1:2">
      <c r="A51" s="4" t="s">
        <v>204</v>
      </c>
      <c r="B51" s="5" t="s">
        <v>205</v>
      </c>
    </row>
    <row r="52" spans="1:2">
      <c r="A52" s="4" t="s">
        <v>206</v>
      </c>
      <c r="B52" s="5" t="s">
        <v>207</v>
      </c>
    </row>
    <row r="53" spans="1:2">
      <c r="A53" s="4" t="s">
        <v>208</v>
      </c>
      <c r="B53" s="5" t="s">
        <v>209</v>
      </c>
    </row>
    <row r="54" spans="1:2">
      <c r="A54" s="4" t="s">
        <v>210</v>
      </c>
      <c r="B54" s="5" t="s">
        <v>211</v>
      </c>
    </row>
    <row r="55" spans="1:2">
      <c r="A55" s="4" t="s">
        <v>212</v>
      </c>
      <c r="B55" s="5" t="s">
        <v>213</v>
      </c>
    </row>
    <row r="56" spans="1:2">
      <c r="A56" s="4" t="s">
        <v>214</v>
      </c>
      <c r="B56" s="5" t="s">
        <v>215</v>
      </c>
    </row>
    <row r="57" spans="1:2">
      <c r="A57" s="4" t="s">
        <v>216</v>
      </c>
      <c r="B57" s="5" t="s">
        <v>217</v>
      </c>
    </row>
    <row r="58" spans="1:2">
      <c r="A58" s="4" t="s">
        <v>218</v>
      </c>
      <c r="B58" s="5" t="s">
        <v>219</v>
      </c>
    </row>
    <row r="59" spans="1:2">
      <c r="A59" s="4" t="s">
        <v>220</v>
      </c>
      <c r="B59" s="5" t="s">
        <v>221</v>
      </c>
    </row>
    <row r="60" spans="1:2">
      <c r="A60" s="4" t="s">
        <v>222</v>
      </c>
      <c r="B60" s="5" t="s">
        <v>223</v>
      </c>
    </row>
    <row r="61" spans="1:2">
      <c r="A61" s="4" t="s">
        <v>224</v>
      </c>
      <c r="B61" s="5" t="s">
        <v>225</v>
      </c>
    </row>
    <row r="62" spans="1:2">
      <c r="A62" s="4" t="s">
        <v>226</v>
      </c>
      <c r="B62" s="5" t="s">
        <v>227</v>
      </c>
    </row>
    <row r="63" spans="1:2">
      <c r="A63" s="4" t="s">
        <v>228</v>
      </c>
      <c r="B63" s="5" t="s">
        <v>229</v>
      </c>
    </row>
    <row r="64" spans="1:2">
      <c r="A64" s="4" t="s">
        <v>230</v>
      </c>
      <c r="B64" s="5" t="s">
        <v>231</v>
      </c>
    </row>
    <row r="65" spans="1:2">
      <c r="A65" s="4" t="s">
        <v>232</v>
      </c>
      <c r="B65" s="5" t="s">
        <v>233</v>
      </c>
    </row>
    <row r="66" spans="1:2">
      <c r="A66" s="4" t="s">
        <v>234</v>
      </c>
      <c r="B66" s="5" t="s">
        <v>235</v>
      </c>
    </row>
    <row r="67" spans="1:2">
      <c r="A67" s="4" t="s">
        <v>236</v>
      </c>
      <c r="B67" s="5" t="s">
        <v>237</v>
      </c>
    </row>
    <row r="68" spans="1:2">
      <c r="A68" s="4" t="s">
        <v>238</v>
      </c>
      <c r="B68" s="5" t="s">
        <v>239</v>
      </c>
    </row>
    <row r="69" spans="1:2">
      <c r="A69" s="4" t="s">
        <v>240</v>
      </c>
      <c r="B69" s="5" t="s">
        <v>241</v>
      </c>
    </row>
    <row r="70" spans="1:2">
      <c r="A70" s="4" t="s">
        <v>242</v>
      </c>
      <c r="B70" s="5" t="s">
        <v>243</v>
      </c>
    </row>
    <row r="71" spans="1:2">
      <c r="A71" s="4" t="s">
        <v>244</v>
      </c>
      <c r="B71" s="5" t="s">
        <v>245</v>
      </c>
    </row>
    <row r="72" spans="1:2">
      <c r="A72" s="4" t="s">
        <v>246</v>
      </c>
      <c r="B72" s="5" t="s">
        <v>247</v>
      </c>
    </row>
    <row r="73" spans="1:2">
      <c r="A73" s="4" t="s">
        <v>248</v>
      </c>
      <c r="B73" s="5" t="s">
        <v>249</v>
      </c>
    </row>
    <row r="74" spans="1:2">
      <c r="A74" s="4" t="s">
        <v>250</v>
      </c>
      <c r="B74" s="5" t="s">
        <v>251</v>
      </c>
    </row>
    <row r="75" spans="1:2">
      <c r="A75" s="4" t="s">
        <v>252</v>
      </c>
      <c r="B75" s="5" t="s">
        <v>253</v>
      </c>
    </row>
    <row r="76" spans="1:2">
      <c r="A76" s="4" t="s">
        <v>254</v>
      </c>
      <c r="B76" s="5" t="s">
        <v>255</v>
      </c>
    </row>
    <row r="77" spans="1:2">
      <c r="A77" s="4" t="s">
        <v>256</v>
      </c>
      <c r="B77" s="5" t="s">
        <v>257</v>
      </c>
    </row>
    <row r="78" spans="1:2">
      <c r="A78" s="4" t="s">
        <v>258</v>
      </c>
      <c r="B78" s="5" t="s">
        <v>259</v>
      </c>
    </row>
    <row r="79" spans="1:2">
      <c r="A79" s="4" t="s">
        <v>260</v>
      </c>
      <c r="B79" s="5" t="s">
        <v>261</v>
      </c>
    </row>
    <row r="80" spans="1:2">
      <c r="A80" s="4" t="s">
        <v>262</v>
      </c>
      <c r="B80" s="5" t="s">
        <v>263</v>
      </c>
    </row>
    <row r="81" spans="1:2">
      <c r="A81" s="4" t="s">
        <v>264</v>
      </c>
      <c r="B81" s="5" t="s">
        <v>265</v>
      </c>
    </row>
    <row r="82" spans="1:2">
      <c r="A82" s="4" t="s">
        <v>266</v>
      </c>
      <c r="B82" s="5" t="s">
        <v>267</v>
      </c>
    </row>
    <row r="83" spans="1:2">
      <c r="A83" s="4" t="s">
        <v>268</v>
      </c>
      <c r="B83" s="5" t="s">
        <v>269</v>
      </c>
    </row>
    <row r="84" spans="1:2">
      <c r="A84" s="4" t="s">
        <v>270</v>
      </c>
      <c r="B84" s="5" t="s">
        <v>271</v>
      </c>
    </row>
    <row r="85" spans="1:2">
      <c r="A85" s="4" t="s">
        <v>272</v>
      </c>
      <c r="B85" s="5" t="s">
        <v>273</v>
      </c>
    </row>
    <row r="86" spans="1:2">
      <c r="A86" s="4" t="s">
        <v>274</v>
      </c>
      <c r="B86" s="5" t="s">
        <v>275</v>
      </c>
    </row>
    <row r="87" spans="1:2">
      <c r="A87" s="4" t="s">
        <v>276</v>
      </c>
      <c r="B87" s="5" t="s">
        <v>277</v>
      </c>
    </row>
    <row r="88" spans="1:2">
      <c r="A88" s="4" t="s">
        <v>278</v>
      </c>
      <c r="B88" s="5" t="s">
        <v>279</v>
      </c>
    </row>
    <row r="89" spans="1:2">
      <c r="A89" s="4" t="s">
        <v>280</v>
      </c>
      <c r="B89" s="5" t="s">
        <v>281</v>
      </c>
    </row>
    <row r="90" spans="1:2">
      <c r="A90" s="4" t="s">
        <v>282</v>
      </c>
      <c r="B90" s="5" t="s">
        <v>283</v>
      </c>
    </row>
    <row r="91" spans="1:2">
      <c r="A91" s="4" t="s">
        <v>284</v>
      </c>
      <c r="B91" s="5" t="s">
        <v>285</v>
      </c>
    </row>
    <row r="92" spans="1:2">
      <c r="A92" s="4" t="s">
        <v>286</v>
      </c>
      <c r="B92" s="5" t="s">
        <v>287</v>
      </c>
    </row>
    <row r="93" spans="1:2">
      <c r="A93" s="4" t="s">
        <v>288</v>
      </c>
      <c r="B93" s="5" t="s">
        <v>289</v>
      </c>
    </row>
    <row r="94" spans="1:2">
      <c r="A94" s="4" t="s">
        <v>290</v>
      </c>
      <c r="B94" s="5" t="s">
        <v>291</v>
      </c>
    </row>
    <row r="95" spans="1:2">
      <c r="A95" s="4" t="s">
        <v>292</v>
      </c>
      <c r="B95" s="5" t="s">
        <v>293</v>
      </c>
    </row>
    <row r="96" spans="1:2">
      <c r="A96" s="4" t="s">
        <v>294</v>
      </c>
      <c r="B96" s="5" t="s">
        <v>295</v>
      </c>
    </row>
    <row r="97" spans="1:2">
      <c r="A97" s="4" t="s">
        <v>296</v>
      </c>
      <c r="B97" s="5" t="s">
        <v>297</v>
      </c>
    </row>
    <row r="98" spans="1:2">
      <c r="A98" s="4" t="s">
        <v>298</v>
      </c>
      <c r="B98" s="5" t="s">
        <v>299</v>
      </c>
    </row>
    <row r="99" spans="1:2">
      <c r="A99" s="4" t="s">
        <v>300</v>
      </c>
      <c r="B99" s="5" t="s">
        <v>301</v>
      </c>
    </row>
    <row r="100" spans="1:2">
      <c r="A100" s="4" t="s">
        <v>302</v>
      </c>
      <c r="B100" s="5" t="s">
        <v>303</v>
      </c>
    </row>
    <row r="101" spans="1:2">
      <c r="A101" s="4" t="s">
        <v>304</v>
      </c>
      <c r="B101" s="5" t="s">
        <v>305</v>
      </c>
    </row>
    <row r="102" spans="1:2">
      <c r="A102" s="4" t="s">
        <v>306</v>
      </c>
      <c r="B102" s="5" t="s">
        <v>307</v>
      </c>
    </row>
    <row r="103" spans="1:2">
      <c r="A103" s="4" t="s">
        <v>308</v>
      </c>
      <c r="B103" s="5" t="s">
        <v>309</v>
      </c>
    </row>
    <row r="104" spans="1:2">
      <c r="A104" s="4" t="s">
        <v>310</v>
      </c>
      <c r="B104" s="5" t="s">
        <v>311</v>
      </c>
    </row>
    <row r="105" spans="1:2">
      <c r="A105" s="4" t="s">
        <v>312</v>
      </c>
      <c r="B105" s="5" t="s">
        <v>313</v>
      </c>
    </row>
    <row r="106" spans="1:2">
      <c r="A106" s="4" t="s">
        <v>314</v>
      </c>
      <c r="B106" s="5" t="s">
        <v>315</v>
      </c>
    </row>
    <row r="107" spans="1:2">
      <c r="A107" s="4" t="s">
        <v>316</v>
      </c>
      <c r="B107" s="5" t="s">
        <v>317</v>
      </c>
    </row>
    <row r="108" spans="1:2">
      <c r="A108" s="4" t="s">
        <v>318</v>
      </c>
      <c r="B108" s="5" t="s">
        <v>319</v>
      </c>
    </row>
    <row r="109" spans="1:2">
      <c r="A109" s="4" t="s">
        <v>320</v>
      </c>
      <c r="B109" s="5" t="s">
        <v>321</v>
      </c>
    </row>
    <row r="110" spans="1:2">
      <c r="A110" s="4" t="s">
        <v>322</v>
      </c>
      <c r="B110" s="5" t="s">
        <v>323</v>
      </c>
    </row>
    <row r="111" spans="1:2">
      <c r="A111" s="4" t="s">
        <v>324</v>
      </c>
      <c r="B111" s="5" t="s">
        <v>325</v>
      </c>
    </row>
    <row r="112" spans="1:2">
      <c r="A112" s="4" t="s">
        <v>326</v>
      </c>
      <c r="B112" s="5" t="s">
        <v>327</v>
      </c>
    </row>
    <row r="113" spans="1:2">
      <c r="A113" s="4" t="s">
        <v>328</v>
      </c>
      <c r="B113" s="5" t="s">
        <v>329</v>
      </c>
    </row>
    <row r="114" spans="1:2">
      <c r="A114" s="4" t="s">
        <v>330</v>
      </c>
      <c r="B114" s="5" t="s">
        <v>331</v>
      </c>
    </row>
    <row r="115" spans="1:2">
      <c r="A115" s="4" t="s">
        <v>332</v>
      </c>
      <c r="B115" s="5" t="s">
        <v>333</v>
      </c>
    </row>
    <row r="116" spans="1:2">
      <c r="A116" s="4" t="s">
        <v>334</v>
      </c>
      <c r="B116" s="5" t="s">
        <v>335</v>
      </c>
    </row>
    <row r="117" spans="1:2">
      <c r="A117" s="4" t="s">
        <v>336</v>
      </c>
      <c r="B117" s="5" t="s">
        <v>337</v>
      </c>
    </row>
    <row r="118" spans="1:2">
      <c r="A118" s="4" t="s">
        <v>338</v>
      </c>
      <c r="B118" s="5" t="s">
        <v>339</v>
      </c>
    </row>
    <row r="119" spans="1:2">
      <c r="A119" s="4" t="s">
        <v>340</v>
      </c>
      <c r="B119" s="5" t="s">
        <v>341</v>
      </c>
    </row>
    <row r="120" spans="1:2">
      <c r="A120" s="4" t="s">
        <v>342</v>
      </c>
      <c r="B120" s="5" t="s">
        <v>343</v>
      </c>
    </row>
    <row r="121" spans="1:2">
      <c r="A121" s="4" t="s">
        <v>344</v>
      </c>
      <c r="B121" s="5" t="s">
        <v>345</v>
      </c>
    </row>
    <row r="122" spans="1:2">
      <c r="A122" s="4" t="s">
        <v>346</v>
      </c>
      <c r="B122" s="5" t="s">
        <v>347</v>
      </c>
    </row>
    <row r="123" spans="1:2">
      <c r="A123" s="4" t="s">
        <v>348</v>
      </c>
      <c r="B123" s="5" t="s">
        <v>349</v>
      </c>
    </row>
    <row r="124" spans="1:2">
      <c r="A124" s="4" t="s">
        <v>350</v>
      </c>
      <c r="B124" s="5" t="s">
        <v>351</v>
      </c>
    </row>
    <row r="125" spans="1:2">
      <c r="A125" s="4" t="s">
        <v>352</v>
      </c>
      <c r="B125" s="5" t="s">
        <v>353</v>
      </c>
    </row>
    <row r="126" spans="1:2">
      <c r="A126" s="4" t="s">
        <v>354</v>
      </c>
      <c r="B126" s="5" t="s">
        <v>355</v>
      </c>
    </row>
    <row r="127" spans="1:2">
      <c r="A127" s="4" t="s">
        <v>356</v>
      </c>
      <c r="B127" s="5" t="s">
        <v>357</v>
      </c>
    </row>
    <row r="128" spans="1:2">
      <c r="A128" s="4" t="s">
        <v>358</v>
      </c>
      <c r="B128" s="5" t="s">
        <v>359</v>
      </c>
    </row>
    <row r="129" spans="1:2">
      <c r="A129" s="4" t="s">
        <v>360</v>
      </c>
      <c r="B129" s="5" t="s">
        <v>361</v>
      </c>
    </row>
    <row r="130" spans="1:2">
      <c r="A130" s="4" t="s">
        <v>362</v>
      </c>
      <c r="B130" s="5" t="s">
        <v>363</v>
      </c>
    </row>
    <row r="131" spans="1:2">
      <c r="A131" s="4" t="s">
        <v>364</v>
      </c>
      <c r="B131" s="5" t="s">
        <v>365</v>
      </c>
    </row>
    <row r="132" spans="1:2">
      <c r="A132" s="4" t="s">
        <v>366</v>
      </c>
      <c r="B132" s="5" t="s">
        <v>367</v>
      </c>
    </row>
    <row r="133" spans="1:2">
      <c r="A133" s="4" t="s">
        <v>368</v>
      </c>
      <c r="B133" s="5" t="s">
        <v>369</v>
      </c>
    </row>
    <row r="134" spans="1:2">
      <c r="A134" s="4" t="s">
        <v>370</v>
      </c>
      <c r="B134" s="5" t="s">
        <v>371</v>
      </c>
    </row>
    <row r="135" spans="1:2">
      <c r="A135" s="4" t="s">
        <v>372</v>
      </c>
      <c r="B135" s="5" t="s">
        <v>373</v>
      </c>
    </row>
    <row r="136" spans="1:2">
      <c r="A136" s="4" t="s">
        <v>374</v>
      </c>
      <c r="B136" s="5" t="s">
        <v>375</v>
      </c>
    </row>
    <row r="137" spans="1:2">
      <c r="A137" s="4" t="s">
        <v>376</v>
      </c>
      <c r="B137" s="5" t="s">
        <v>377</v>
      </c>
    </row>
    <row r="138" spans="1:2">
      <c r="A138" s="4" t="s">
        <v>378</v>
      </c>
      <c r="B138" s="5" t="s">
        <v>379</v>
      </c>
    </row>
    <row r="139" spans="1:2">
      <c r="A139" s="4" t="s">
        <v>380</v>
      </c>
      <c r="B139" s="5" t="s">
        <v>381</v>
      </c>
    </row>
    <row r="140" spans="1:2">
      <c r="A140" s="4" t="s">
        <v>382</v>
      </c>
      <c r="B140" s="5" t="s">
        <v>383</v>
      </c>
    </row>
    <row r="141" spans="1:2">
      <c r="A141" s="4" t="s">
        <v>384</v>
      </c>
      <c r="B141" s="5" t="s">
        <v>385</v>
      </c>
    </row>
    <row r="142" spans="1:2">
      <c r="A142" s="4" t="s">
        <v>386</v>
      </c>
      <c r="B142" s="5" t="s">
        <v>387</v>
      </c>
    </row>
    <row r="143" spans="1:2">
      <c r="A143" s="4" t="s">
        <v>388</v>
      </c>
      <c r="B143" s="5" t="s">
        <v>389</v>
      </c>
    </row>
    <row r="144" spans="1:2">
      <c r="A144" s="4" t="s">
        <v>390</v>
      </c>
      <c r="B144" s="5" t="s">
        <v>391</v>
      </c>
    </row>
    <row r="145" spans="1:2">
      <c r="A145" s="4" t="s">
        <v>392</v>
      </c>
      <c r="B145" s="5" t="s">
        <v>393</v>
      </c>
    </row>
    <row r="146" spans="1:2">
      <c r="A146" s="4" t="s">
        <v>394</v>
      </c>
      <c r="B146" s="5" t="s">
        <v>395</v>
      </c>
    </row>
    <row r="147" spans="1:2">
      <c r="A147" s="4" t="s">
        <v>396</v>
      </c>
      <c r="B147" s="5" t="s">
        <v>397</v>
      </c>
    </row>
    <row r="148" spans="1:2">
      <c r="A148" s="4" t="s">
        <v>398</v>
      </c>
      <c r="B148" s="5" t="s">
        <v>399</v>
      </c>
    </row>
    <row r="149" spans="1:2">
      <c r="A149" s="4" t="s">
        <v>400</v>
      </c>
      <c r="B149" s="5" t="s">
        <v>401</v>
      </c>
    </row>
    <row r="150" spans="1:2">
      <c r="A150" s="4" t="s">
        <v>402</v>
      </c>
      <c r="B150" s="5" t="s">
        <v>403</v>
      </c>
    </row>
    <row r="151" spans="1:2">
      <c r="A151" s="4" t="s">
        <v>404</v>
      </c>
      <c r="B151" s="5" t="s">
        <v>405</v>
      </c>
    </row>
    <row r="152" spans="1:2">
      <c r="A152" s="4" t="s">
        <v>406</v>
      </c>
      <c r="B152" s="5" t="s">
        <v>407</v>
      </c>
    </row>
    <row r="153" spans="1:2">
      <c r="A153" s="4" t="s">
        <v>408</v>
      </c>
      <c r="B153" s="5" t="s">
        <v>409</v>
      </c>
    </row>
    <row r="154" spans="1:2">
      <c r="A154" s="4" t="s">
        <v>410</v>
      </c>
      <c r="B154" s="5" t="s">
        <v>411</v>
      </c>
    </row>
    <row r="155" spans="1:2">
      <c r="A155" s="4" t="s">
        <v>412</v>
      </c>
      <c r="B155" s="5" t="s">
        <v>413</v>
      </c>
    </row>
    <row r="156" spans="1:2">
      <c r="A156" s="4" t="s">
        <v>414</v>
      </c>
      <c r="B156" s="5" t="s">
        <v>415</v>
      </c>
    </row>
    <row r="157" spans="1:2">
      <c r="A157" s="4" t="s">
        <v>416</v>
      </c>
      <c r="B157" s="5" t="s">
        <v>417</v>
      </c>
    </row>
    <row r="158" spans="1:2">
      <c r="A158" s="4" t="s">
        <v>418</v>
      </c>
      <c r="B158" s="5" t="s">
        <v>419</v>
      </c>
    </row>
    <row r="159" spans="1:2">
      <c r="A159" s="4" t="s">
        <v>420</v>
      </c>
      <c r="B159" s="5" t="s">
        <v>421</v>
      </c>
    </row>
    <row r="160" spans="1:2">
      <c r="A160" s="4" t="s">
        <v>422</v>
      </c>
      <c r="B160" s="5" t="s">
        <v>423</v>
      </c>
    </row>
    <row r="161" spans="1:2">
      <c r="A161" s="4" t="s">
        <v>424</v>
      </c>
      <c r="B161" s="5" t="s">
        <v>425</v>
      </c>
    </row>
    <row r="162" spans="1:2">
      <c r="A162" s="4" t="s">
        <v>426</v>
      </c>
      <c r="B162" s="5" t="s">
        <v>427</v>
      </c>
    </row>
    <row r="163" spans="1:2">
      <c r="A163" s="4" t="s">
        <v>428</v>
      </c>
      <c r="B163" s="5" t="s">
        <v>429</v>
      </c>
    </row>
    <row r="164" spans="1:2">
      <c r="A164" s="4" t="s">
        <v>430</v>
      </c>
      <c r="B164" s="5" t="s">
        <v>431</v>
      </c>
    </row>
    <row r="165" spans="1:2">
      <c r="A165" s="4" t="s">
        <v>432</v>
      </c>
      <c r="B165" s="5" t="s">
        <v>433</v>
      </c>
    </row>
    <row r="166" spans="1:2">
      <c r="A166" s="4" t="s">
        <v>434</v>
      </c>
      <c r="B166" s="5" t="s">
        <v>435</v>
      </c>
    </row>
    <row r="167" spans="1:2">
      <c r="A167" s="4" t="s">
        <v>436</v>
      </c>
      <c r="B167" s="5" t="s">
        <v>437</v>
      </c>
    </row>
    <row r="168" spans="1:2">
      <c r="A168" s="4" t="s">
        <v>438</v>
      </c>
      <c r="B168" s="5" t="s">
        <v>439</v>
      </c>
    </row>
    <row r="169" spans="1:2">
      <c r="A169" s="4" t="s">
        <v>440</v>
      </c>
      <c r="B169" s="5" t="s">
        <v>441</v>
      </c>
    </row>
    <row r="170" spans="1:2">
      <c r="A170" s="4" t="s">
        <v>442</v>
      </c>
      <c r="B170" s="5" t="s">
        <v>443</v>
      </c>
    </row>
    <row r="171" spans="1:2">
      <c r="A171" s="4" t="s">
        <v>444</v>
      </c>
      <c r="B171" s="5" t="s">
        <v>445</v>
      </c>
    </row>
    <row r="172" spans="1:2">
      <c r="A172" s="4" t="s">
        <v>446</v>
      </c>
      <c r="B172" s="5" t="s">
        <v>447</v>
      </c>
    </row>
    <row r="173" spans="1:2">
      <c r="A173" s="4" t="s">
        <v>448</v>
      </c>
      <c r="B173" s="5" t="s">
        <v>449</v>
      </c>
    </row>
    <row r="174" spans="1:2">
      <c r="A174" s="4" t="s">
        <v>450</v>
      </c>
      <c r="B174" s="5" t="s">
        <v>451</v>
      </c>
    </row>
    <row r="175" spans="1:2">
      <c r="A175" s="4" t="s">
        <v>452</v>
      </c>
      <c r="B175" s="5" t="s">
        <v>453</v>
      </c>
    </row>
    <row r="176" spans="1:2">
      <c r="A176" s="4" t="s">
        <v>454</v>
      </c>
      <c r="B176" s="5" t="s">
        <v>455</v>
      </c>
    </row>
    <row r="177" spans="1:2">
      <c r="A177" s="4" t="s">
        <v>456</v>
      </c>
      <c r="B177" s="5" t="s">
        <v>457</v>
      </c>
    </row>
    <row r="178" spans="1:2">
      <c r="A178" s="4" t="s">
        <v>458</v>
      </c>
      <c r="B178" s="5" t="s">
        <v>459</v>
      </c>
    </row>
    <row r="179" spans="1:2">
      <c r="A179" s="4" t="s">
        <v>460</v>
      </c>
      <c r="B179" s="5" t="s">
        <v>461</v>
      </c>
    </row>
    <row r="180" spans="1:2">
      <c r="A180" s="4" t="s">
        <v>462</v>
      </c>
      <c r="B180" s="5" t="s">
        <v>463</v>
      </c>
    </row>
    <row r="181" spans="1:2">
      <c r="A181" s="4" t="s">
        <v>464</v>
      </c>
      <c r="B181" s="5" t="s">
        <v>465</v>
      </c>
    </row>
    <row r="182" spans="1:2">
      <c r="A182" s="4" t="s">
        <v>466</v>
      </c>
      <c r="B182" s="5" t="s">
        <v>467</v>
      </c>
    </row>
    <row r="183" spans="1:2">
      <c r="A183" s="4" t="s">
        <v>468</v>
      </c>
      <c r="B183" s="5" t="s">
        <v>469</v>
      </c>
    </row>
    <row r="184" spans="1:2">
      <c r="A184" s="4" t="s">
        <v>470</v>
      </c>
      <c r="B184" s="5" t="s">
        <v>471</v>
      </c>
    </row>
    <row r="185" spans="1:2">
      <c r="A185" s="4" t="s">
        <v>472</v>
      </c>
      <c r="B185" s="5" t="s">
        <v>473</v>
      </c>
    </row>
    <row r="186" spans="1:2">
      <c r="A186" s="4" t="s">
        <v>474</v>
      </c>
      <c r="B186" s="5" t="s">
        <v>475</v>
      </c>
    </row>
    <row r="187" spans="1:2">
      <c r="A187" s="4" t="s">
        <v>476</v>
      </c>
      <c r="B187" s="5" t="s">
        <v>477</v>
      </c>
    </row>
    <row r="188" spans="1:2">
      <c r="A188" s="4" t="s">
        <v>478</v>
      </c>
      <c r="B188" s="5" t="s">
        <v>479</v>
      </c>
    </row>
    <row r="189" spans="1:2">
      <c r="A189" s="4" t="s">
        <v>480</v>
      </c>
      <c r="B189" s="5" t="s">
        <v>481</v>
      </c>
    </row>
    <row r="190" spans="1:2">
      <c r="A190" s="4" t="s">
        <v>482</v>
      </c>
      <c r="B190" s="5" t="s">
        <v>483</v>
      </c>
    </row>
    <row r="191" spans="1:2">
      <c r="A191" s="4" t="s">
        <v>484</v>
      </c>
      <c r="B191" s="5" t="s">
        <v>485</v>
      </c>
    </row>
    <row r="192" spans="1:2">
      <c r="A192" s="4" t="s">
        <v>486</v>
      </c>
      <c r="B192" s="5" t="s">
        <v>487</v>
      </c>
    </row>
    <row r="193" spans="1:2">
      <c r="A193" s="4" t="s">
        <v>488</v>
      </c>
      <c r="B193" s="5" t="s">
        <v>489</v>
      </c>
    </row>
    <row r="194" spans="1:2">
      <c r="A194" s="4" t="s">
        <v>490</v>
      </c>
      <c r="B194" s="5" t="s">
        <v>491</v>
      </c>
    </row>
    <row r="195" spans="1:2">
      <c r="A195" s="4" t="s">
        <v>492</v>
      </c>
      <c r="B195" s="5" t="s">
        <v>493</v>
      </c>
    </row>
    <row r="196" spans="1:2">
      <c r="A196" s="4" t="s">
        <v>494</v>
      </c>
      <c r="B196" s="5" t="s">
        <v>495</v>
      </c>
    </row>
    <row r="197" spans="1:2">
      <c r="A197" s="4" t="s">
        <v>496</v>
      </c>
      <c r="B197" s="5" t="s">
        <v>497</v>
      </c>
    </row>
    <row r="198" spans="1:2">
      <c r="A198" s="4" t="s">
        <v>498</v>
      </c>
      <c r="B198" s="5" t="s">
        <v>499</v>
      </c>
    </row>
    <row r="199" spans="1:2">
      <c r="A199" s="4" t="s">
        <v>500</v>
      </c>
      <c r="B199" s="5" t="s">
        <v>501</v>
      </c>
    </row>
    <row r="200" spans="1:2">
      <c r="A200" s="4" t="s">
        <v>502</v>
      </c>
      <c r="B200" s="5" t="s">
        <v>503</v>
      </c>
    </row>
    <row r="201" spans="1:2">
      <c r="A201" s="4" t="s">
        <v>504</v>
      </c>
      <c r="B201" s="5" t="s">
        <v>505</v>
      </c>
    </row>
    <row r="202" spans="1:2">
      <c r="A202" s="4" t="s">
        <v>506</v>
      </c>
      <c r="B202" s="5" t="s">
        <v>507</v>
      </c>
    </row>
    <row r="203" spans="1:2">
      <c r="A203" s="4" t="s">
        <v>508</v>
      </c>
      <c r="B203" s="5" t="s">
        <v>509</v>
      </c>
    </row>
    <row r="204" spans="1:2">
      <c r="A204" s="4" t="s">
        <v>510</v>
      </c>
      <c r="B204" s="5" t="s">
        <v>511</v>
      </c>
    </row>
    <row r="205" spans="1:2">
      <c r="A205" s="4" t="s">
        <v>512</v>
      </c>
      <c r="B205" s="5" t="s">
        <v>513</v>
      </c>
    </row>
    <row r="206" spans="1:2">
      <c r="A206" s="4" t="s">
        <v>514</v>
      </c>
      <c r="B206" s="5" t="s">
        <v>515</v>
      </c>
    </row>
    <row r="207" spans="1:2">
      <c r="A207" s="4" t="s">
        <v>516</v>
      </c>
      <c r="B207" s="5" t="s">
        <v>517</v>
      </c>
    </row>
    <row r="208" spans="1:2">
      <c r="A208" s="4" t="s">
        <v>518</v>
      </c>
      <c r="B208" s="5" t="s">
        <v>519</v>
      </c>
    </row>
    <row r="209" spans="1:2">
      <c r="A209" s="4" t="s">
        <v>520</v>
      </c>
      <c r="B209" s="5" t="s">
        <v>521</v>
      </c>
    </row>
    <row r="210" spans="1:2">
      <c r="A210" s="4" t="s">
        <v>522</v>
      </c>
      <c r="B210" s="5" t="s">
        <v>523</v>
      </c>
    </row>
    <row r="211" spans="1:2">
      <c r="A211" s="4" t="s">
        <v>524</v>
      </c>
      <c r="B211" s="5" t="s">
        <v>525</v>
      </c>
    </row>
    <row r="212" spans="1:2">
      <c r="A212" s="4" t="s">
        <v>526</v>
      </c>
      <c r="B212" s="5" t="s">
        <v>527</v>
      </c>
    </row>
    <row r="213" spans="1:2">
      <c r="A213" s="4" t="s">
        <v>528</v>
      </c>
      <c r="B213" s="5" t="s">
        <v>529</v>
      </c>
    </row>
    <row r="214" spans="1:2">
      <c r="A214" s="4" t="s">
        <v>530</v>
      </c>
      <c r="B214" s="5" t="s">
        <v>531</v>
      </c>
    </row>
    <row r="215" spans="1:2">
      <c r="A215" s="4" t="s">
        <v>532</v>
      </c>
      <c r="B215" s="5" t="s">
        <v>533</v>
      </c>
    </row>
    <row r="216" spans="1:2">
      <c r="A216" s="4" t="s">
        <v>534</v>
      </c>
      <c r="B216" s="5" t="s">
        <v>535</v>
      </c>
    </row>
    <row r="217" spans="1:2">
      <c r="A217" s="4" t="s">
        <v>536</v>
      </c>
      <c r="B217" s="5" t="s">
        <v>537</v>
      </c>
    </row>
    <row r="218" spans="1:2">
      <c r="A218" s="4" t="s">
        <v>538</v>
      </c>
      <c r="B218" s="5" t="s">
        <v>539</v>
      </c>
    </row>
    <row r="219" spans="1:2">
      <c r="A219" s="4" t="s">
        <v>540</v>
      </c>
      <c r="B219" s="5" t="s">
        <v>541</v>
      </c>
    </row>
    <row r="220" spans="1:2">
      <c r="A220" s="4" t="s">
        <v>542</v>
      </c>
      <c r="B220" s="5" t="s">
        <v>543</v>
      </c>
    </row>
    <row r="221" spans="1:2">
      <c r="A221" s="4" t="s">
        <v>544</v>
      </c>
      <c r="B221" s="5" t="s">
        <v>545</v>
      </c>
    </row>
    <row r="222" spans="1:2">
      <c r="A222" s="4" t="s">
        <v>546</v>
      </c>
      <c r="B222" s="5" t="s">
        <v>547</v>
      </c>
    </row>
    <row r="223" spans="1:2">
      <c r="A223" s="4" t="s">
        <v>548</v>
      </c>
      <c r="B223" s="5" t="s">
        <v>549</v>
      </c>
    </row>
    <row r="224" spans="1:2">
      <c r="A224" s="4" t="s">
        <v>550</v>
      </c>
      <c r="B224" s="5" t="s">
        <v>551</v>
      </c>
    </row>
    <row r="225" spans="1:2">
      <c r="A225" s="4" t="s">
        <v>552</v>
      </c>
      <c r="B225" s="5" t="s">
        <v>553</v>
      </c>
    </row>
    <row r="226" spans="1:2">
      <c r="A226" s="4" t="s">
        <v>554</v>
      </c>
      <c r="B226" s="5" t="s">
        <v>555</v>
      </c>
    </row>
    <row r="227" spans="1:2">
      <c r="A227" s="4" t="s">
        <v>556</v>
      </c>
      <c r="B227" s="5" t="s">
        <v>557</v>
      </c>
    </row>
    <row r="228" spans="1:2">
      <c r="A228" s="4" t="s">
        <v>558</v>
      </c>
      <c r="B228" s="5" t="s">
        <v>559</v>
      </c>
    </row>
    <row r="229" spans="1:2">
      <c r="A229" s="4" t="s">
        <v>560</v>
      </c>
      <c r="B229" s="5" t="s">
        <v>561</v>
      </c>
    </row>
    <row r="230" spans="1:2">
      <c r="A230" s="4" t="s">
        <v>562</v>
      </c>
      <c r="B230" s="5" t="s">
        <v>563</v>
      </c>
    </row>
    <row r="231" spans="1:2">
      <c r="A231" s="4" t="s">
        <v>564</v>
      </c>
      <c r="B231" s="5" t="s">
        <v>565</v>
      </c>
    </row>
    <row r="232" spans="1:2">
      <c r="A232" s="4" t="s">
        <v>566</v>
      </c>
      <c r="B232" s="5" t="s">
        <v>567</v>
      </c>
    </row>
    <row r="233" spans="1:2">
      <c r="A233" s="4" t="s">
        <v>568</v>
      </c>
      <c r="B233" s="5" t="s">
        <v>569</v>
      </c>
    </row>
    <row r="234" spans="1:2">
      <c r="A234" s="4" t="s">
        <v>570</v>
      </c>
      <c r="B234" s="5" t="s">
        <v>571</v>
      </c>
    </row>
    <row r="235" spans="1:2">
      <c r="A235" s="4" t="s">
        <v>572</v>
      </c>
      <c r="B235" s="5" t="s">
        <v>573</v>
      </c>
    </row>
    <row r="236" spans="1:2">
      <c r="A236" s="4" t="s">
        <v>574</v>
      </c>
      <c r="B236" s="5" t="s">
        <v>575</v>
      </c>
    </row>
    <row r="237" spans="1:2">
      <c r="A237" s="4" t="s">
        <v>576</v>
      </c>
      <c r="B237" s="5" t="s">
        <v>577</v>
      </c>
    </row>
    <row r="238" spans="1:2">
      <c r="A238" s="4" t="s">
        <v>578</v>
      </c>
      <c r="B238" s="5" t="s">
        <v>579</v>
      </c>
    </row>
    <row r="239" spans="1:2">
      <c r="A239" s="4" t="s">
        <v>580</v>
      </c>
      <c r="B239" s="5" t="s">
        <v>581</v>
      </c>
    </row>
    <row r="240" spans="1:2">
      <c r="A240" s="4" t="s">
        <v>582</v>
      </c>
      <c r="B240" s="5" t="s">
        <v>583</v>
      </c>
    </row>
    <row r="241" spans="1:2">
      <c r="A241" s="4" t="s">
        <v>584</v>
      </c>
      <c r="B241" s="5" t="s">
        <v>585</v>
      </c>
    </row>
    <row r="242" spans="1:2">
      <c r="A242" s="4" t="s">
        <v>586</v>
      </c>
      <c r="B242" s="5" t="s">
        <v>587</v>
      </c>
    </row>
    <row r="243" spans="1:2">
      <c r="A243" s="4" t="s">
        <v>588</v>
      </c>
      <c r="B243" s="5" t="s">
        <v>589</v>
      </c>
    </row>
    <row r="244" spans="1:2">
      <c r="A244" s="4" t="s">
        <v>590</v>
      </c>
      <c r="B244" s="5" t="s">
        <v>591</v>
      </c>
    </row>
    <row r="245" spans="1:2">
      <c r="A245" s="4" t="s">
        <v>592</v>
      </c>
      <c r="B245" s="5" t="s">
        <v>593</v>
      </c>
    </row>
    <row r="246" spans="1:2">
      <c r="A246" s="6" t="s">
        <v>594</v>
      </c>
      <c r="B246" s="7" t="s">
        <v>595</v>
      </c>
    </row>
    <row r="247" spans="1:2">
      <c r="A247" s="6" t="s">
        <v>596</v>
      </c>
      <c r="B247" s="7" t="s">
        <v>597</v>
      </c>
    </row>
    <row r="248" spans="1:2">
      <c r="A248" s="6" t="s">
        <v>598</v>
      </c>
      <c r="B248" s="7" t="s">
        <v>599</v>
      </c>
    </row>
    <row r="249" spans="1:2">
      <c r="A249" s="6" t="s">
        <v>600</v>
      </c>
      <c r="B249" s="7" t="s">
        <v>601</v>
      </c>
    </row>
    <row r="250" spans="1:2">
      <c r="A250" s="6" t="s">
        <v>602</v>
      </c>
      <c r="B250" s="7" t="s">
        <v>603</v>
      </c>
    </row>
    <row r="251" spans="1:2">
      <c r="A251" s="6" t="s">
        <v>604</v>
      </c>
      <c r="B251" s="7" t="s">
        <v>605</v>
      </c>
    </row>
    <row r="252" spans="1:2">
      <c r="A252" s="6" t="s">
        <v>606</v>
      </c>
      <c r="B252" s="7" t="s">
        <v>607</v>
      </c>
    </row>
    <row r="253" spans="1:2">
      <c r="A253" s="8" t="s">
        <v>608</v>
      </c>
      <c r="B253" s="9" t="s">
        <v>609</v>
      </c>
    </row>
    <row r="254" spans="1:2">
      <c r="A254" s="8" t="s">
        <v>610</v>
      </c>
      <c r="B254" s="9" t="s">
        <v>611</v>
      </c>
    </row>
    <row r="255" spans="1:2">
      <c r="A255" s="4" t="s">
        <v>612</v>
      </c>
      <c r="B255" s="5" t="s">
        <v>613</v>
      </c>
    </row>
    <row r="256" spans="1:2">
      <c r="A256" s="4" t="s">
        <v>614</v>
      </c>
      <c r="B256" s="5" t="s">
        <v>615</v>
      </c>
    </row>
    <row r="257" spans="1:2">
      <c r="A257" s="4" t="s">
        <v>616</v>
      </c>
      <c r="B257" s="5" t="s">
        <v>617</v>
      </c>
    </row>
    <row r="258" spans="1:2">
      <c r="A258" s="4" t="s">
        <v>618</v>
      </c>
      <c r="B258" s="5" t="s">
        <v>619</v>
      </c>
    </row>
    <row r="259" spans="1:2">
      <c r="A259" s="4" t="s">
        <v>620</v>
      </c>
      <c r="B259" s="5" t="s">
        <v>621</v>
      </c>
    </row>
    <row r="260" spans="1:2">
      <c r="A260" s="4" t="s">
        <v>622</v>
      </c>
      <c r="B260" s="5" t="s">
        <v>623</v>
      </c>
    </row>
  </sheetData>
  <hyperlinks>
    <hyperlink ref="B259" r:id="rId1" display="Zimbabwe" tooltip="Zimbabwe"/>
    <hyperlink ref="B258" r:id="rId2" display="Zambia" tooltip="Zambia"/>
    <hyperlink ref="B257" r:id="rId3" display="South Africa" tooltip="South Africa"/>
    <hyperlink ref="B256" r:id="rId4" display="Mayotte" tooltip="Mayotte"/>
    <hyperlink ref="B255" r:id="rId5" display="Yemen" tooltip="Yemen"/>
    <hyperlink ref="B245" r:id="rId6" display="Samoa" tooltip="Samoa"/>
    <hyperlink ref="B244" r:id="rId7" display="Wallis and Futuna" tooltip="Wallis and Futuna"/>
    <hyperlink ref="B243" r:id="rId8" display="Vanuatu" tooltip="Vanuatu"/>
    <hyperlink ref="B242" r:id="rId9" display="Viet Nam" tooltip="Vietnam"/>
    <hyperlink ref="B241" r:id="rId10" display="Virgin Islands, U.S." tooltip="United States Virgin Islands"/>
    <hyperlink ref="B240" r:id="rId11" display="Virgin Islands, British" tooltip="British Virgin Islands"/>
    <hyperlink ref="B239" r:id="rId12" display="Venezuela, Bolivarian Republic of" tooltip="Venezuela"/>
    <hyperlink ref="B238" r:id="rId13" display="Saint Vincent and the Grenadines" tooltip="Saint Vincent and the Grenadines"/>
    <hyperlink ref="B237" r:id="rId14" display="Holy See (Vatican City State)" tooltip="Vatican City"/>
    <hyperlink ref="B236" r:id="rId15" display="Uzbekistan" tooltip="Uzbekistan"/>
    <hyperlink ref="B235" r:id="rId16" display="Uruguay" tooltip="Uruguay"/>
    <hyperlink ref="B234" r:id="rId17" display="United States" tooltip="United States"/>
    <hyperlink ref="B233" r:id="rId18" display="United States Minor Outlying Islands" tooltip="United States Minor Outlying Islands"/>
    <hyperlink ref="B232" r:id="rId19" display="Uganda" tooltip="Uganda"/>
    <hyperlink ref="B231" r:id="rId20" display="Ukraine" tooltip="Ukraine"/>
    <hyperlink ref="B230" r:id="rId21" display="Tanzania, United Republic of" tooltip="Tanzania"/>
    <hyperlink ref="B229" r:id="rId22" display="Taiwan, Province of China" tooltip="Taiwan"/>
    <hyperlink ref="B228" r:id="rId23" display="Tuvalu" tooltip="Tuvalu"/>
    <hyperlink ref="B227" r:id="rId24" display="Trinidad and Tobago" tooltip="Trinidad and Tobago"/>
    <hyperlink ref="B226" r:id="rId25" display="Turkey" tooltip="Turkey"/>
    <hyperlink ref="B225" r:id="rId26" display="Tonga" tooltip="Tonga"/>
    <hyperlink ref="B224" r:id="rId27" display="Tunisia" tooltip="Tunisia"/>
    <hyperlink ref="B223" r:id="rId28" display="Turkmenistan" tooltip="Turkmenistan"/>
    <hyperlink ref="B222" r:id="rId29" display="Timor-Leste" tooltip="East Timor"/>
    <hyperlink ref="B221" r:id="rId30" display="Tokelau" tooltip="Tokelau"/>
    <hyperlink ref="B220" r:id="rId31" display="Tajikistan" tooltip="Tajikistan"/>
    <hyperlink ref="B219" r:id="rId32" display="Thailand" tooltip="Thailand"/>
    <hyperlink ref="B218" r:id="rId33" display="Togo" tooltip="Togo"/>
    <hyperlink ref="B217" r:id="rId34" display="French Southern Territories" tooltip="French Southern and Antarctic Lands"/>
    <hyperlink ref="B216" r:id="rId35" display="Chad" tooltip="Chad"/>
    <hyperlink ref="B215" r:id="rId36" display="Turks and Caicos Islands" tooltip="Turks and Caicos Islands"/>
    <hyperlink ref="B214" r:id="rId37" display="Swaziland" tooltip="Swaziland"/>
    <hyperlink ref="B213" r:id="rId38" display="Syrian Arab Republic" tooltip="Syria"/>
    <hyperlink ref="B212" r:id="rId39" display="Sint Maarten (Dutch part)" tooltip="Sint Maarten"/>
    <hyperlink ref="B211" r:id="rId40" display="El Salvador" tooltip="El Salvador"/>
    <hyperlink ref="B210" r:id="rId41" display="Sao Tome and Principe" tooltip="São Tomé and Príncipe"/>
    <hyperlink ref="B209" r:id="rId42" display="South Sudan" tooltip="South Sudan"/>
    <hyperlink ref="B208" r:id="rId43" display="Suriname" tooltip="Suriname"/>
    <hyperlink ref="B207" r:id="rId44" display="Somalia" tooltip="Somalia"/>
    <hyperlink ref="B206" r:id="rId45" display="Senegal" tooltip="Senegal"/>
    <hyperlink ref="B205" r:id="rId46" display="San Marino" tooltip="San Marino"/>
    <hyperlink ref="B204" r:id="rId47" display="Sierra Leone" tooltip="Sierra Leone"/>
    <hyperlink ref="B203" r:id="rId48" display="Slovakia" tooltip="Slovakia"/>
    <hyperlink ref="B202" r:id="rId49" display="Svalbard and Jan Mayen" tooltip="Svalbard and Jan Mayen"/>
    <hyperlink ref="B201" r:id="rId50" display="Slovenia" tooltip="Slovenia"/>
    <hyperlink ref="B200" r:id="rId51" display="Saint Helena, Ascension and Tristan da Cunha" tooltip="Saint Helena, Ascension and Tristan da Cunha"/>
    <hyperlink ref="B199" r:id="rId52" display="Singapore" tooltip="Singapore"/>
    <hyperlink ref="B198" r:id="rId53" display="Sweden" tooltip="Sweden"/>
    <hyperlink ref="B197" r:id="rId54" display="Sudan" tooltip="Sudan"/>
    <hyperlink ref="B196" r:id="rId55" display="Seychelles" tooltip="Seychelles"/>
    <hyperlink ref="B195" r:id="rId56" display="Solomon Islands" tooltip="Solomon Islands"/>
    <hyperlink ref="B194" r:id="rId57" display="Saudi Arabia" tooltip="Saudi Arabia"/>
    <hyperlink ref="B193" r:id="rId58" display="Rwanda" tooltip="Rwanda"/>
    <hyperlink ref="B192" r:id="rId59" display="Russian Federation" tooltip="Russia"/>
    <hyperlink ref="B191" r:id="rId60" display="Serbia" tooltip="Serbia"/>
    <hyperlink ref="B190" r:id="rId61" display="Romania" tooltip="Romania"/>
    <hyperlink ref="B189" r:id="rId62" display="Réunion" tooltip="Réunion"/>
    <hyperlink ref="B188" r:id="rId63" display="Qatar" tooltip="Qatar"/>
    <hyperlink ref="B187" r:id="rId64" display="Paraguay" tooltip="Paraguay"/>
    <hyperlink ref="B186" r:id="rId65" display="Palau" tooltip="Palau"/>
    <hyperlink ref="B185" r:id="rId66" display="Portugal" tooltip="Portugal"/>
    <hyperlink ref="B184" r:id="rId67" display="Palestine, State of" tooltip="State of Palestine"/>
    <hyperlink ref="B183" r:id="rId68" display="Puerto Rico" tooltip="Puerto Rico"/>
    <hyperlink ref="B182" r:id="rId69" display="Pitcairn" tooltip="Pitcairn Islands"/>
    <hyperlink ref="B181" r:id="rId70" display="Saint Pierre and Miquelon" tooltip="Saint Pierre and Miquelon"/>
    <hyperlink ref="B180" r:id="rId71" display="Poland" tooltip="Poland"/>
    <hyperlink ref="B179" r:id="rId72" display="Pakistan" tooltip="Pakistan"/>
    <hyperlink ref="B178" r:id="rId73" display="Philippines" tooltip="Philippines"/>
    <hyperlink ref="B177" r:id="rId74" display="Papua New Guinea" tooltip="Papua New Guinea"/>
    <hyperlink ref="B176" r:id="rId75" display="French Polynesia" tooltip="French Polynesia"/>
    <hyperlink ref="B175" r:id="rId76" display="Peru" tooltip="Peru"/>
    <hyperlink ref="B174" r:id="rId77" display="Panama" tooltip="Panama"/>
    <hyperlink ref="B173" r:id="rId78" display="Oman" tooltip="Oman"/>
    <hyperlink ref="B172" r:id="rId79" display="New Zealand" tooltip="New Zealand"/>
    <hyperlink ref="B171" r:id="rId80" display="Niue" tooltip="Niue"/>
    <hyperlink ref="B170" r:id="rId81" display="Nauru" tooltip="Nauru"/>
    <hyperlink ref="B169" r:id="rId82" display="Nepal" tooltip="Nepal"/>
    <hyperlink ref="B168" r:id="rId83" display="Norway" tooltip="Norway"/>
    <hyperlink ref="B167" r:id="rId84" display="Netherlands" tooltip="Netherlands"/>
    <hyperlink ref="B166" r:id="rId85" display="Nicaragua" tooltip="Nicaragua"/>
    <hyperlink ref="B165" r:id="rId86" display="Nigeria" tooltip="Nigeria"/>
    <hyperlink ref="B164" r:id="rId87" display="Norfolk Island" tooltip="Norfolk Island"/>
    <hyperlink ref="B163" r:id="rId88" display="Niger" tooltip="Niger"/>
    <hyperlink ref="B162" r:id="rId89" display="New Caledonia" tooltip="New Caledonia"/>
    <hyperlink ref="B161" r:id="rId90" display="Namibia" tooltip="Namibia"/>
    <hyperlink ref="B160" r:id="rId91" display="Mozambique" tooltip="Mozambique"/>
    <hyperlink ref="B159" r:id="rId92" display="Malaysia" tooltip="Malaysia"/>
    <hyperlink ref="B158" r:id="rId93" display="Mexico" tooltip="Mexico"/>
    <hyperlink ref="B157" r:id="rId94" display="Malawi" tooltip="Malawi"/>
    <hyperlink ref="B156" r:id="rId95" display="Maldives" tooltip="Maldives"/>
    <hyperlink ref="B155" r:id="rId96" display="Mauritius" tooltip="Mauritius"/>
    <hyperlink ref="B154" r:id="rId97" display="Malta" tooltip="Malta"/>
    <hyperlink ref="B153" r:id="rId98" display="Montserrat" tooltip="Montserrat"/>
    <hyperlink ref="B152" r:id="rId99" display="Mauritania" tooltip="Mauritania"/>
    <hyperlink ref="B151" r:id="rId100" display="Martinique" tooltip="Martinique"/>
    <hyperlink ref="B150" r:id="rId101" display="Northern Mariana Islands" tooltip="Northern Mariana Islands"/>
    <hyperlink ref="B149" r:id="rId102" display="Macao" tooltip="Macau"/>
    <hyperlink ref="B148" r:id="rId103" display="Mongolia" tooltip="Mongolia"/>
    <hyperlink ref="B147" r:id="rId104" display="Myanmar" tooltip="Myanmar"/>
    <hyperlink ref="B146" r:id="rId105" display="Mali" tooltip="Mali"/>
    <hyperlink ref="B145" r:id="rId106" display="Macedonia, the former Yugoslav Republic of" tooltip="Republic of Macedonia"/>
    <hyperlink ref="B144" r:id="rId107" display="Marshall Islands" tooltip="Marshall Islands"/>
    <hyperlink ref="B143" r:id="rId108" display="Madagascar" tooltip="Madagascar"/>
    <hyperlink ref="B142" r:id="rId109" display="Saint Martin (French part)" tooltip="Collectivity of Saint Martin"/>
    <hyperlink ref="B141" r:id="rId110" display="Montenegro" tooltip="Montenegro"/>
    <hyperlink ref="B140" r:id="rId111" display="Moldova, Republic of" tooltip="Moldova"/>
    <hyperlink ref="B139" r:id="rId112" display="Monaco" tooltip="Monaco"/>
    <hyperlink ref="B138" r:id="rId113" display="Morocco" tooltip="Morocco"/>
    <hyperlink ref="B137" r:id="rId114" display="Libya" tooltip="Libya"/>
    <hyperlink ref="B136" r:id="rId115" display="Latvia" tooltip="Latvia"/>
    <hyperlink ref="B135" r:id="rId116" display="Luxembourg" tooltip="Luxembourg"/>
    <hyperlink ref="B134" r:id="rId117" display="Lithuania" tooltip="Lithuania"/>
    <hyperlink ref="B133" r:id="rId118" display="Lesotho" tooltip="Lesotho"/>
    <hyperlink ref="B132" r:id="rId119" display="Liberia" tooltip="Liberia"/>
    <hyperlink ref="B131" r:id="rId120" display="Sri Lanka" tooltip="Sri Lanka"/>
    <hyperlink ref="B130" r:id="rId121" display="Liechtenstein" tooltip="Liechtenstein"/>
    <hyperlink ref="B129" r:id="rId122" display="Saint Lucia" tooltip="Saint Lucia"/>
    <hyperlink ref="B128" r:id="rId123" display="Lebanon" tooltip="Lebanon"/>
    <hyperlink ref="B127" r:id="rId124" display="Lao People's Democratic Republic" tooltip="Laos"/>
    <hyperlink ref="B126" r:id="rId125" display="Kazakhstan" tooltip="Kazakhstan"/>
    <hyperlink ref="B125" r:id="rId126" display="Cayman Islands" tooltip="Cayman Islands"/>
    <hyperlink ref="B124" r:id="rId127" display="Kuwait" tooltip="Kuwait"/>
    <hyperlink ref="B123" r:id="rId128" display="Korea, Republic of" tooltip="South Korea"/>
    <hyperlink ref="B122" r:id="rId129" display="Korea, Democratic People's Republic of" tooltip="North Korea"/>
    <hyperlink ref="B121" r:id="rId130" display="Saint Kitts and Nevis" tooltip="Saint Kitts and Nevis"/>
    <hyperlink ref="B120" r:id="rId131" display="Comoros" tooltip="Comoros"/>
    <hyperlink ref="B119" r:id="rId132" display="Kiribati" tooltip="Kiribati"/>
    <hyperlink ref="B118" r:id="rId133" display="Cambodia" tooltip="Cambodia"/>
    <hyperlink ref="B117" r:id="rId134" display="Kyrgyzstan" tooltip="Kyrgyzstan"/>
    <hyperlink ref="B116" r:id="rId135" display="Kenya" tooltip="Kenya"/>
    <hyperlink ref="B115" r:id="rId136" display="Japan" tooltip="Japan"/>
    <hyperlink ref="B114" r:id="rId137" display="Jordan" tooltip="Jordan"/>
    <hyperlink ref="B113" r:id="rId138" display="Jamaica" tooltip="Jamaica"/>
    <hyperlink ref="B112" r:id="rId139" display="Jersey" tooltip="Jersey"/>
    <hyperlink ref="B111" r:id="rId140" display="Italy" tooltip="Italy"/>
    <hyperlink ref="B110" r:id="rId141" display="Iceland" tooltip="Iceland"/>
    <hyperlink ref="B109" r:id="rId142" display="Iran, Islamic Republic of" tooltip="Iran"/>
    <hyperlink ref="B108" r:id="rId143" display="Iraq" tooltip="Iraq"/>
    <hyperlink ref="B107" r:id="rId144" display="British Indian Ocean Territory" tooltip="British Indian Ocean Territory"/>
    <hyperlink ref="B106" r:id="rId145" display="India" tooltip="India"/>
    <hyperlink ref="B105" r:id="rId146" display="Isle of Man" tooltip="Isle of Man"/>
    <hyperlink ref="B104" r:id="rId147" display="Israel" tooltip="Israel"/>
    <hyperlink ref="B103" r:id="rId148" display="Ireland" tooltip="Republic of Ireland"/>
    <hyperlink ref="B102" r:id="rId149" display="Indonesia" tooltip="Indonesia"/>
    <hyperlink ref="B101" r:id="rId150" display="Hungary" tooltip="Hungary"/>
    <hyperlink ref="B100" r:id="rId151" display="Haiti" tooltip="Haiti"/>
    <hyperlink ref="B99" r:id="rId152" display="Croatia" tooltip="Croatia"/>
    <hyperlink ref="B98" r:id="rId153" display="Honduras" tooltip="Honduras"/>
    <hyperlink ref="B97" r:id="rId154" display="Heard Island and McDonald Islands" tooltip="Heard Island and McDonald Islands"/>
    <hyperlink ref="B96" r:id="rId155" display="Hong Kong" tooltip="Hong Kong"/>
    <hyperlink ref="B95" r:id="rId156" display="Guyana" tooltip="Guyana"/>
    <hyperlink ref="B94" r:id="rId157" display="Guinea-Bissau" tooltip="Guinea-Bissau"/>
    <hyperlink ref="B93" r:id="rId158" display="Guam" tooltip="Guam"/>
    <hyperlink ref="B92" r:id="rId159" display="Guatemala" tooltip="Guatemala"/>
    <hyperlink ref="B91" r:id="rId160" display="South Georgia and the South Sandwich Islands" tooltip="South Georgia and the South Sandwich Islands"/>
    <hyperlink ref="B90" r:id="rId161" display="Greece" tooltip="Greece"/>
    <hyperlink ref="B89" r:id="rId162" display="Equatorial Guinea" tooltip="Equatorial Guinea"/>
    <hyperlink ref="B88" r:id="rId163" display="Guadeloupe" tooltip="Guadeloupe"/>
    <hyperlink ref="B87" r:id="rId164" display="Guinea" tooltip="Guinea"/>
    <hyperlink ref="B86" r:id="rId165" display="Gambia" tooltip="The Gambia"/>
    <hyperlink ref="B85" r:id="rId166" display="Greenland" tooltip="Greenland"/>
    <hyperlink ref="B84" r:id="rId167" display="Gibraltar" tooltip="Gibraltar"/>
    <hyperlink ref="B83" r:id="rId168" display="Ghana" tooltip="Ghana"/>
    <hyperlink ref="B82" r:id="rId169" display="Guernsey" tooltip="Guernsey"/>
    <hyperlink ref="B81" r:id="rId170" display="French Guiana" tooltip="French Guiana"/>
    <hyperlink ref="B80" r:id="rId171" display="Georgia" tooltip="Georgia (country)"/>
    <hyperlink ref="B79" r:id="rId172" display="Grenada" tooltip="Grenada"/>
    <hyperlink ref="B78" r:id="rId173" display="United Kingdom" tooltip="United Kingdom"/>
    <hyperlink ref="B77" r:id="rId174" display="Gabon" tooltip="Gabon"/>
    <hyperlink ref="B76" r:id="rId175" display="France" tooltip="France"/>
    <hyperlink ref="B75" r:id="rId176" display="Faroe Islands" tooltip="Faroe Islands"/>
    <hyperlink ref="B74" r:id="rId177" display="Micronesia, Federated States of" tooltip="Federated States of Micronesia"/>
    <hyperlink ref="B73" r:id="rId178" display="Falkland Islands (Malvinas)" tooltip="Falkland Islands"/>
    <hyperlink ref="B72" r:id="rId179" display="Fiji" tooltip="Fiji"/>
    <hyperlink ref="B71" r:id="rId180" display="Finland" tooltip="Finland"/>
    <hyperlink ref="B70" r:id="rId181" display="Ethiopia" tooltip="Ethiopia"/>
    <hyperlink ref="B69" r:id="rId182" display="Spain" tooltip="Spain"/>
    <hyperlink ref="B68" r:id="rId183" display="Eritrea" tooltip="Eritrea"/>
    <hyperlink ref="B67" r:id="rId184" display="Western Sahara" tooltip="Western Sahara"/>
    <hyperlink ref="B66" r:id="rId185" display="Egypt" tooltip="Egypt"/>
    <hyperlink ref="B65" r:id="rId186" display="Estonia" tooltip="Estonia"/>
    <hyperlink ref="B64" r:id="rId187" display="Ecuador" tooltip="Ecuador"/>
    <hyperlink ref="B63" r:id="rId188" display="Algeria" tooltip="Algeria"/>
    <hyperlink ref="B62" r:id="rId189" display="Dominican Republic" tooltip="Dominican Republic"/>
    <hyperlink ref="B61" r:id="rId190" display="Dominica" tooltip="Dominica"/>
    <hyperlink ref="B60" r:id="rId191" display="Denmark" tooltip="Denmark"/>
    <hyperlink ref="B59" r:id="rId192" display="Djibouti" tooltip="Djibouti"/>
    <hyperlink ref="B58" r:id="rId193" display="Germany" tooltip="Germany"/>
    <hyperlink ref="B57" r:id="rId194" display="Czech Republic" tooltip="Czech Republic"/>
    <hyperlink ref="B56" r:id="rId195" display="Cyprus" tooltip="Cyprus"/>
    <hyperlink ref="B55" r:id="rId196" display="Christmas Island" tooltip="Christmas Island"/>
    <hyperlink ref="B54" r:id="rId197" display="Curaçao" tooltip="Curaçao"/>
    <hyperlink ref="B53" r:id="rId198" display="Cape Verde" tooltip="Cape Verde"/>
    <hyperlink ref="B52" r:id="rId199" display="Cuba" tooltip="Cuba"/>
    <hyperlink ref="B51" r:id="rId200" display="Costa Rica" tooltip="Costa Rica"/>
    <hyperlink ref="B50" r:id="rId201" display="Colombia" tooltip="Colombia"/>
    <hyperlink ref="B49" r:id="rId202" display="China" tooltip="China"/>
    <hyperlink ref="B48" r:id="rId203" display="Cameroon" tooltip="Cameroon"/>
    <hyperlink ref="B47" r:id="rId204" display="Chile" tooltip="Chile"/>
    <hyperlink ref="B46" r:id="rId205" display="Cook Islands" tooltip="Cook Islands"/>
    <hyperlink ref="B45" r:id="rId206" display="Côte d'Ivoire" tooltip="Côte d'Ivoire"/>
    <hyperlink ref="B44" r:id="rId207" display="Switzerland" tooltip="Switzerland"/>
    <hyperlink ref="B43" r:id="rId208" display="Congo" tooltip="Republic of the Congo"/>
    <hyperlink ref="B42" r:id="rId209" display="Central African Republic" tooltip="Central African Republic"/>
    <hyperlink ref="B41" r:id="rId210" display="Congo, the Democratic Republic of the" tooltip="Democratic Republic of the Congo"/>
    <hyperlink ref="B40" r:id="rId211" display="Cocos (Keeling) Islands" tooltip="Cocos (Keeling) Islands"/>
    <hyperlink ref="B39" r:id="rId212" display="Canada" tooltip="Canada"/>
    <hyperlink ref="B38" r:id="rId213" display="Belize" tooltip="Belize"/>
    <hyperlink ref="B37" r:id="rId214" display="Belarus" tooltip="Belarus"/>
    <hyperlink ref="B36" r:id="rId215" display="Botswana" tooltip="Botswana"/>
    <hyperlink ref="B35" r:id="rId216" display="Bouvet Island" tooltip="Bouvet Island"/>
    <hyperlink ref="B34" r:id="rId217" display="Bhutan" tooltip="Bhutan"/>
    <hyperlink ref="B33" r:id="rId218" display="Bahamas" tooltip="The Bahamas"/>
    <hyperlink ref="B32" r:id="rId219" display="Brazil" tooltip="Brazil"/>
    <hyperlink ref="B31" r:id="rId220" display="Bonaire, Sint Eustatius and Saba" tooltip="Caribbean Netherlands"/>
    <hyperlink ref="B30" r:id="rId221" display="Bolivia, Plurinational State of" tooltip="Bolivia"/>
    <hyperlink ref="B29" r:id="rId222" display="Brunei Darussalam" tooltip="Brunei"/>
    <hyperlink ref="B28" r:id="rId223" display="Bermuda" tooltip="Bermuda"/>
    <hyperlink ref="B27" r:id="rId224" display="Saint Barthélemy" tooltip="Saint Barthélemy"/>
    <hyperlink ref="B26" r:id="rId225" display="Benin" tooltip="Benin"/>
    <hyperlink ref="B25" r:id="rId226" display="Burundi" tooltip="Burundi"/>
    <hyperlink ref="B24" r:id="rId227" display="Bahrain" tooltip="Bahrain"/>
    <hyperlink ref="B23" r:id="rId228" display="Bulgaria" tooltip="Bulgaria"/>
    <hyperlink ref="B22" r:id="rId229" display="Burkina Faso" tooltip="Burkina Faso"/>
    <hyperlink ref="B21" r:id="rId230" display="Belgium" tooltip="Belgium"/>
    <hyperlink ref="B20" r:id="rId231" display="Bangladesh" tooltip="Bangladesh"/>
    <hyperlink ref="B19" r:id="rId232" display="Barbados" tooltip="Barbados"/>
    <hyperlink ref="B18" r:id="rId233" display="Bosnia and Herzegovina" tooltip="Bosnia and Herzegovina"/>
    <hyperlink ref="B17" r:id="rId234" display="Azerbaijan" tooltip="Azerbaijan"/>
    <hyperlink ref="B16" r:id="rId235" display="Aland Islands+C3" tooltip="Åland Islands"/>
    <hyperlink ref="B15" r:id="rId236" display="Aruba" tooltip="Aruba"/>
    <hyperlink ref="B14" r:id="rId237" display="Australia" tooltip="Australia"/>
    <hyperlink ref="B13" r:id="rId238" display="Austria" tooltip="Austria"/>
    <hyperlink ref="B12" r:id="rId239" display="American Samoa" tooltip="American Samoa"/>
    <hyperlink ref="B11" r:id="rId240" display="Argentina" tooltip="Argentina"/>
    <hyperlink ref="B10" r:id="rId241" display="Antarctica" tooltip="Antarctica"/>
    <hyperlink ref="B9" r:id="rId242" display="Angola" tooltip="Angola"/>
    <hyperlink ref="B8" r:id="rId243" display="Armenia" tooltip="Armenia"/>
    <hyperlink ref="B7" r:id="rId244" display="Albania" tooltip="Albania"/>
    <hyperlink ref="B6" r:id="rId245" display="Anguilla" tooltip="Anguilla"/>
    <hyperlink ref="B5" r:id="rId246" display="Antigua and Barbuda" tooltip="Antigua and Barbuda"/>
    <hyperlink ref="B4" r:id="rId247" display="Afghanistan" tooltip="Afghanistan"/>
    <hyperlink ref="B3" r:id="rId248" display="United Arab Emirates" tooltip="United Arab Emirates"/>
    <hyperlink ref="B2" r:id="rId249" display="Andorra" tooltip="Andorra"/>
  </hyperlinks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52GLOBAL LIAB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2013-09-10T10:06:22Z</dcterms:created>
  <cp:lastPrinted>2017-07-04T07:34:01Z</cp:lastPrinted>
  <dcterms:modified xsi:type="dcterms:W3CDTF">2024-02-22T06:20:26Z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F6A82771049C47F3B7192E46DEED08E3_13</vt:lpwstr>
  </property>
  <property fmtid="{D5CDD505-2E9C-101B-9397-08002B2CF9AE}" pid="3" name="KSOProductBuildVer">
    <vt:lpwstr>1033-12.2.0.13431</vt:lpwstr>
  </property>
</Properties>
</file>