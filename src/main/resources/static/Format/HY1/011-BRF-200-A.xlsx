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<sst xmlns="http://schemas.openxmlformats.org/spreadsheetml/2006/main" count="211" uniqueCount="23">
  <si>
    <t>RC</t>
  </si>
  <si>
    <t xml:space="preserve"> EMIRATEWISE BREAKDOWN OF LOANS GIVEN TO UAE NATIONALS BASED ON INCOME, AGE, DBR - BRF 200</t>
  </si>
  <si>
    <t>Template ID:</t>
  </si>
  <si>
    <t>9-200-1-5</t>
  </si>
  <si>
    <t xml:space="preserve">Total Loans given to UAE Nationals Based on All Emirates </t>
  </si>
  <si>
    <t>Name of Bank:</t>
  </si>
  <si>
    <t>Bank of Baroda</t>
  </si>
  <si>
    <t>Month End:</t>
  </si>
  <si>
    <t>Age Less Than 30 Years</t>
  </si>
  <si>
    <t>Age Between 30 - 45 Years</t>
  </si>
  <si>
    <t>Age Between 45 - 60 Years</t>
  </si>
  <si>
    <t>Age Above 60 Years</t>
  </si>
  <si>
    <t>Out of this, Female Borrowers</t>
  </si>
  <si>
    <t>Income (AED)</t>
  </si>
  <si>
    <t>DBR</t>
  </si>
  <si>
    <t>No. of
 Borrowers</t>
  </si>
  <si>
    <t>Outstanding Loan Amount</t>
  </si>
  <si>
    <t>No. of 
NPL Borrowers</t>
  </si>
  <si>
    <t>NPL 
Amount</t>
  </si>
  <si>
    <t>No. of
Borrowers</t>
  </si>
  <si>
    <t>Outstanding 
Loan 
Amount</t>
  </si>
  <si>
    <t>Outstanding 
Loan
 Amount</t>
  </si>
  <si>
    <t>Form No. BSD/ BRF 200/ May 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</si>
</sst>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9"/>
      <name val="Arial"/>
      <family val="2"/>
      <charset val="0"/>
    </font>
    <font>
      <sz val="9"/>
      <name val="Arial"/>
      <family val="2"/>
      <charset val="0"/>
    </font>
    <font>
      <b/>
      <sz val="1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7" applyNumberFormat="0" applyFill="0" applyAlignment="0" applyProtection="0"/>
    <xf numFmtId="0" fontId="11" fillId="0" borderId="18" applyNumberFormat="0" applyFill="0" applyAlignment="0" applyProtection="0"/>
    <xf numFmtId="0" fontId="12" fillId="0" borderId="19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20" applyNumberFormat="0" applyAlignment="0" applyProtection="0"/>
    <xf numFmtId="0" fontId="14" fillId="7" borderId="21" applyNumberFormat="0" applyAlignment="0" applyProtection="0"/>
    <xf numFmtId="0" fontId="15" fillId="7" borderId="20" applyNumberFormat="0" applyAlignment="0" applyProtection="0"/>
    <xf numFmtId="0" fontId="16" fillId="8" borderId="22" applyNumberFormat="0" applyAlignment="0" applyProtection="0"/>
    <xf numFmtId="0" fontId="17" fillId="0" borderId="23" applyNumberFormat="0" applyFill="0" applyAlignment="0" applyProtection="0"/>
    <xf numFmtId="0" fontId="18" fillId="0" borderId="24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1" fillId="35" borderId="0" applyNumberFormat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Protection="1"/>
    <xf numFmtId="0" fontId="3" fillId="3" borderId="1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/>
    </xf>
    <xf numFmtId="0" fontId="3" fillId="4" borderId="3" xfId="0" applyFont="1" applyFill="1" applyBorder="1" applyProtection="1"/>
    <xf numFmtId="0" fontId="3" fillId="4" borderId="3" xfId="0" applyFont="1" applyFill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vertical="center"/>
    </xf>
    <xf numFmtId="0" fontId="3" fillId="0" borderId="12" xfId="0" applyFont="1" applyBorder="1" applyAlignment="1" applyProtection="1">
      <alignment vertical="center"/>
    </xf>
    <xf numFmtId="3" fontId="3" fillId="0" borderId="11" xfId="0" applyNumberFormat="1" applyFont="1" applyBorder="1" applyAlignment="1" applyProtection="1">
      <alignment vertical="center" wrapText="1"/>
    </xf>
    <xf numFmtId="3" fontId="3" fillId="0" borderId="12" xfId="0" applyNumberFormat="1" applyFont="1" applyBorder="1" applyAlignment="1" applyProtection="1">
      <alignment vertical="center" wrapText="1"/>
    </xf>
    <xf numFmtId="0" fontId="2" fillId="4" borderId="3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 vertical="center"/>
    </xf>
    <xf numFmtId="0" fontId="4" fillId="4" borderId="1" xfId="0" applyFont="1" applyFill="1" applyBorder="1" applyProtection="1"/>
    <xf numFmtId="0" fontId="3" fillId="4" borderId="2" xfId="0" applyFont="1" applyFill="1" applyBorder="1" applyProtection="1"/>
    <xf numFmtId="0" fontId="3" fillId="4" borderId="2" xfId="0" applyFont="1" applyFill="1" applyBorder="1" applyAlignment="1" applyProtection="1">
      <alignment vertical="center" wrapText="1"/>
    </xf>
    <xf numFmtId="0" fontId="3" fillId="0" borderId="3" xfId="0" applyFont="1" applyBorder="1" applyProtection="1">
      <protection locked="0"/>
    </xf>
    <xf numFmtId="0" fontId="3" fillId="2" borderId="12" xfId="0" applyFont="1" applyFill="1" applyBorder="1" applyProtection="1"/>
    <xf numFmtId="0" fontId="3" fillId="4" borderId="2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center" vertical="center" wrapText="1"/>
    </xf>
    <xf numFmtId="0" fontId="3" fillId="3" borderId="13" xfId="0" applyFont="1" applyFill="1" applyBorder="1" applyAlignment="1" applyProtection="1">
      <alignment horizontal="center" vertical="center"/>
    </xf>
    <xf numFmtId="0" fontId="3" fillId="3" borderId="14" xfId="0" applyFont="1" applyFill="1" applyBorder="1" applyAlignment="1" applyProtection="1">
      <alignment horizontal="center" vertical="center"/>
    </xf>
    <xf numFmtId="0" fontId="3" fillId="3" borderId="15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/>
    </xf>
    <xf numFmtId="0" fontId="3" fillId="4" borderId="4" xfId="0" applyFont="1" applyFill="1" applyBorder="1" applyProtection="1"/>
    <xf numFmtId="0" fontId="3" fillId="4" borderId="3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2" xfId="0" applyFont="1" applyFill="1" applyBorder="1" applyAlignment="1" applyProtection="1">
      <alignment horizontal="left" vertical="center"/>
    </xf>
    <xf numFmtId="0" fontId="3" fillId="2" borderId="4" xfId="0" applyFont="1" applyFill="1" applyBorder="1" applyAlignment="1" applyProtection="1">
      <alignment horizontal="left" vertical="center"/>
    </xf>
    <xf numFmtId="0" fontId="3" fillId="0" borderId="3" xfId="0" applyFont="1" applyFill="1" applyBorder="1" applyAlignment="1" applyProtection="1">
      <alignment vertical="center"/>
    </xf>
    <xf numFmtId="0" fontId="3" fillId="0" borderId="3" xfId="0" applyFont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A6A6A6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0"/>
  <sheetViews>
    <sheetView showGridLines="0" tabSelected="1" zoomScaleSheetLayoutView="60" workbookViewId="0">
      <selection activeCell="B2" sqref="B2:W2"/>
    </sheetView>
  </sheetViews>
  <sheetFormatPr defaultColWidth="0" defaultRowHeight="15" zeroHeight="1"/>
  <cols>
    <col min="1" max="1" width="4.13636363636364" style="1" customWidth="1"/>
    <col min="2" max="2" width="15.5727272727273" customWidth="1"/>
    <col min="3" max="3" width="15" customWidth="1"/>
    <col min="4" max="4" width="13.1363636363636" customWidth="1"/>
    <col min="5" max="5" width="14.2818181818182" customWidth="1"/>
    <col min="6" max="6" width="11" customWidth="1"/>
    <col min="7" max="7" width="10.5727272727273" customWidth="1"/>
    <col min="8" max="8" width="12.2818181818182" customWidth="1"/>
    <col min="9" max="9" width="13.1363636363636" customWidth="1"/>
    <col min="10" max="10" width="11.1363636363636" customWidth="1"/>
    <col min="11" max="11" width="10" customWidth="1"/>
    <col min="12" max="12" width="11.7090909090909" customWidth="1"/>
    <col min="13" max="13" width="13.1363636363636" customWidth="1"/>
    <col min="14" max="14" width="11" customWidth="1"/>
    <col min="15" max="15" width="9.85454545454546" customWidth="1"/>
    <col min="16" max="16" width="11.5727272727273" customWidth="1"/>
    <col min="17" max="17" width="14.8545454545455" customWidth="1"/>
    <col min="18" max="18" width="12.8545454545455" customWidth="1"/>
    <col min="19" max="19" width="10.8545454545455" customWidth="1"/>
    <col min="20" max="20" width="11.1363636363636" customWidth="1"/>
    <col min="21" max="21" width="12.2818181818182" customWidth="1"/>
    <col min="22" max="22" width="12.7090909090909" customWidth="1"/>
    <col min="23" max="23" width="10.5727272727273" customWidth="1"/>
    <col min="24" max="24" width="4" customWidth="1"/>
    <col min="25" max="27" width="0" hidden="1"/>
    <col min="28" max="16384" width="9.13636363636364" hidden="1"/>
  </cols>
  <sheetData>
    <row r="1" ht="13.5" customHeight="1" spans="1:1">
      <c r="A1" s="1" t="s">
        <v>0</v>
      </c>
    </row>
    <row r="2" customHeight="1" spans="1:23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3"/>
    </row>
    <row r="3" customHeight="1" spans="1:23">
      <c r="A3" s="1" t="s">
        <v>0</v>
      </c>
      <c r="B3" s="4" t="s">
        <v>2</v>
      </c>
      <c r="C3" s="5" t="s">
        <v>3</v>
      </c>
      <c r="D3" s="6"/>
      <c r="E3" s="7" t="s">
        <v>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34"/>
    </row>
    <row r="4" customHeight="1" spans="1:23">
      <c r="A4" s="1" t="s">
        <v>0</v>
      </c>
      <c r="B4" s="4" t="s">
        <v>5</v>
      </c>
      <c r="C4" s="5" t="s">
        <v>6</v>
      </c>
      <c r="D4" s="6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35"/>
    </row>
    <row r="5" customHeight="1" spans="1:23">
      <c r="A5" s="1" t="s">
        <v>0</v>
      </c>
      <c r="B5" s="4" t="s">
        <v>7</v>
      </c>
      <c r="C5" s="5"/>
      <c r="D5" s="6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6"/>
    </row>
    <row r="6" customHeight="1" spans="1:23">
      <c r="A6" s="1" t="s">
        <v>0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37"/>
    </row>
    <row r="7" ht="14.5" spans="1:23">
      <c r="A7" s="1" t="s">
        <v>0</v>
      </c>
      <c r="B7" s="15"/>
      <c r="C7" s="15"/>
      <c r="D7" s="16" t="s">
        <v>8</v>
      </c>
      <c r="E7" s="16"/>
      <c r="F7" s="16"/>
      <c r="G7" s="16"/>
      <c r="H7" s="16" t="s">
        <v>9</v>
      </c>
      <c r="I7" s="16"/>
      <c r="J7" s="16"/>
      <c r="K7" s="16"/>
      <c r="L7" s="16" t="s">
        <v>10</v>
      </c>
      <c r="M7" s="16"/>
      <c r="N7" s="16"/>
      <c r="O7" s="16"/>
      <c r="P7" s="16" t="s">
        <v>11</v>
      </c>
      <c r="Q7" s="16"/>
      <c r="R7" s="16"/>
      <c r="S7" s="16"/>
      <c r="T7" s="16" t="s">
        <v>12</v>
      </c>
      <c r="U7" s="16"/>
      <c r="V7" s="16"/>
      <c r="W7" s="16"/>
    </row>
    <row r="8" ht="34.5" spans="1:23">
      <c r="A8" s="1" t="s">
        <v>0</v>
      </c>
      <c r="B8" s="17" t="s">
        <v>13</v>
      </c>
      <c r="C8" s="17" t="s">
        <v>14</v>
      </c>
      <c r="D8" s="18" t="s">
        <v>15</v>
      </c>
      <c r="E8" s="18" t="s">
        <v>16</v>
      </c>
      <c r="F8" s="18" t="s">
        <v>17</v>
      </c>
      <c r="G8" s="18" t="s">
        <v>18</v>
      </c>
      <c r="H8" s="18" t="s">
        <v>19</v>
      </c>
      <c r="I8" s="18" t="s">
        <v>20</v>
      </c>
      <c r="J8" s="18" t="s">
        <v>17</v>
      </c>
      <c r="K8" s="18" t="s">
        <v>18</v>
      </c>
      <c r="L8" s="18" t="s">
        <v>19</v>
      </c>
      <c r="M8" s="18" t="s">
        <v>21</v>
      </c>
      <c r="N8" s="18" t="s">
        <v>17</v>
      </c>
      <c r="O8" s="18" t="s">
        <v>18</v>
      </c>
      <c r="P8" s="18" t="s">
        <v>19</v>
      </c>
      <c r="Q8" s="18" t="s">
        <v>21</v>
      </c>
      <c r="R8" s="18" t="s">
        <v>17</v>
      </c>
      <c r="S8" s="18" t="s">
        <v>18</v>
      </c>
      <c r="T8" s="18" t="s">
        <v>19</v>
      </c>
      <c r="U8" s="18" t="s">
        <v>21</v>
      </c>
      <c r="V8" s="18" t="s">
        <v>17</v>
      </c>
      <c r="W8" s="18" t="s">
        <v>18</v>
      </c>
    </row>
    <row r="9" ht="14.5" spans="1:23">
      <c r="A9" s="1" t="s">
        <v>0</v>
      </c>
      <c r="B9" s="19" t="str">
        <f>IF(1=1,"Up to 10,000","")</f>
        <v>Up to 10,000</v>
      </c>
      <c r="C9" s="20" t="str">
        <f>IF(1=1,"&lt;25%","")</f>
        <v>&lt;25%</v>
      </c>
      <c r="D9" s="4">
        <f>D30+D51+D72+D93+D114+D135+D156</f>
        <v>0</v>
      </c>
      <c r="E9" s="4">
        <f t="shared" ref="E9:W12" si="0">E30+E51+E72+E93+E114+E135+E156</f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</row>
    <row r="10" ht="14.5" spans="1:23">
      <c r="A10" s="1" t="s">
        <v>0</v>
      </c>
      <c r="B10" s="21"/>
      <c r="C10" s="20" t="str">
        <f>IF(1=1,"25-40%","")</f>
        <v>25-40%</v>
      </c>
      <c r="D10" s="4">
        <f>D31+D52+D73+D94+D115+D136+D157</f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  <c r="R10" s="4">
        <f t="shared" si="0"/>
        <v>0</v>
      </c>
      <c r="S10" s="4">
        <f t="shared" si="0"/>
        <v>0</v>
      </c>
      <c r="T10" s="4">
        <f t="shared" si="0"/>
        <v>0</v>
      </c>
      <c r="U10" s="4">
        <f t="shared" si="0"/>
        <v>0</v>
      </c>
      <c r="V10" s="4">
        <f t="shared" si="0"/>
        <v>0</v>
      </c>
      <c r="W10" s="4">
        <f t="shared" si="0"/>
        <v>0</v>
      </c>
    </row>
    <row r="11" ht="14.5" spans="1:23">
      <c r="A11" s="1" t="s">
        <v>0</v>
      </c>
      <c r="B11" s="21"/>
      <c r="C11" s="20" t="str">
        <f>IF(1=1,"40-50%","")</f>
        <v>40-50%</v>
      </c>
      <c r="D11" s="4">
        <f>D32+D53+D74+D95+D116+D137+D158</f>
        <v>0</v>
      </c>
      <c r="E11" s="4">
        <f>E32+E53+E74+E95+E116+E137+E158</f>
        <v>0</v>
      </c>
      <c r="F11" s="4">
        <f t="shared" si="0"/>
        <v>0</v>
      </c>
      <c r="G11" s="4">
        <f t="shared" si="0"/>
        <v>0</v>
      </c>
      <c r="H11" s="4">
        <f t="shared" si="0"/>
        <v>0</v>
      </c>
      <c r="I11" s="4">
        <f t="shared" si="0"/>
        <v>0</v>
      </c>
      <c r="J11" s="4">
        <f t="shared" si="0"/>
        <v>0</v>
      </c>
      <c r="K11" s="4">
        <f t="shared" si="0"/>
        <v>0</v>
      </c>
      <c r="L11" s="4">
        <f t="shared" si="0"/>
        <v>0</v>
      </c>
      <c r="M11" s="4">
        <f t="shared" si="0"/>
        <v>0</v>
      </c>
      <c r="N11" s="4">
        <f t="shared" si="0"/>
        <v>0</v>
      </c>
      <c r="O11" s="4">
        <f t="shared" si="0"/>
        <v>0</v>
      </c>
      <c r="P11" s="4">
        <f t="shared" si="0"/>
        <v>0</v>
      </c>
      <c r="Q11" s="4">
        <f t="shared" si="0"/>
        <v>0</v>
      </c>
      <c r="R11" s="4">
        <f t="shared" si="0"/>
        <v>0</v>
      </c>
      <c r="S11" s="4">
        <f t="shared" si="0"/>
        <v>0</v>
      </c>
      <c r="T11" s="4">
        <f t="shared" si="0"/>
        <v>0</v>
      </c>
      <c r="U11" s="4">
        <f t="shared" si="0"/>
        <v>0</v>
      </c>
      <c r="V11" s="4">
        <f t="shared" si="0"/>
        <v>0</v>
      </c>
      <c r="W11" s="4">
        <f t="shared" si="0"/>
        <v>0</v>
      </c>
    </row>
    <row r="12" ht="14.5" spans="1:23">
      <c r="A12" s="1" t="s">
        <v>0</v>
      </c>
      <c r="B12" s="22"/>
      <c r="C12" s="20" t="str">
        <f>IF(1=1,"Above 50%","")</f>
        <v>Above 50%</v>
      </c>
      <c r="D12" s="4">
        <f>D33+D54+D75+D96+D117+D138+D159</f>
        <v>0</v>
      </c>
      <c r="E12" s="4">
        <f t="shared" si="0"/>
        <v>0</v>
      </c>
      <c r="F12" s="4">
        <f t="shared" si="0"/>
        <v>0</v>
      </c>
      <c r="G12" s="4">
        <f t="shared" si="0"/>
        <v>0</v>
      </c>
      <c r="H12" s="4">
        <f t="shared" si="0"/>
        <v>0</v>
      </c>
      <c r="I12" s="4">
        <f t="shared" si="0"/>
        <v>0</v>
      </c>
      <c r="J12" s="4">
        <f t="shared" si="0"/>
        <v>0</v>
      </c>
      <c r="K12" s="4">
        <f t="shared" si="0"/>
        <v>0</v>
      </c>
      <c r="L12" s="4">
        <f t="shared" si="0"/>
        <v>0</v>
      </c>
      <c r="M12" s="4">
        <f t="shared" si="0"/>
        <v>0</v>
      </c>
      <c r="N12" s="4">
        <f t="shared" si="0"/>
        <v>0</v>
      </c>
      <c r="O12" s="4">
        <f t="shared" si="0"/>
        <v>0</v>
      </c>
      <c r="P12" s="4">
        <f t="shared" si="0"/>
        <v>0</v>
      </c>
      <c r="Q12" s="4">
        <f t="shared" si="0"/>
        <v>0</v>
      </c>
      <c r="R12" s="4">
        <f t="shared" si="0"/>
        <v>0</v>
      </c>
      <c r="S12" s="4">
        <f t="shared" si="0"/>
        <v>0</v>
      </c>
      <c r="T12" s="4">
        <f t="shared" si="0"/>
        <v>0</v>
      </c>
      <c r="U12" s="4">
        <f t="shared" si="0"/>
        <v>0</v>
      </c>
      <c r="V12" s="4">
        <f t="shared" si="0"/>
        <v>0</v>
      </c>
      <c r="W12" s="4">
        <f t="shared" si="0"/>
        <v>0</v>
      </c>
    </row>
    <row r="13" ht="14.5" spans="1:23">
      <c r="A13" s="1" t="s">
        <v>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4.5" spans="1:23">
      <c r="A14" s="1" t="s">
        <v>0</v>
      </c>
      <c r="B14" s="19" t="str">
        <f>IF(1=1,"10,001 to 20,000","")</f>
        <v>10,001 to 20,000</v>
      </c>
      <c r="C14" s="20" t="str">
        <f>IF(1=1,"&lt;25%","")</f>
        <v>&lt;25%</v>
      </c>
      <c r="D14" s="4">
        <f>D35+D56+D77+D98+D119+D140+D161</f>
        <v>0</v>
      </c>
      <c r="E14" s="4">
        <f t="shared" ref="E14:G17" si="1">E35+E56+E77+E98+E119+E140+E161</f>
        <v>0</v>
      </c>
      <c r="F14" s="4">
        <f t="shared" si="1"/>
        <v>0</v>
      </c>
      <c r="G14" s="4">
        <f t="shared" si="1"/>
        <v>0</v>
      </c>
      <c r="H14" s="4">
        <f t="shared" ref="H14:K17" si="2">H35+H56+H77+H98+H119+H140+H161</f>
        <v>0</v>
      </c>
      <c r="I14" s="4">
        <f t="shared" si="2"/>
        <v>0</v>
      </c>
      <c r="J14" s="4">
        <f t="shared" si="2"/>
        <v>0</v>
      </c>
      <c r="K14" s="4">
        <f t="shared" si="2"/>
        <v>0</v>
      </c>
      <c r="L14" s="4">
        <f t="shared" ref="L14:O17" si="3">L35+L56+L77+L98+L119+L140+L161</f>
        <v>0</v>
      </c>
      <c r="M14" s="4">
        <f t="shared" si="3"/>
        <v>0</v>
      </c>
      <c r="N14" s="4">
        <f t="shared" si="3"/>
        <v>0</v>
      </c>
      <c r="O14" s="4">
        <f t="shared" si="3"/>
        <v>0</v>
      </c>
      <c r="P14" s="4">
        <f t="shared" ref="P14:W17" si="4">P35+P56+P77+P98+P119+P140+P161</f>
        <v>0</v>
      </c>
      <c r="Q14" s="4">
        <f t="shared" si="4"/>
        <v>0</v>
      </c>
      <c r="R14" s="4">
        <f t="shared" si="4"/>
        <v>0</v>
      </c>
      <c r="S14" s="4">
        <f t="shared" si="4"/>
        <v>0</v>
      </c>
      <c r="T14" s="4">
        <f t="shared" si="4"/>
        <v>0</v>
      </c>
      <c r="U14" s="4">
        <f t="shared" si="4"/>
        <v>0</v>
      </c>
      <c r="V14" s="4">
        <f t="shared" si="4"/>
        <v>0</v>
      </c>
      <c r="W14" s="4">
        <f t="shared" si="4"/>
        <v>0</v>
      </c>
    </row>
    <row r="15" ht="14.5" spans="1:23">
      <c r="A15" s="1" t="s">
        <v>0</v>
      </c>
      <c r="B15" s="21"/>
      <c r="C15" s="20" t="str">
        <f>IF(1=1,"25-40%","")</f>
        <v>25-40%</v>
      </c>
      <c r="D15" s="4">
        <f>D36+D57+D78+D99+D120+D141+D162</f>
        <v>0</v>
      </c>
      <c r="E15" s="4">
        <f t="shared" si="1"/>
        <v>0</v>
      </c>
      <c r="F15" s="4">
        <f t="shared" si="1"/>
        <v>0</v>
      </c>
      <c r="G15" s="4">
        <f t="shared" si="1"/>
        <v>0</v>
      </c>
      <c r="H15" s="4">
        <f t="shared" si="2"/>
        <v>0</v>
      </c>
      <c r="I15" s="4">
        <f t="shared" si="2"/>
        <v>0</v>
      </c>
      <c r="J15" s="4">
        <f t="shared" si="2"/>
        <v>0</v>
      </c>
      <c r="K15" s="4">
        <f t="shared" si="2"/>
        <v>0</v>
      </c>
      <c r="L15" s="4">
        <f t="shared" si="3"/>
        <v>0</v>
      </c>
      <c r="M15" s="4">
        <f t="shared" si="3"/>
        <v>0</v>
      </c>
      <c r="N15" s="4">
        <f t="shared" si="3"/>
        <v>0</v>
      </c>
      <c r="O15" s="4">
        <f t="shared" si="3"/>
        <v>0</v>
      </c>
      <c r="P15" s="4">
        <f t="shared" si="4"/>
        <v>0</v>
      </c>
      <c r="Q15" s="4">
        <f t="shared" si="4"/>
        <v>0</v>
      </c>
      <c r="R15" s="4">
        <f t="shared" si="4"/>
        <v>0</v>
      </c>
      <c r="S15" s="4">
        <f t="shared" si="4"/>
        <v>0</v>
      </c>
      <c r="T15" s="4">
        <f t="shared" si="4"/>
        <v>0</v>
      </c>
      <c r="U15" s="4">
        <f t="shared" si="4"/>
        <v>0</v>
      </c>
      <c r="V15" s="4">
        <f t="shared" si="4"/>
        <v>0</v>
      </c>
      <c r="W15" s="4">
        <f t="shared" si="4"/>
        <v>0</v>
      </c>
    </row>
    <row r="16" ht="14.5" spans="1:23">
      <c r="A16" s="1" t="s">
        <v>0</v>
      </c>
      <c r="B16" s="21"/>
      <c r="C16" s="20" t="str">
        <f>IF(1=1,"40-50%","")</f>
        <v>40-50%</v>
      </c>
      <c r="D16" s="4">
        <f>D37+D58+D79+D100+D121+D142+D163</f>
        <v>0</v>
      </c>
      <c r="E16" s="4">
        <f t="shared" si="1"/>
        <v>0</v>
      </c>
      <c r="F16" s="4">
        <f t="shared" si="1"/>
        <v>0</v>
      </c>
      <c r="G16" s="4">
        <f t="shared" si="1"/>
        <v>0</v>
      </c>
      <c r="H16" s="4">
        <f t="shared" si="2"/>
        <v>0</v>
      </c>
      <c r="I16" s="4">
        <f t="shared" si="2"/>
        <v>0</v>
      </c>
      <c r="J16" s="4">
        <f t="shared" si="2"/>
        <v>0</v>
      </c>
      <c r="K16" s="4">
        <f t="shared" si="2"/>
        <v>0</v>
      </c>
      <c r="L16" s="4">
        <f t="shared" si="3"/>
        <v>0</v>
      </c>
      <c r="M16" s="4">
        <f t="shared" si="3"/>
        <v>0</v>
      </c>
      <c r="N16" s="4">
        <f t="shared" si="3"/>
        <v>0</v>
      </c>
      <c r="O16" s="4">
        <f t="shared" si="3"/>
        <v>0</v>
      </c>
      <c r="P16" s="4">
        <f t="shared" si="4"/>
        <v>0</v>
      </c>
      <c r="Q16" s="4">
        <f t="shared" si="4"/>
        <v>0</v>
      </c>
      <c r="R16" s="4">
        <f t="shared" si="4"/>
        <v>0</v>
      </c>
      <c r="S16" s="4">
        <f t="shared" si="4"/>
        <v>0</v>
      </c>
      <c r="T16" s="4">
        <f t="shared" si="4"/>
        <v>0</v>
      </c>
      <c r="U16" s="4">
        <f t="shared" si="4"/>
        <v>0</v>
      </c>
      <c r="V16" s="4">
        <f t="shared" si="4"/>
        <v>0</v>
      </c>
      <c r="W16" s="4">
        <f t="shared" si="4"/>
        <v>0</v>
      </c>
    </row>
    <row r="17" ht="14.5" spans="1:23">
      <c r="A17" s="1" t="s">
        <v>0</v>
      </c>
      <c r="B17" s="22"/>
      <c r="C17" s="20" t="str">
        <f>IF(1=1,"Above 50%","")</f>
        <v>Above 50%</v>
      </c>
      <c r="D17" s="4">
        <f>D38+D59+D80+D101+D122+D143+D164</f>
        <v>0</v>
      </c>
      <c r="E17" s="4">
        <f t="shared" si="1"/>
        <v>0</v>
      </c>
      <c r="F17" s="4">
        <f t="shared" si="1"/>
        <v>0</v>
      </c>
      <c r="G17" s="4">
        <f t="shared" si="1"/>
        <v>0</v>
      </c>
      <c r="H17" s="4">
        <f t="shared" si="2"/>
        <v>0</v>
      </c>
      <c r="I17" s="4">
        <f t="shared" si="2"/>
        <v>0</v>
      </c>
      <c r="J17" s="4">
        <f t="shared" si="2"/>
        <v>0</v>
      </c>
      <c r="K17" s="4">
        <f t="shared" si="2"/>
        <v>0</v>
      </c>
      <c r="L17" s="4">
        <f t="shared" si="3"/>
        <v>0</v>
      </c>
      <c r="M17" s="4">
        <f t="shared" si="3"/>
        <v>0</v>
      </c>
      <c r="N17" s="4">
        <f t="shared" si="3"/>
        <v>0</v>
      </c>
      <c r="O17" s="4">
        <f t="shared" si="3"/>
        <v>0</v>
      </c>
      <c r="P17" s="4">
        <f t="shared" si="4"/>
        <v>0</v>
      </c>
      <c r="Q17" s="4">
        <f t="shared" si="4"/>
        <v>0</v>
      </c>
      <c r="R17" s="4">
        <f t="shared" si="4"/>
        <v>0</v>
      </c>
      <c r="S17" s="4">
        <f t="shared" si="4"/>
        <v>0</v>
      </c>
      <c r="T17" s="4">
        <f t="shared" si="4"/>
        <v>0</v>
      </c>
      <c r="U17" s="4">
        <f t="shared" si="4"/>
        <v>0</v>
      </c>
      <c r="V17" s="4">
        <f t="shared" si="4"/>
        <v>0</v>
      </c>
      <c r="W17" s="4">
        <f t="shared" si="4"/>
        <v>0</v>
      </c>
    </row>
    <row r="18" ht="14.5" spans="1:23">
      <c r="A18" s="1" t="s">
        <v>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4.5" spans="1:23">
      <c r="A19" s="1" t="s">
        <v>0</v>
      </c>
      <c r="B19" s="19" t="str">
        <f>IF(1=1,"20,001 to 30,000","")</f>
        <v>20,001 to 30,000</v>
      </c>
      <c r="C19" s="20" t="str">
        <f>IF(1=1,"&lt;25%","")</f>
        <v>&lt;25%</v>
      </c>
      <c r="D19" s="4">
        <f t="shared" ref="D19:G22" si="5">D40+D61+D82+D103+D124+D145+D166</f>
        <v>0</v>
      </c>
      <c r="E19" s="4">
        <f t="shared" si="5"/>
        <v>0</v>
      </c>
      <c r="F19" s="4">
        <f t="shared" si="5"/>
        <v>0</v>
      </c>
      <c r="G19" s="4">
        <f t="shared" si="5"/>
        <v>0</v>
      </c>
      <c r="H19" s="4">
        <f t="shared" ref="H19:K22" si="6">H40+H61+H82+H103+H124+H145+H166</f>
        <v>0</v>
      </c>
      <c r="I19" s="4">
        <f t="shared" si="6"/>
        <v>0</v>
      </c>
      <c r="J19" s="4">
        <f t="shared" si="6"/>
        <v>0</v>
      </c>
      <c r="K19" s="4">
        <f t="shared" si="6"/>
        <v>0</v>
      </c>
      <c r="L19" s="4">
        <f t="shared" ref="L19:O22" si="7">L40+L61+L82+L103+L124+L145+L166</f>
        <v>0</v>
      </c>
      <c r="M19" s="4">
        <f t="shared" si="7"/>
        <v>0</v>
      </c>
      <c r="N19" s="4">
        <f t="shared" si="7"/>
        <v>0</v>
      </c>
      <c r="O19" s="4">
        <f t="shared" si="7"/>
        <v>0</v>
      </c>
      <c r="P19" s="4">
        <f t="shared" ref="P19:W22" si="8">P40+P61+P82+P103+P124+P145+P166</f>
        <v>0</v>
      </c>
      <c r="Q19" s="4">
        <f t="shared" si="8"/>
        <v>0</v>
      </c>
      <c r="R19" s="4">
        <f t="shared" si="8"/>
        <v>0</v>
      </c>
      <c r="S19" s="4">
        <f t="shared" si="8"/>
        <v>0</v>
      </c>
      <c r="T19" s="4">
        <f t="shared" si="8"/>
        <v>0</v>
      </c>
      <c r="U19" s="4">
        <f t="shared" si="8"/>
        <v>0</v>
      </c>
      <c r="V19" s="4">
        <f t="shared" si="8"/>
        <v>0</v>
      </c>
      <c r="W19" s="4">
        <f t="shared" si="8"/>
        <v>0</v>
      </c>
    </row>
    <row r="20" ht="14.5" spans="1:23">
      <c r="A20" s="1" t="s">
        <v>0</v>
      </c>
      <c r="B20" s="21"/>
      <c r="C20" s="20" t="str">
        <f>IF(1=1,"25-40%","")</f>
        <v>25-40%</v>
      </c>
      <c r="D20" s="4">
        <f t="shared" si="5"/>
        <v>0</v>
      </c>
      <c r="E20" s="4">
        <f t="shared" si="5"/>
        <v>0</v>
      </c>
      <c r="F20" s="4">
        <f t="shared" si="5"/>
        <v>0</v>
      </c>
      <c r="G20" s="4">
        <f t="shared" si="5"/>
        <v>0</v>
      </c>
      <c r="H20" s="4">
        <f t="shared" si="6"/>
        <v>0</v>
      </c>
      <c r="I20" s="4">
        <f t="shared" si="6"/>
        <v>0</v>
      </c>
      <c r="J20" s="4">
        <f t="shared" si="6"/>
        <v>0</v>
      </c>
      <c r="K20" s="4">
        <f t="shared" si="6"/>
        <v>0</v>
      </c>
      <c r="L20" s="4">
        <f t="shared" si="7"/>
        <v>0</v>
      </c>
      <c r="M20" s="4">
        <f t="shared" si="7"/>
        <v>0</v>
      </c>
      <c r="N20" s="4">
        <f t="shared" si="7"/>
        <v>0</v>
      </c>
      <c r="O20" s="4">
        <f t="shared" si="7"/>
        <v>0</v>
      </c>
      <c r="P20" s="4">
        <f t="shared" si="8"/>
        <v>0</v>
      </c>
      <c r="Q20" s="4">
        <f t="shared" si="8"/>
        <v>0</v>
      </c>
      <c r="R20" s="4">
        <f t="shared" si="8"/>
        <v>0</v>
      </c>
      <c r="S20" s="4">
        <f t="shared" si="8"/>
        <v>0</v>
      </c>
      <c r="T20" s="4">
        <f t="shared" si="8"/>
        <v>0</v>
      </c>
      <c r="U20" s="4">
        <f t="shared" si="8"/>
        <v>0</v>
      </c>
      <c r="V20" s="4">
        <f t="shared" si="8"/>
        <v>0</v>
      </c>
      <c r="W20" s="4">
        <f t="shared" si="8"/>
        <v>0</v>
      </c>
    </row>
    <row r="21" ht="14.5" spans="1:23">
      <c r="A21" s="1" t="s">
        <v>0</v>
      </c>
      <c r="B21" s="21"/>
      <c r="C21" s="20" t="str">
        <f>IF(1=1,"40-50%","")</f>
        <v>40-50%</v>
      </c>
      <c r="D21" s="4">
        <f t="shared" si="5"/>
        <v>0</v>
      </c>
      <c r="E21" s="4">
        <f t="shared" si="5"/>
        <v>0</v>
      </c>
      <c r="F21" s="4">
        <f t="shared" si="5"/>
        <v>0</v>
      </c>
      <c r="G21" s="4">
        <f t="shared" si="5"/>
        <v>0</v>
      </c>
      <c r="H21" s="4">
        <f t="shared" si="6"/>
        <v>0</v>
      </c>
      <c r="I21" s="4">
        <f t="shared" si="6"/>
        <v>0</v>
      </c>
      <c r="J21" s="4">
        <f t="shared" si="6"/>
        <v>0</v>
      </c>
      <c r="K21" s="4">
        <f t="shared" si="6"/>
        <v>0</v>
      </c>
      <c r="L21" s="4">
        <f t="shared" si="7"/>
        <v>0</v>
      </c>
      <c r="M21" s="4">
        <f t="shared" si="7"/>
        <v>0</v>
      </c>
      <c r="N21" s="4">
        <f t="shared" si="7"/>
        <v>0</v>
      </c>
      <c r="O21" s="4">
        <f t="shared" si="7"/>
        <v>0</v>
      </c>
      <c r="P21" s="4">
        <f t="shared" si="8"/>
        <v>0</v>
      </c>
      <c r="Q21" s="4">
        <f t="shared" si="8"/>
        <v>0</v>
      </c>
      <c r="R21" s="4">
        <f t="shared" si="8"/>
        <v>0</v>
      </c>
      <c r="S21" s="4">
        <f t="shared" si="8"/>
        <v>0</v>
      </c>
      <c r="T21" s="4">
        <f t="shared" si="8"/>
        <v>0</v>
      </c>
      <c r="U21" s="4">
        <f t="shared" si="8"/>
        <v>0</v>
      </c>
      <c r="V21" s="4">
        <f t="shared" si="8"/>
        <v>0</v>
      </c>
      <c r="W21" s="4">
        <f t="shared" si="8"/>
        <v>0</v>
      </c>
    </row>
    <row r="22" ht="14.5" spans="1:23">
      <c r="A22" s="1" t="s">
        <v>0</v>
      </c>
      <c r="B22" s="22"/>
      <c r="C22" s="20" t="str">
        <f>IF(1=1,"Above 50%","")</f>
        <v>Above 50%</v>
      </c>
      <c r="D22" s="4">
        <f t="shared" si="5"/>
        <v>0</v>
      </c>
      <c r="E22" s="4">
        <f t="shared" si="5"/>
        <v>0</v>
      </c>
      <c r="F22" s="4">
        <f t="shared" si="5"/>
        <v>0</v>
      </c>
      <c r="G22" s="4">
        <f t="shared" si="5"/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>
        <f t="shared" si="6"/>
        <v>0</v>
      </c>
      <c r="L22" s="4">
        <f t="shared" si="7"/>
        <v>0</v>
      </c>
      <c r="M22" s="4">
        <f t="shared" si="7"/>
        <v>0</v>
      </c>
      <c r="N22" s="4">
        <f t="shared" si="7"/>
        <v>0</v>
      </c>
      <c r="O22" s="4">
        <f t="shared" si="7"/>
        <v>0</v>
      </c>
      <c r="P22" s="4">
        <f t="shared" si="8"/>
        <v>0</v>
      </c>
      <c r="Q22" s="4">
        <f t="shared" si="8"/>
        <v>0</v>
      </c>
      <c r="R22" s="4">
        <f t="shared" si="8"/>
        <v>0</v>
      </c>
      <c r="S22" s="4">
        <f t="shared" si="8"/>
        <v>0</v>
      </c>
      <c r="T22" s="4">
        <f t="shared" si="8"/>
        <v>0</v>
      </c>
      <c r="U22" s="4">
        <f t="shared" si="8"/>
        <v>0</v>
      </c>
      <c r="V22" s="4">
        <f t="shared" si="8"/>
        <v>0</v>
      </c>
      <c r="W22" s="4">
        <f t="shared" si="8"/>
        <v>0</v>
      </c>
    </row>
    <row r="23" ht="14.5" spans="1:23">
      <c r="A23" s="1" t="s">
        <v>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4.5" spans="1:23">
      <c r="A24" s="1" t="s">
        <v>0</v>
      </c>
      <c r="B24" s="19" t="str">
        <f>IF(1=1,"30,001 and Above","")</f>
        <v>30,001 and Above</v>
      </c>
      <c r="C24" s="20" t="str">
        <f>IF(1=1,"&lt;25%","")</f>
        <v>&lt;25%</v>
      </c>
      <c r="D24" s="4">
        <f t="shared" ref="D24:G27" si="9">D45+D66+D87+D108+D129+D150+D171</f>
        <v>0</v>
      </c>
      <c r="E24" s="4">
        <f t="shared" si="9"/>
        <v>0</v>
      </c>
      <c r="F24" s="4">
        <f t="shared" si="9"/>
        <v>0</v>
      </c>
      <c r="G24" s="4">
        <f t="shared" si="9"/>
        <v>0</v>
      </c>
      <c r="H24" s="4">
        <f t="shared" ref="H24:K27" si="10">H45+H66+H87+H108+H129+H150+H171</f>
        <v>0</v>
      </c>
      <c r="I24" s="4">
        <f t="shared" si="10"/>
        <v>0</v>
      </c>
      <c r="J24" s="4">
        <f t="shared" si="10"/>
        <v>0</v>
      </c>
      <c r="K24" s="4">
        <f t="shared" si="10"/>
        <v>0</v>
      </c>
      <c r="L24" s="4">
        <f t="shared" ref="L24:O27" si="11">L45+L66+L87+L108+L129+L150+L171</f>
        <v>0</v>
      </c>
      <c r="M24" s="4">
        <f t="shared" si="11"/>
        <v>0</v>
      </c>
      <c r="N24" s="4">
        <f t="shared" si="11"/>
        <v>0</v>
      </c>
      <c r="O24" s="4">
        <f t="shared" si="11"/>
        <v>0</v>
      </c>
      <c r="P24" s="4">
        <f t="shared" ref="P24:W27" si="12">P45+P66+P87+P108+P129+P150+P171</f>
        <v>0</v>
      </c>
      <c r="Q24" s="4">
        <f t="shared" si="12"/>
        <v>0</v>
      </c>
      <c r="R24" s="4">
        <f t="shared" si="12"/>
        <v>0</v>
      </c>
      <c r="S24" s="4">
        <f t="shared" si="12"/>
        <v>0</v>
      </c>
      <c r="T24" s="4">
        <f t="shared" si="12"/>
        <v>0</v>
      </c>
      <c r="U24" s="4">
        <f t="shared" si="12"/>
        <v>0</v>
      </c>
      <c r="V24" s="4">
        <f t="shared" si="12"/>
        <v>0</v>
      </c>
      <c r="W24" s="4">
        <f t="shared" si="12"/>
        <v>0</v>
      </c>
    </row>
    <row r="25" ht="14.5" spans="1:23">
      <c r="A25" s="1" t="s">
        <v>0</v>
      </c>
      <c r="B25" s="23"/>
      <c r="C25" s="20" t="str">
        <f>IF(1=1,"25-40%","")</f>
        <v>25-40%</v>
      </c>
      <c r="D25" s="4">
        <f t="shared" si="9"/>
        <v>0</v>
      </c>
      <c r="E25" s="4">
        <f t="shared" si="9"/>
        <v>0</v>
      </c>
      <c r="F25" s="4">
        <f t="shared" si="9"/>
        <v>0</v>
      </c>
      <c r="G25" s="4">
        <f t="shared" si="9"/>
        <v>0</v>
      </c>
      <c r="H25" s="4">
        <f t="shared" si="10"/>
        <v>0</v>
      </c>
      <c r="I25" s="4">
        <f t="shared" si="10"/>
        <v>0</v>
      </c>
      <c r="J25" s="4">
        <f t="shared" si="10"/>
        <v>0</v>
      </c>
      <c r="K25" s="4">
        <f t="shared" si="10"/>
        <v>0</v>
      </c>
      <c r="L25" s="4">
        <f t="shared" si="11"/>
        <v>0</v>
      </c>
      <c r="M25" s="4">
        <f t="shared" si="11"/>
        <v>0</v>
      </c>
      <c r="N25" s="4">
        <f t="shared" si="11"/>
        <v>0</v>
      </c>
      <c r="O25" s="4">
        <f t="shared" si="11"/>
        <v>0</v>
      </c>
      <c r="P25" s="4">
        <f t="shared" si="12"/>
        <v>0</v>
      </c>
      <c r="Q25" s="4">
        <f t="shared" si="12"/>
        <v>0</v>
      </c>
      <c r="R25" s="4">
        <f t="shared" si="12"/>
        <v>0</v>
      </c>
      <c r="S25" s="4">
        <f t="shared" si="12"/>
        <v>0</v>
      </c>
      <c r="T25" s="4">
        <f t="shared" si="12"/>
        <v>0</v>
      </c>
      <c r="U25" s="4">
        <f t="shared" si="12"/>
        <v>0</v>
      </c>
      <c r="V25" s="4">
        <f t="shared" si="12"/>
        <v>0</v>
      </c>
      <c r="W25" s="4">
        <f t="shared" si="12"/>
        <v>0</v>
      </c>
    </row>
    <row r="26" ht="14.5" spans="1:23">
      <c r="A26" s="1" t="s">
        <v>0</v>
      </c>
      <c r="B26" s="23"/>
      <c r="C26" s="20" t="str">
        <f>IF(1=1,"40-50%","")</f>
        <v>40-50%</v>
      </c>
      <c r="D26" s="4">
        <f t="shared" si="9"/>
        <v>0</v>
      </c>
      <c r="E26" s="4">
        <f t="shared" si="9"/>
        <v>0</v>
      </c>
      <c r="F26" s="4">
        <f t="shared" si="9"/>
        <v>0</v>
      </c>
      <c r="G26" s="4">
        <f t="shared" si="9"/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>
        <f t="shared" si="10"/>
        <v>0</v>
      </c>
      <c r="L26" s="4">
        <f t="shared" si="11"/>
        <v>0</v>
      </c>
      <c r="M26" s="4">
        <f t="shared" si="11"/>
        <v>0</v>
      </c>
      <c r="N26" s="4">
        <f t="shared" si="11"/>
        <v>0</v>
      </c>
      <c r="O26" s="4">
        <f t="shared" si="11"/>
        <v>0</v>
      </c>
      <c r="P26" s="4">
        <f t="shared" si="12"/>
        <v>0</v>
      </c>
      <c r="Q26" s="4">
        <f t="shared" si="12"/>
        <v>0</v>
      </c>
      <c r="R26" s="4">
        <f t="shared" si="12"/>
        <v>0</v>
      </c>
      <c r="S26" s="4">
        <f t="shared" si="12"/>
        <v>0</v>
      </c>
      <c r="T26" s="4">
        <f t="shared" si="12"/>
        <v>0</v>
      </c>
      <c r="U26" s="4">
        <f t="shared" si="12"/>
        <v>0</v>
      </c>
      <c r="V26" s="4">
        <f t="shared" si="12"/>
        <v>0</v>
      </c>
      <c r="W26" s="4">
        <f t="shared" si="12"/>
        <v>0</v>
      </c>
    </row>
    <row r="27" ht="14.5" spans="1:23">
      <c r="A27" s="1" t="s">
        <v>0</v>
      </c>
      <c r="B27" s="24"/>
      <c r="C27" s="20" t="str">
        <f>IF(1=1,"Above 50%","")</f>
        <v>Above 50%</v>
      </c>
      <c r="D27" s="4">
        <f t="shared" si="9"/>
        <v>0</v>
      </c>
      <c r="E27" s="4">
        <f t="shared" si="9"/>
        <v>0</v>
      </c>
      <c r="F27" s="4">
        <f t="shared" si="9"/>
        <v>0</v>
      </c>
      <c r="G27" s="4">
        <f t="shared" si="9"/>
        <v>0</v>
      </c>
      <c r="H27" s="4">
        <f t="shared" si="10"/>
        <v>0</v>
      </c>
      <c r="I27" s="4">
        <f t="shared" si="10"/>
        <v>0</v>
      </c>
      <c r="J27" s="4">
        <f t="shared" si="10"/>
        <v>0</v>
      </c>
      <c r="K27" s="4">
        <f t="shared" si="10"/>
        <v>0</v>
      </c>
      <c r="L27" s="4">
        <f t="shared" si="11"/>
        <v>0</v>
      </c>
      <c r="M27" s="4">
        <f t="shared" si="11"/>
        <v>0</v>
      </c>
      <c r="N27" s="4">
        <f t="shared" si="11"/>
        <v>0</v>
      </c>
      <c r="O27" s="4">
        <f t="shared" si="11"/>
        <v>0</v>
      </c>
      <c r="P27" s="4">
        <f t="shared" si="12"/>
        <v>0</v>
      </c>
      <c r="Q27" s="4">
        <f t="shared" si="12"/>
        <v>0</v>
      </c>
      <c r="R27" s="4">
        <f t="shared" si="12"/>
        <v>0</v>
      </c>
      <c r="S27" s="4">
        <f t="shared" si="12"/>
        <v>0</v>
      </c>
      <c r="T27" s="4">
        <f t="shared" si="12"/>
        <v>0</v>
      </c>
      <c r="U27" s="4">
        <f t="shared" si="12"/>
        <v>0</v>
      </c>
      <c r="V27" s="4">
        <f t="shared" si="12"/>
        <v>0</v>
      </c>
      <c r="W27" s="4">
        <f t="shared" si="12"/>
        <v>0</v>
      </c>
    </row>
    <row r="28" ht="14.5" spans="1:23">
      <c r="A28" s="1" t="s">
        <v>0</v>
      </c>
      <c r="B28" s="25" t="str">
        <f>IF(1=1,"UAE Total","")</f>
        <v>UAE Total</v>
      </c>
      <c r="C28" s="15"/>
      <c r="D28" s="26">
        <f>SUM(D9:D27)</f>
        <v>0</v>
      </c>
      <c r="E28" s="26">
        <f t="shared" ref="E28:W28" si="13">SUM(E9:E27)</f>
        <v>0</v>
      </c>
      <c r="F28" s="26">
        <f t="shared" si="13"/>
        <v>0</v>
      </c>
      <c r="G28" s="26">
        <f t="shared" si="13"/>
        <v>0</v>
      </c>
      <c r="H28" s="26">
        <f t="shared" si="13"/>
        <v>0</v>
      </c>
      <c r="I28" s="26">
        <f t="shared" si="13"/>
        <v>0</v>
      </c>
      <c r="J28" s="26">
        <f t="shared" si="13"/>
        <v>0</v>
      </c>
      <c r="K28" s="26">
        <f t="shared" si="13"/>
        <v>0</v>
      </c>
      <c r="L28" s="26">
        <f t="shared" si="13"/>
        <v>0</v>
      </c>
      <c r="M28" s="26">
        <f t="shared" si="13"/>
        <v>0</v>
      </c>
      <c r="N28" s="26">
        <f t="shared" si="13"/>
        <v>0</v>
      </c>
      <c r="O28" s="26">
        <f t="shared" si="13"/>
        <v>0</v>
      </c>
      <c r="P28" s="26">
        <f t="shared" si="13"/>
        <v>0</v>
      </c>
      <c r="Q28" s="26">
        <f t="shared" si="13"/>
        <v>0</v>
      </c>
      <c r="R28" s="26">
        <f t="shared" si="13"/>
        <v>0</v>
      </c>
      <c r="S28" s="26">
        <f t="shared" si="13"/>
        <v>0</v>
      </c>
      <c r="T28" s="26">
        <f t="shared" si="13"/>
        <v>0</v>
      </c>
      <c r="U28" s="26">
        <f t="shared" si="13"/>
        <v>0</v>
      </c>
      <c r="V28" s="26">
        <f t="shared" si="13"/>
        <v>0</v>
      </c>
      <c r="W28" s="26">
        <f t="shared" si="13"/>
        <v>0</v>
      </c>
    </row>
    <row r="29" ht="14.5" spans="1:23">
      <c r="A29" s="1" t="s">
        <v>0</v>
      </c>
      <c r="B29" s="27" t="str">
        <f>IF(1=1,"Abu Dhabi ","Abu Dhabi ")</f>
        <v>Abu Dhabi </v>
      </c>
      <c r="C29" s="28"/>
      <c r="D29" s="28"/>
      <c r="E29" s="28"/>
      <c r="F29" s="28"/>
      <c r="G29" s="29"/>
      <c r="H29" s="29"/>
      <c r="I29" s="29"/>
      <c r="J29" s="29"/>
      <c r="K29" s="29"/>
      <c r="L29" s="29"/>
      <c r="M29" s="29"/>
      <c r="N29" s="29"/>
      <c r="O29" s="29"/>
      <c r="P29" s="28"/>
      <c r="Q29" s="28"/>
      <c r="R29" s="28"/>
      <c r="S29" s="28"/>
      <c r="T29" s="28"/>
      <c r="U29" s="28"/>
      <c r="V29" s="28"/>
      <c r="W29" s="38"/>
    </row>
    <row r="30" ht="14.5" spans="1:23">
      <c r="A30" s="1" t="s">
        <v>0</v>
      </c>
      <c r="B30" s="19" t="str">
        <f>IF(1=1,"Up to 10,000","")</f>
        <v>Up to 10,000</v>
      </c>
      <c r="C30" s="20" t="str">
        <f>IF(1=1,"&lt;25%","")</f>
        <v>&lt;25%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</row>
    <row r="31" ht="14.5" spans="1:23">
      <c r="A31" s="1" t="s">
        <v>0</v>
      </c>
      <c r="B31" s="21"/>
      <c r="C31" s="20" t="str">
        <f>IF(1=1,"25-40%","")</f>
        <v>25-40%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</row>
    <row r="32" ht="14.5" spans="1:23">
      <c r="A32" s="1" t="s">
        <v>0</v>
      </c>
      <c r="B32" s="21"/>
      <c r="C32" s="20" t="str">
        <f>IF(1=1,"40-50%","")</f>
        <v>40-50%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</row>
    <row r="33" ht="14.5" spans="1:23">
      <c r="A33" s="1" t="s">
        <v>0</v>
      </c>
      <c r="B33" s="22"/>
      <c r="C33" s="20" t="str">
        <f>IF(1=1,"Above 50%","")</f>
        <v>Above 50%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</row>
    <row r="34" ht="14.5" spans="1:23">
      <c r="A34" s="1" t="s">
        <v>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4.5" spans="1:23">
      <c r="A35" s="1" t="s">
        <v>0</v>
      </c>
      <c r="B35" s="19" t="str">
        <f>IF(1=1,"10,001 to 20,000","")</f>
        <v>10,001 to 20,000</v>
      </c>
      <c r="C35" s="20" t="str">
        <f>IF(1=1,"&lt;25%","")</f>
        <v>&lt;25%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ht="14.5" spans="1:23">
      <c r="A36" s="1" t="s">
        <v>0</v>
      </c>
      <c r="B36" s="21"/>
      <c r="C36" s="20" t="str">
        <f>IF(1=1,"25-40%","")</f>
        <v>25-40%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</row>
    <row r="37" ht="14.5" spans="1:23">
      <c r="A37" s="1" t="s">
        <v>0</v>
      </c>
      <c r="B37" s="21"/>
      <c r="C37" s="20" t="str">
        <f>IF(1=1,"40-50%","")</f>
        <v>40-50%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</row>
    <row r="38" ht="14.5" spans="1:23">
      <c r="A38" s="1" t="s">
        <v>0</v>
      </c>
      <c r="B38" s="22"/>
      <c r="C38" s="20" t="str">
        <f>IF(1=1,"Above 50%","")</f>
        <v>Above 50%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</row>
    <row r="39" ht="14.5" spans="1:23">
      <c r="A39" s="1" t="s">
        <v>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4.5" spans="1:23">
      <c r="A40" s="1" t="s">
        <v>0</v>
      </c>
      <c r="B40" s="19" t="str">
        <f>IF(1=1,"20,001 to 30,000","")</f>
        <v>20,001 to 30,000</v>
      </c>
      <c r="C40" s="20" t="str">
        <f>IF(1=1,"&lt;25%","")</f>
        <v>&lt;25%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</row>
    <row r="41" ht="14.5" spans="1:23">
      <c r="A41" s="1" t="s">
        <v>0</v>
      </c>
      <c r="B41" s="21"/>
      <c r="C41" s="20" t="str">
        <f>IF(1=1,"25-40%","")</f>
        <v>25-40%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</row>
    <row r="42" ht="14.5" spans="1:23">
      <c r="A42" s="1" t="s">
        <v>0</v>
      </c>
      <c r="B42" s="21"/>
      <c r="C42" s="20" t="str">
        <f>IF(1=1,"40-50%","")</f>
        <v>40-50%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</row>
    <row r="43" ht="14.5" spans="1:23">
      <c r="A43" s="1" t="s">
        <v>0</v>
      </c>
      <c r="B43" s="22"/>
      <c r="C43" s="20" t="str">
        <f>IF(1=1,"Above 50%","")</f>
        <v>Above 50%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</row>
    <row r="44" ht="14.5" spans="1:23">
      <c r="A44" s="1" t="s">
        <v>0</v>
      </c>
      <c r="B44" s="3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4.5" spans="1:23">
      <c r="A45" s="1" t="s">
        <v>0</v>
      </c>
      <c r="B45" s="19" t="str">
        <f>IF(1=1,"30,001 and Above","")</f>
        <v>30,001 and Above</v>
      </c>
      <c r="C45" s="20" t="str">
        <f>IF(1=1,"&lt;25%","")</f>
        <v>&lt;25%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</row>
    <row r="46" ht="14.5" spans="1:23">
      <c r="A46" s="1" t="s">
        <v>0</v>
      </c>
      <c r="B46" s="23"/>
      <c r="C46" s="20" t="str">
        <f>IF(1=1,"25-40%","")</f>
        <v>25-40%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</row>
    <row r="47" ht="14.5" spans="1:23">
      <c r="A47" s="1" t="s">
        <v>0</v>
      </c>
      <c r="B47" s="23"/>
      <c r="C47" s="20" t="str">
        <f>IF(1=1,"40-50%","")</f>
        <v>40-50%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</row>
    <row r="48" ht="14.5" spans="1:23">
      <c r="A48" s="1" t="s">
        <v>0</v>
      </c>
      <c r="B48" s="24"/>
      <c r="C48" s="20" t="str">
        <f>IF(1=1,"Above 50%","")</f>
        <v>Above 50%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</row>
    <row r="49" ht="14.5" spans="1:23">
      <c r="A49" s="1" t="s">
        <v>0</v>
      </c>
      <c r="B49" s="25" t="str">
        <f>IF(1=1,"Total","")</f>
        <v>Total</v>
      </c>
      <c r="C49" s="15"/>
      <c r="D49" s="26">
        <f t="shared" ref="D49:O49" si="14">SUM(D30:D33,D35:D38,D40:D43,D45:D48)</f>
        <v>0</v>
      </c>
      <c r="E49" s="26">
        <f t="shared" si="14"/>
        <v>0</v>
      </c>
      <c r="F49" s="26">
        <f t="shared" si="14"/>
        <v>0</v>
      </c>
      <c r="G49" s="26">
        <f t="shared" si="14"/>
        <v>0</v>
      </c>
      <c r="H49" s="26">
        <f t="shared" si="14"/>
        <v>0</v>
      </c>
      <c r="I49" s="26">
        <f t="shared" si="14"/>
        <v>0</v>
      </c>
      <c r="J49" s="26">
        <f t="shared" si="14"/>
        <v>0</v>
      </c>
      <c r="K49" s="26">
        <f t="shared" si="14"/>
        <v>0</v>
      </c>
      <c r="L49" s="26">
        <f t="shared" si="14"/>
        <v>0</v>
      </c>
      <c r="M49" s="26">
        <f t="shared" si="14"/>
        <v>0</v>
      </c>
      <c r="N49" s="26">
        <f t="shared" si="14"/>
        <v>0</v>
      </c>
      <c r="O49" s="26">
        <f t="shared" si="14"/>
        <v>0</v>
      </c>
      <c r="P49" s="26">
        <f t="shared" ref="P49:W49" si="15">SUM(P30:P33,P35:P38,P40:P43,P45:P48)</f>
        <v>0</v>
      </c>
      <c r="Q49" s="26">
        <f t="shared" si="15"/>
        <v>0</v>
      </c>
      <c r="R49" s="26">
        <f t="shared" si="15"/>
        <v>0</v>
      </c>
      <c r="S49" s="26">
        <f t="shared" si="15"/>
        <v>0</v>
      </c>
      <c r="T49" s="26">
        <f t="shared" si="15"/>
        <v>0</v>
      </c>
      <c r="U49" s="26">
        <f t="shared" si="15"/>
        <v>0</v>
      </c>
      <c r="V49" s="26">
        <f t="shared" si="15"/>
        <v>0</v>
      </c>
      <c r="W49" s="26">
        <f t="shared" si="15"/>
        <v>0</v>
      </c>
    </row>
    <row r="50" ht="14.5" spans="1:23">
      <c r="A50" s="1" t="s">
        <v>0</v>
      </c>
      <c r="B50" s="27" t="str">
        <f>IF(1=1,"Dubai ","Dubai ")</f>
        <v>Dubai </v>
      </c>
      <c r="C50" s="28"/>
      <c r="D50" s="28"/>
      <c r="E50" s="28"/>
      <c r="F50" s="28"/>
      <c r="G50" s="32"/>
      <c r="H50" s="32"/>
      <c r="I50" s="32"/>
      <c r="J50" s="32"/>
      <c r="K50" s="32"/>
      <c r="L50" s="32"/>
      <c r="M50" s="32"/>
      <c r="N50" s="32"/>
      <c r="O50" s="32"/>
      <c r="P50" s="28"/>
      <c r="Q50" s="28"/>
      <c r="R50" s="28"/>
      <c r="S50" s="28"/>
      <c r="T50" s="28"/>
      <c r="U50" s="28"/>
      <c r="V50" s="28"/>
      <c r="W50" s="38"/>
    </row>
    <row r="51" ht="14.5" spans="1:23">
      <c r="A51" s="1" t="s">
        <v>0</v>
      </c>
      <c r="B51" s="19" t="str">
        <f>IF(1=1,"Up to 10,000","")</f>
        <v>Up to 10,000</v>
      </c>
      <c r="C51" s="20" t="str">
        <f>IF(1=1,"&lt;25%","")</f>
        <v>&lt;25%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</row>
    <row r="52" ht="14.5" spans="1:23">
      <c r="A52" s="1" t="s">
        <v>0</v>
      </c>
      <c r="B52" s="21"/>
      <c r="C52" s="20" t="str">
        <f>IF(1=1,"25-40%","")</f>
        <v>25-40%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</row>
    <row r="53" ht="14.5" spans="1:23">
      <c r="A53" s="1" t="s">
        <v>0</v>
      </c>
      <c r="B53" s="21"/>
      <c r="C53" s="20" t="str">
        <f>IF(1=1,"40-50%","")</f>
        <v>40-50%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ht="14.5" spans="1:23">
      <c r="A54" s="1" t="s">
        <v>0</v>
      </c>
      <c r="B54" s="22"/>
      <c r="C54" s="20" t="str">
        <f>IF(1=1,"Above 50%","")</f>
        <v>Above 50%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</row>
    <row r="55" ht="14.5" spans="1:23">
      <c r="A55" s="1" t="s">
        <v>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4.5" spans="1:23">
      <c r="A56" s="1" t="s">
        <v>0</v>
      </c>
      <c r="B56" s="19" t="str">
        <f>IF(1=1,"10,001 to 20,000","")</f>
        <v>10,001 to 20,000</v>
      </c>
      <c r="C56" s="20" t="str">
        <f>IF(1=1,"&lt;25%","")</f>
        <v>&lt;25%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</row>
    <row r="57" ht="14.5" spans="1:23">
      <c r="A57" s="1" t="s">
        <v>0</v>
      </c>
      <c r="B57" s="21"/>
      <c r="C57" s="20" t="str">
        <f>IF(1=1,"25-40%","")</f>
        <v>25-40%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</row>
    <row r="58" ht="14.5" spans="1:23">
      <c r="A58" s="1" t="s">
        <v>0</v>
      </c>
      <c r="B58" s="21"/>
      <c r="C58" s="20" t="str">
        <f>IF(1=1,"40-50%","")</f>
        <v>40-50%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</row>
    <row r="59" ht="14.5" spans="1:23">
      <c r="A59" s="1" t="s">
        <v>0</v>
      </c>
      <c r="B59" s="22"/>
      <c r="C59" s="20" t="str">
        <f>IF(1=1,"Above 50%","")</f>
        <v>Above 50%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</row>
    <row r="60" ht="14.5" spans="1:23">
      <c r="A60" s="1" t="s">
        <v>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4.5" spans="1:23">
      <c r="A61" s="1" t="s">
        <v>0</v>
      </c>
      <c r="B61" s="19" t="str">
        <f>IF(1=1,"20,001 to 30,000","")</f>
        <v>20,001 to 30,000</v>
      </c>
      <c r="C61" s="20" t="str">
        <f>IF(1=1,"&lt;25%","")</f>
        <v>&lt;25%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</row>
    <row r="62" ht="14.5" spans="1:23">
      <c r="A62" s="1" t="s">
        <v>0</v>
      </c>
      <c r="B62" s="21"/>
      <c r="C62" s="20" t="str">
        <f>IF(1=1,"25-40%","")</f>
        <v>25-40%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</row>
    <row r="63" ht="14.5" spans="1:23">
      <c r="A63" s="1" t="s">
        <v>0</v>
      </c>
      <c r="B63" s="21"/>
      <c r="C63" s="20" t="str">
        <f>IF(1=1,"40-50%","")</f>
        <v>40-50%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</row>
    <row r="64" ht="14.5" spans="1:23">
      <c r="A64" s="1" t="s">
        <v>0</v>
      </c>
      <c r="B64" s="22"/>
      <c r="C64" s="20" t="str">
        <f>IF(1=1,"Above 50%","")</f>
        <v>Above 50%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</row>
    <row r="65" ht="14.5" spans="1:23">
      <c r="A65" s="1" t="s">
        <v>0</v>
      </c>
      <c r="B65" s="3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4.5" spans="1:23">
      <c r="A66" s="1" t="s">
        <v>0</v>
      </c>
      <c r="B66" s="19" t="str">
        <f>IF(1=1,"30,001 and Above","")</f>
        <v>30,001 and Above</v>
      </c>
      <c r="C66" s="20" t="str">
        <f>IF(1=1,"&lt;25%","")</f>
        <v>&lt;25%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</row>
    <row r="67" ht="14.5" spans="1:23">
      <c r="A67" s="1" t="s">
        <v>0</v>
      </c>
      <c r="B67" s="23"/>
      <c r="C67" s="20" t="str">
        <f>IF(1=1,"25-40%","")</f>
        <v>25-40%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</row>
    <row r="68" ht="14.5" spans="1:23">
      <c r="A68" s="1" t="s">
        <v>0</v>
      </c>
      <c r="B68" s="23"/>
      <c r="C68" s="20" t="str">
        <f>IF(1=1,"40-50%","")</f>
        <v>40-50%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</row>
    <row r="69" ht="14.5" spans="1:23">
      <c r="A69" s="1" t="s">
        <v>0</v>
      </c>
      <c r="B69" s="24"/>
      <c r="C69" s="20" t="str">
        <f>IF(1=1,"Above 50%","")</f>
        <v>Above 50%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</row>
    <row r="70" ht="14.5" spans="1:23">
      <c r="A70" s="1" t="s">
        <v>0</v>
      </c>
      <c r="B70" s="25" t="str">
        <f>IF(1=1,"Total","")</f>
        <v>Total</v>
      </c>
      <c r="C70" s="15"/>
      <c r="D70" s="26">
        <f t="shared" ref="D70:O70" si="16">SUM(D51:D54,D56:D59,D61:D64,D66:D69)</f>
        <v>0</v>
      </c>
      <c r="E70" s="26">
        <f t="shared" si="16"/>
        <v>0</v>
      </c>
      <c r="F70" s="26">
        <f t="shared" si="16"/>
        <v>0</v>
      </c>
      <c r="G70" s="26">
        <f t="shared" si="16"/>
        <v>0</v>
      </c>
      <c r="H70" s="26">
        <f t="shared" si="16"/>
        <v>0</v>
      </c>
      <c r="I70" s="26">
        <f t="shared" si="16"/>
        <v>0</v>
      </c>
      <c r="J70" s="26">
        <f t="shared" si="16"/>
        <v>0</v>
      </c>
      <c r="K70" s="26">
        <f t="shared" si="16"/>
        <v>0</v>
      </c>
      <c r="L70" s="26">
        <f t="shared" si="16"/>
        <v>0</v>
      </c>
      <c r="M70" s="26">
        <f t="shared" si="16"/>
        <v>0</v>
      </c>
      <c r="N70" s="26">
        <f t="shared" si="16"/>
        <v>0</v>
      </c>
      <c r="O70" s="26">
        <f t="shared" si="16"/>
        <v>0</v>
      </c>
      <c r="P70" s="26">
        <f t="shared" ref="P70:W70" si="17">SUM(P51:P54,P56:P59,P61:P64,P66:P69)</f>
        <v>0</v>
      </c>
      <c r="Q70" s="26">
        <f t="shared" si="17"/>
        <v>0</v>
      </c>
      <c r="R70" s="26">
        <f t="shared" si="17"/>
        <v>0</v>
      </c>
      <c r="S70" s="26">
        <f t="shared" si="17"/>
        <v>0</v>
      </c>
      <c r="T70" s="26">
        <f t="shared" si="17"/>
        <v>0</v>
      </c>
      <c r="U70" s="26">
        <f t="shared" si="17"/>
        <v>0</v>
      </c>
      <c r="V70" s="26">
        <f t="shared" si="17"/>
        <v>0</v>
      </c>
      <c r="W70" s="26">
        <f t="shared" si="17"/>
        <v>0</v>
      </c>
    </row>
    <row r="71" ht="14.5" spans="1:23">
      <c r="A71" s="1" t="s">
        <v>0</v>
      </c>
      <c r="B71" s="27" t="str">
        <f>IF(1=1,"Sharjah","Sharjah ")</f>
        <v>Sharjah</v>
      </c>
      <c r="C71" s="28"/>
      <c r="D71" s="28"/>
      <c r="E71" s="28"/>
      <c r="F71" s="28"/>
      <c r="G71" s="32"/>
      <c r="H71" s="32"/>
      <c r="I71" s="32"/>
      <c r="J71" s="32"/>
      <c r="K71" s="32"/>
      <c r="L71" s="32"/>
      <c r="M71" s="32"/>
      <c r="N71" s="32"/>
      <c r="O71" s="32"/>
      <c r="P71" s="28"/>
      <c r="Q71" s="28"/>
      <c r="R71" s="28"/>
      <c r="S71" s="28"/>
      <c r="T71" s="28"/>
      <c r="U71" s="28"/>
      <c r="V71" s="28"/>
      <c r="W71" s="38"/>
    </row>
    <row r="72" ht="14.5" spans="1:23">
      <c r="A72" s="1" t="s">
        <v>0</v>
      </c>
      <c r="B72" s="19" t="str">
        <f>IF(1=1,"Up to 10,000","")</f>
        <v>Up to 10,000</v>
      </c>
      <c r="C72" s="20" t="str">
        <f>IF(1=1,"&lt;25%","")</f>
        <v>&lt;25%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</row>
    <row r="73" ht="14.5" spans="1:23">
      <c r="A73" s="1" t="s">
        <v>0</v>
      </c>
      <c r="B73" s="21"/>
      <c r="C73" s="20" t="str">
        <f>IF(1=1,"25-40%","")</f>
        <v>25-40%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</row>
    <row r="74" ht="14.5" spans="1:23">
      <c r="A74" s="1" t="s">
        <v>0</v>
      </c>
      <c r="B74" s="21"/>
      <c r="C74" s="20" t="str">
        <f>IF(1=1,"40-50%","")</f>
        <v>40-50%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</row>
    <row r="75" ht="14.5" spans="1:23">
      <c r="A75" s="1" t="s">
        <v>0</v>
      </c>
      <c r="B75" s="22"/>
      <c r="C75" s="20" t="str">
        <f>IF(1=1,"Above 50%","")</f>
        <v>Above 50%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</row>
    <row r="76" ht="14.5" spans="1:23">
      <c r="A76" s="1" t="s">
        <v>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4.5" spans="1:23">
      <c r="A77" s="1" t="s">
        <v>0</v>
      </c>
      <c r="B77" s="19" t="str">
        <f>IF(1=1,"10,001 to 20,000","")</f>
        <v>10,001 to 20,000</v>
      </c>
      <c r="C77" s="20" t="str">
        <f>IF(1=1,"&lt;25%","")</f>
        <v>&lt;25%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</row>
    <row r="78" ht="14.5" spans="1:23">
      <c r="A78" s="1" t="s">
        <v>0</v>
      </c>
      <c r="B78" s="21"/>
      <c r="C78" s="20" t="str">
        <f>IF(1=1,"25-40%","")</f>
        <v>25-40%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</row>
    <row r="79" ht="14.5" spans="1:23">
      <c r="A79" s="1" t="s">
        <v>0</v>
      </c>
      <c r="B79" s="21"/>
      <c r="C79" s="20" t="str">
        <f>IF(1=1,"40-50%","")</f>
        <v>40-50%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</row>
    <row r="80" ht="14.5" spans="1:23">
      <c r="A80" s="1" t="s">
        <v>0</v>
      </c>
      <c r="B80" s="22"/>
      <c r="C80" s="20" t="str">
        <f>IF(1=1,"Above 50%","")</f>
        <v>Above 50%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</row>
    <row r="81" ht="14.5" spans="1:23">
      <c r="A81" s="1" t="s">
        <v>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4.5" spans="1:23">
      <c r="A82" s="1" t="s">
        <v>0</v>
      </c>
      <c r="B82" s="19" t="str">
        <f>IF(1=1,"20,001 to 30,000","")</f>
        <v>20,001 to 30,000</v>
      </c>
      <c r="C82" s="20" t="str">
        <f>IF(1=1,"&lt;25%","")</f>
        <v>&lt;25%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</row>
    <row r="83" ht="14.5" spans="1:23">
      <c r="A83" s="1" t="s">
        <v>0</v>
      </c>
      <c r="B83" s="21"/>
      <c r="C83" s="20" t="str">
        <f>IF(1=1,"25-40%","")</f>
        <v>25-40%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</row>
    <row r="84" ht="14.5" spans="1:23">
      <c r="A84" s="1" t="s">
        <v>0</v>
      </c>
      <c r="B84" s="21"/>
      <c r="C84" s="20" t="str">
        <f>IF(1=1,"40-50%","")</f>
        <v>40-50%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</row>
    <row r="85" ht="14.5" spans="1:23">
      <c r="A85" s="1" t="s">
        <v>0</v>
      </c>
      <c r="B85" s="22"/>
      <c r="C85" s="20" t="str">
        <f>IF(1=1,"Above 50%","")</f>
        <v>Above 50%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</row>
    <row r="86" ht="14.5" spans="1:23">
      <c r="A86" s="1" t="s">
        <v>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4.5" spans="1:23">
      <c r="A87" s="1" t="s">
        <v>0</v>
      </c>
      <c r="B87" s="19" t="str">
        <f>IF(1=1,"30,001 and Above","")</f>
        <v>30,001 and Above</v>
      </c>
      <c r="C87" s="20" t="str">
        <f>IF(1=1,"&lt;25%","")</f>
        <v>&lt;25%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</row>
    <row r="88" ht="14.5" spans="1:23">
      <c r="A88" s="1" t="s">
        <v>0</v>
      </c>
      <c r="B88" s="23"/>
      <c r="C88" s="20" t="str">
        <f>IF(1=1,"25-40%","")</f>
        <v>25-40%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</row>
    <row r="89" ht="14.5" spans="1:23">
      <c r="A89" s="1" t="s">
        <v>0</v>
      </c>
      <c r="B89" s="23"/>
      <c r="C89" s="20" t="str">
        <f>IF(1=1,"40-50%","")</f>
        <v>40-50%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</row>
    <row r="90" ht="14.5" spans="1:23">
      <c r="A90" s="1" t="s">
        <v>0</v>
      </c>
      <c r="B90" s="24"/>
      <c r="C90" s="20" t="str">
        <f>IF(1=1,"Above 50%","")</f>
        <v>Above 50%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</row>
    <row r="91" ht="14.5" spans="1:23">
      <c r="A91" s="1" t="s">
        <v>0</v>
      </c>
      <c r="B91" s="25" t="str">
        <f>IF(1=1,"Total","")</f>
        <v>Total</v>
      </c>
      <c r="C91" s="15"/>
      <c r="D91" s="26">
        <f t="shared" ref="D91:O91" si="18">SUM(D72:D75,D77:D80,D82:D85,D87:D90)</f>
        <v>0</v>
      </c>
      <c r="E91" s="26">
        <f t="shared" si="18"/>
        <v>0</v>
      </c>
      <c r="F91" s="26">
        <f t="shared" si="18"/>
        <v>0</v>
      </c>
      <c r="G91" s="26">
        <f t="shared" si="18"/>
        <v>0</v>
      </c>
      <c r="H91" s="26">
        <f t="shared" si="18"/>
        <v>0</v>
      </c>
      <c r="I91" s="26">
        <f t="shared" si="18"/>
        <v>0</v>
      </c>
      <c r="J91" s="26">
        <f t="shared" si="18"/>
        <v>0</v>
      </c>
      <c r="K91" s="26">
        <f t="shared" si="18"/>
        <v>0</v>
      </c>
      <c r="L91" s="26">
        <f t="shared" si="18"/>
        <v>0</v>
      </c>
      <c r="M91" s="26">
        <f t="shared" si="18"/>
        <v>0</v>
      </c>
      <c r="N91" s="26">
        <f t="shared" si="18"/>
        <v>0</v>
      </c>
      <c r="O91" s="26">
        <f t="shared" si="18"/>
        <v>0</v>
      </c>
      <c r="P91" s="26">
        <f t="shared" ref="P91:W91" si="19">SUM(P72:P75,P77:P80,P82:P85,P87:P90)</f>
        <v>0</v>
      </c>
      <c r="Q91" s="26">
        <f t="shared" si="19"/>
        <v>0</v>
      </c>
      <c r="R91" s="26">
        <f t="shared" si="19"/>
        <v>0</v>
      </c>
      <c r="S91" s="26">
        <f t="shared" si="19"/>
        <v>0</v>
      </c>
      <c r="T91" s="26">
        <f t="shared" si="19"/>
        <v>0</v>
      </c>
      <c r="U91" s="26">
        <f t="shared" si="19"/>
        <v>0</v>
      </c>
      <c r="V91" s="26">
        <f t="shared" si="19"/>
        <v>0</v>
      </c>
      <c r="W91" s="26">
        <f t="shared" si="19"/>
        <v>0</v>
      </c>
    </row>
    <row r="92" ht="14.5" spans="1:23">
      <c r="A92" s="1" t="s">
        <v>0</v>
      </c>
      <c r="B92" s="27" t="str">
        <f>IF(1=1,"Ajman","Ajman ")</f>
        <v>Ajman</v>
      </c>
      <c r="C92" s="28"/>
      <c r="D92" s="28"/>
      <c r="E92" s="28"/>
      <c r="F92" s="28"/>
      <c r="G92" s="32"/>
      <c r="H92" s="32"/>
      <c r="I92" s="32"/>
      <c r="J92" s="32"/>
      <c r="K92" s="32"/>
      <c r="L92" s="32"/>
      <c r="M92" s="32"/>
      <c r="N92" s="32"/>
      <c r="O92" s="32"/>
      <c r="P92" s="28"/>
      <c r="Q92" s="28"/>
      <c r="R92" s="28"/>
      <c r="S92" s="28"/>
      <c r="T92" s="28"/>
      <c r="U92" s="28"/>
      <c r="V92" s="28"/>
      <c r="W92" s="38"/>
    </row>
    <row r="93" ht="14.5" spans="1:23">
      <c r="A93" s="1" t="s">
        <v>0</v>
      </c>
      <c r="B93" s="19" t="str">
        <f>IF(1=1,"Up to 10,000","")</f>
        <v>Up to 10,000</v>
      </c>
      <c r="C93" s="20" t="str">
        <f>IF(1=1,"&lt;25%","")</f>
        <v>&lt;25%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</row>
    <row r="94" ht="14.5" spans="1:23">
      <c r="A94" s="1" t="s">
        <v>0</v>
      </c>
      <c r="B94" s="21"/>
      <c r="C94" s="20" t="str">
        <f>IF(1=1,"25-40%","")</f>
        <v>25-40%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</row>
    <row r="95" ht="14.5" spans="1:23">
      <c r="A95" s="1" t="s">
        <v>0</v>
      </c>
      <c r="B95" s="21"/>
      <c r="C95" s="20" t="str">
        <f>IF(1=1,"40-50%","")</f>
        <v>40-50%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</row>
    <row r="96" ht="14.5" spans="1:23">
      <c r="A96" s="1" t="s">
        <v>0</v>
      </c>
      <c r="B96" s="22"/>
      <c r="C96" s="20" t="str">
        <f>IF(1=1,"Above 50%","")</f>
        <v>Above 50%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</row>
    <row r="97" ht="14.5" spans="1:23">
      <c r="A97" s="1" t="s">
        <v>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4.5" spans="1:23">
      <c r="A98" s="1" t="s">
        <v>0</v>
      </c>
      <c r="B98" s="19" t="str">
        <f>IF(1=1,"10,001 to 20,000","")</f>
        <v>10,001 to 20,000</v>
      </c>
      <c r="C98" s="20" t="str">
        <f>IF(1=1,"&lt;25%","")</f>
        <v>&lt;25%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</row>
    <row r="99" ht="14.5" spans="1:23">
      <c r="A99" s="1" t="s">
        <v>0</v>
      </c>
      <c r="B99" s="21"/>
      <c r="C99" s="20" t="str">
        <f>IF(1=1,"25-40%","")</f>
        <v>25-40%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</row>
    <row r="100" ht="14.5" spans="1:23">
      <c r="A100" s="1" t="s">
        <v>0</v>
      </c>
      <c r="B100" s="21"/>
      <c r="C100" s="20" t="str">
        <f>IF(1=1,"40-50%","")</f>
        <v>40-50%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</row>
    <row r="101" ht="14.5" spans="1:23">
      <c r="A101" s="1" t="s">
        <v>0</v>
      </c>
      <c r="B101" s="22"/>
      <c r="C101" s="20" t="str">
        <f>IF(1=1,"Above 50%","")</f>
        <v>Above 50%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</row>
    <row r="102" ht="14.5" spans="1:23">
      <c r="A102" s="1" t="s">
        <v>0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4.5" spans="1:23">
      <c r="A103" s="1" t="s">
        <v>0</v>
      </c>
      <c r="B103" s="19" t="str">
        <f>IF(1=1,"20,001 to 30,000","")</f>
        <v>20,001 to 30,000</v>
      </c>
      <c r="C103" s="20" t="str">
        <f>IF(1=1,"&lt;25%","")</f>
        <v>&lt;25%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</row>
    <row r="104" ht="14.5" spans="1:23">
      <c r="A104" s="1" t="s">
        <v>0</v>
      </c>
      <c r="B104" s="21"/>
      <c r="C104" s="20" t="str">
        <f>IF(1=1,"25-40%","")</f>
        <v>25-40%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</row>
    <row r="105" ht="14.5" spans="1:23">
      <c r="A105" s="1" t="s">
        <v>0</v>
      </c>
      <c r="B105" s="21"/>
      <c r="C105" s="20" t="str">
        <f>IF(1=1,"40-50%","")</f>
        <v>40-50%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</row>
    <row r="106" ht="14.5" spans="1:23">
      <c r="A106" s="1" t="s">
        <v>0</v>
      </c>
      <c r="B106" s="22"/>
      <c r="C106" s="20" t="str">
        <f>IF(1=1,"Above 50%","")</f>
        <v>Above 50%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</row>
    <row r="107" ht="14.5" spans="1:23">
      <c r="A107" s="1" t="s">
        <v>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4.5" spans="1:23">
      <c r="A108" s="1" t="s">
        <v>0</v>
      </c>
      <c r="B108" s="19" t="str">
        <f>IF(1=1,"30,001 and Above","")</f>
        <v>30,001 and Above</v>
      </c>
      <c r="C108" s="20" t="str">
        <f>IF(1=1,"&lt;25%","")</f>
        <v>&lt;25%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</row>
    <row r="109" ht="14.5" spans="1:23">
      <c r="A109" s="1" t="s">
        <v>0</v>
      </c>
      <c r="B109" s="23"/>
      <c r="C109" s="20" t="str">
        <f>IF(1=1,"25-40%","")</f>
        <v>25-40%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</row>
    <row r="110" ht="14.5" spans="1:23">
      <c r="A110" s="1" t="s">
        <v>0</v>
      </c>
      <c r="B110" s="23"/>
      <c r="C110" s="20" t="str">
        <f>IF(1=1,"40-50%","")</f>
        <v>40-50%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</row>
    <row r="111" ht="14.5" spans="1:23">
      <c r="A111" s="1" t="s">
        <v>0</v>
      </c>
      <c r="B111" s="24"/>
      <c r="C111" s="20" t="str">
        <f>IF(1=1,"Above 50%","")</f>
        <v>Above 50%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</row>
    <row r="112" ht="14.5" spans="1:23">
      <c r="A112" s="1" t="s">
        <v>0</v>
      </c>
      <c r="B112" s="25" t="str">
        <f>IF(1=1,"Total","")</f>
        <v>Total</v>
      </c>
      <c r="C112" s="15"/>
      <c r="D112" s="26">
        <f t="shared" ref="D112:O112" si="20">SUM(D93:D96,D98:D101,D103:D106,D108:D111)</f>
        <v>0</v>
      </c>
      <c r="E112" s="26">
        <f t="shared" si="20"/>
        <v>0</v>
      </c>
      <c r="F112" s="26">
        <f t="shared" si="20"/>
        <v>0</v>
      </c>
      <c r="G112" s="26">
        <f t="shared" si="20"/>
        <v>0</v>
      </c>
      <c r="H112" s="26">
        <f t="shared" si="20"/>
        <v>0</v>
      </c>
      <c r="I112" s="26">
        <f t="shared" si="20"/>
        <v>0</v>
      </c>
      <c r="J112" s="26">
        <f t="shared" si="20"/>
        <v>0</v>
      </c>
      <c r="K112" s="26">
        <f t="shared" si="20"/>
        <v>0</v>
      </c>
      <c r="L112" s="26">
        <f t="shared" si="20"/>
        <v>0</v>
      </c>
      <c r="M112" s="26">
        <f t="shared" si="20"/>
        <v>0</v>
      </c>
      <c r="N112" s="26">
        <f t="shared" si="20"/>
        <v>0</v>
      </c>
      <c r="O112" s="26">
        <f t="shared" si="20"/>
        <v>0</v>
      </c>
      <c r="P112" s="26">
        <f t="shared" ref="P112:W112" si="21">SUM(P93:P96,P98:P101,P103:P106,P108:P111)</f>
        <v>0</v>
      </c>
      <c r="Q112" s="26">
        <f t="shared" si="21"/>
        <v>0</v>
      </c>
      <c r="R112" s="26">
        <f t="shared" si="21"/>
        <v>0</v>
      </c>
      <c r="S112" s="26">
        <f t="shared" si="21"/>
        <v>0</v>
      </c>
      <c r="T112" s="26">
        <f t="shared" si="21"/>
        <v>0</v>
      </c>
      <c r="U112" s="26">
        <f t="shared" si="21"/>
        <v>0</v>
      </c>
      <c r="V112" s="26">
        <f t="shared" si="21"/>
        <v>0</v>
      </c>
      <c r="W112" s="26">
        <f t="shared" si="21"/>
        <v>0</v>
      </c>
    </row>
    <row r="113" ht="14.5" spans="1:23">
      <c r="A113" s="1" t="s">
        <v>0</v>
      </c>
      <c r="B113" s="27" t="str">
        <f>IF(1=1,"Ras-Al Khaimah","Ras-Al Khaimah")</f>
        <v>Ras-Al Khaimah</v>
      </c>
      <c r="C113" s="28"/>
      <c r="D113" s="28"/>
      <c r="E113" s="28"/>
      <c r="F113" s="28"/>
      <c r="G113" s="32"/>
      <c r="H113" s="32"/>
      <c r="I113" s="32"/>
      <c r="J113" s="32"/>
      <c r="K113" s="32"/>
      <c r="L113" s="32"/>
      <c r="M113" s="32"/>
      <c r="N113" s="32"/>
      <c r="O113" s="32"/>
      <c r="P113" s="28"/>
      <c r="Q113" s="28"/>
      <c r="R113" s="28"/>
      <c r="S113" s="28"/>
      <c r="T113" s="28"/>
      <c r="U113" s="28"/>
      <c r="V113" s="28"/>
      <c r="W113" s="38"/>
    </row>
    <row r="114" ht="14.5" spans="1:23">
      <c r="A114" s="1" t="s">
        <v>0</v>
      </c>
      <c r="B114" s="19" t="str">
        <f>IF(1=1,"Up to 10,000","")</f>
        <v>Up to 10,000</v>
      </c>
      <c r="C114" s="20" t="str">
        <f>IF(1=1,"&lt;25%","")</f>
        <v>&lt;25%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</row>
    <row r="115" ht="14.5" spans="1:23">
      <c r="A115" s="1" t="s">
        <v>0</v>
      </c>
      <c r="B115" s="21"/>
      <c r="C115" s="20" t="str">
        <f>IF(1=1,"25-40%","")</f>
        <v>25-40%</v>
      </c>
      <c r="D115" s="30">
        <v>0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</row>
    <row r="116" ht="14.5" spans="1:23">
      <c r="A116" s="1" t="s">
        <v>0</v>
      </c>
      <c r="B116" s="21"/>
      <c r="C116" s="20" t="str">
        <f>IF(1=1,"40-50%","")</f>
        <v>40-50%</v>
      </c>
      <c r="D116" s="30">
        <v>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</row>
    <row r="117" ht="14.5" spans="1:23">
      <c r="A117" s="1" t="s">
        <v>0</v>
      </c>
      <c r="B117" s="22"/>
      <c r="C117" s="20" t="str">
        <f>IF(1=1,"Above 50%","")</f>
        <v>Above 50%</v>
      </c>
      <c r="D117" s="30">
        <v>0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</row>
    <row r="118" ht="14.5" spans="1:23">
      <c r="A118" s="1" t="s">
        <v>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4.5" spans="1:23">
      <c r="A119" s="1" t="s">
        <v>0</v>
      </c>
      <c r="B119" s="19" t="str">
        <f>IF(1=1,"10,001 to 20,000","")</f>
        <v>10,001 to 20,000</v>
      </c>
      <c r="C119" s="20" t="str">
        <f>IF(1=1,"&lt;25%","")</f>
        <v>&lt;25%</v>
      </c>
      <c r="D119" s="30">
        <v>0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</row>
    <row r="120" ht="14.5" spans="1:23">
      <c r="A120" s="1" t="s">
        <v>0</v>
      </c>
      <c r="B120" s="21"/>
      <c r="C120" s="20" t="str">
        <f>IF(1=1,"25-40%","")</f>
        <v>25-40%</v>
      </c>
      <c r="D120" s="30">
        <v>0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</row>
    <row r="121" ht="14.5" spans="1:23">
      <c r="A121" s="1" t="s">
        <v>0</v>
      </c>
      <c r="B121" s="21"/>
      <c r="C121" s="20" t="str">
        <f>IF(1=1,"40-50%","")</f>
        <v>40-50%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</row>
    <row r="122" ht="14.5" spans="1:23">
      <c r="A122" s="1" t="s">
        <v>0</v>
      </c>
      <c r="B122" s="22"/>
      <c r="C122" s="20" t="str">
        <f>IF(1=1,"Above 50%","")</f>
        <v>Above 50%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</row>
    <row r="123" ht="14.5" spans="1:23">
      <c r="A123" s="1" t="s">
        <v>0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4.5" spans="1:23">
      <c r="A124" s="1" t="s">
        <v>0</v>
      </c>
      <c r="B124" s="19" t="str">
        <f>IF(1=1,"20,001 to 30,000","")</f>
        <v>20,001 to 30,000</v>
      </c>
      <c r="C124" s="20" t="str">
        <f>IF(1=1,"&lt;25%","")</f>
        <v>&lt;25%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</row>
    <row r="125" ht="14.5" spans="1:23">
      <c r="A125" s="1" t="s">
        <v>0</v>
      </c>
      <c r="B125" s="21"/>
      <c r="C125" s="20" t="str">
        <f>IF(1=1,"25-40%","")</f>
        <v>25-40%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</row>
    <row r="126" ht="14.5" spans="1:23">
      <c r="A126" s="1" t="s">
        <v>0</v>
      </c>
      <c r="B126" s="21"/>
      <c r="C126" s="20" t="str">
        <f>IF(1=1,"40-50%","")</f>
        <v>40-50%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</row>
    <row r="127" ht="14.5" spans="1:23">
      <c r="A127" s="1" t="s">
        <v>0</v>
      </c>
      <c r="B127" s="22"/>
      <c r="C127" s="20" t="str">
        <f>IF(1=1,"Above 50%","")</f>
        <v>Above 50%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</row>
    <row r="128" ht="14.5" spans="1:23">
      <c r="A128" s="1" t="s">
        <v>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4.5" spans="1:23">
      <c r="A129" s="1" t="s">
        <v>0</v>
      </c>
      <c r="B129" s="19" t="str">
        <f>IF(1=1,"30,001 and Above","")</f>
        <v>30,001 and Above</v>
      </c>
      <c r="C129" s="20" t="str">
        <f>IF(1=1,"&lt;25%","")</f>
        <v>&lt;25%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</row>
    <row r="130" ht="14.5" spans="1:23">
      <c r="A130" s="1" t="s">
        <v>0</v>
      </c>
      <c r="B130" s="23"/>
      <c r="C130" s="20" t="str">
        <f>IF(1=1,"25-40%","")</f>
        <v>25-40%</v>
      </c>
      <c r="D130" s="30">
        <v>0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</row>
    <row r="131" ht="14.5" spans="1:23">
      <c r="A131" s="1" t="s">
        <v>0</v>
      </c>
      <c r="B131" s="23"/>
      <c r="C131" s="20" t="str">
        <f>IF(1=1,"40-50%","")</f>
        <v>40-50%</v>
      </c>
      <c r="D131" s="30">
        <v>0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</row>
    <row r="132" ht="14.5" spans="1:23">
      <c r="A132" s="1" t="s">
        <v>0</v>
      </c>
      <c r="B132" s="24"/>
      <c r="C132" s="20" t="str">
        <f>IF(1=1,"Above 50%","")</f>
        <v>Above 50%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</row>
    <row r="133" ht="14.5" spans="1:23">
      <c r="A133" s="1" t="s">
        <v>0</v>
      </c>
      <c r="B133" s="25" t="str">
        <f>IF(1=1,"Total","")</f>
        <v>Total</v>
      </c>
      <c r="C133" s="15"/>
      <c r="D133" s="26">
        <f t="shared" ref="D133:O133" si="22">SUM(D114:D117,D119:D122,D124:D127,D129:D132)</f>
        <v>0</v>
      </c>
      <c r="E133" s="26">
        <f t="shared" si="22"/>
        <v>0</v>
      </c>
      <c r="F133" s="26">
        <f t="shared" si="22"/>
        <v>0</v>
      </c>
      <c r="G133" s="26">
        <f t="shared" si="22"/>
        <v>0</v>
      </c>
      <c r="H133" s="26">
        <f t="shared" si="22"/>
        <v>0</v>
      </c>
      <c r="I133" s="26">
        <f t="shared" si="22"/>
        <v>0</v>
      </c>
      <c r="J133" s="26">
        <f t="shared" si="22"/>
        <v>0</v>
      </c>
      <c r="K133" s="26">
        <f t="shared" si="22"/>
        <v>0</v>
      </c>
      <c r="L133" s="26">
        <f t="shared" si="22"/>
        <v>0</v>
      </c>
      <c r="M133" s="26">
        <f t="shared" si="22"/>
        <v>0</v>
      </c>
      <c r="N133" s="26">
        <f t="shared" si="22"/>
        <v>0</v>
      </c>
      <c r="O133" s="26">
        <f t="shared" si="22"/>
        <v>0</v>
      </c>
      <c r="P133" s="26">
        <f t="shared" ref="P133:W133" si="23">SUM(P114:P117,P119:P122,P124:P127,P129:P132)</f>
        <v>0</v>
      </c>
      <c r="Q133" s="26">
        <f t="shared" si="23"/>
        <v>0</v>
      </c>
      <c r="R133" s="26">
        <f t="shared" si="23"/>
        <v>0</v>
      </c>
      <c r="S133" s="26">
        <f t="shared" si="23"/>
        <v>0</v>
      </c>
      <c r="T133" s="26">
        <f t="shared" si="23"/>
        <v>0</v>
      </c>
      <c r="U133" s="26">
        <f t="shared" si="23"/>
        <v>0</v>
      </c>
      <c r="V133" s="26">
        <f t="shared" si="23"/>
        <v>0</v>
      </c>
      <c r="W133" s="26">
        <f t="shared" si="23"/>
        <v>0</v>
      </c>
    </row>
    <row r="134" ht="14.5" spans="1:23">
      <c r="A134" s="1" t="s">
        <v>0</v>
      </c>
      <c r="B134" s="27" t="str">
        <f>IF(1=1,"Umm Al Quawain","Umm Al Quawain")</f>
        <v>Umm Al Quawain</v>
      </c>
      <c r="C134" s="28"/>
      <c r="D134" s="28"/>
      <c r="E134" s="28"/>
      <c r="F134" s="28"/>
      <c r="G134" s="32"/>
      <c r="H134" s="32"/>
      <c r="I134" s="32"/>
      <c r="J134" s="32"/>
      <c r="K134" s="32"/>
      <c r="L134" s="32"/>
      <c r="M134" s="32"/>
      <c r="N134" s="32"/>
      <c r="O134" s="32"/>
      <c r="P134" s="28"/>
      <c r="Q134" s="28"/>
      <c r="R134" s="28"/>
      <c r="S134" s="28"/>
      <c r="T134" s="28"/>
      <c r="U134" s="28"/>
      <c r="V134" s="28"/>
      <c r="W134" s="38"/>
    </row>
    <row r="135" ht="14.5" spans="1:23">
      <c r="A135" s="1" t="s">
        <v>0</v>
      </c>
      <c r="B135" s="19" t="str">
        <f>IF(1=1,"Up to 10,000","")</f>
        <v>Up to 10,000</v>
      </c>
      <c r="C135" s="20" t="str">
        <f>IF(1=1,"&lt;25%","")</f>
        <v>&lt;25%</v>
      </c>
      <c r="D135" s="30">
        <v>0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</row>
    <row r="136" ht="14.5" spans="1:23">
      <c r="A136" s="1" t="s">
        <v>0</v>
      </c>
      <c r="B136" s="21"/>
      <c r="C136" s="20" t="str">
        <f>IF(1=1,"25-40%","")</f>
        <v>25-40%</v>
      </c>
      <c r="D136" s="30">
        <v>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</row>
    <row r="137" ht="14.5" spans="1:23">
      <c r="A137" s="1" t="s">
        <v>0</v>
      </c>
      <c r="B137" s="21"/>
      <c r="C137" s="20" t="str">
        <f>IF(1=1,"40-50%","")</f>
        <v>40-50%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</row>
    <row r="138" ht="14.5" spans="1:23">
      <c r="A138" s="1" t="s">
        <v>0</v>
      </c>
      <c r="B138" s="22"/>
      <c r="C138" s="20" t="str">
        <f>IF(1=1,"Above 50%","")</f>
        <v>Above 50%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</row>
    <row r="139" ht="14.5" spans="1:23">
      <c r="A139" s="1" t="s">
        <v>0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4.5" spans="1:23">
      <c r="A140" s="1" t="s">
        <v>0</v>
      </c>
      <c r="B140" s="19" t="str">
        <f>IF(1=1,"10,001 to 20,000","")</f>
        <v>10,001 to 20,000</v>
      </c>
      <c r="C140" s="20" t="str">
        <f>IF(1=1,"&lt;25%","")</f>
        <v>&lt;25%</v>
      </c>
      <c r="D140" s="30">
        <v>0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</row>
    <row r="141" ht="14.5" spans="1:23">
      <c r="A141" s="1" t="s">
        <v>0</v>
      </c>
      <c r="B141" s="21"/>
      <c r="C141" s="20" t="str">
        <f>IF(1=1,"25-40%","")</f>
        <v>25-40%</v>
      </c>
      <c r="D141" s="30">
        <v>0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</row>
    <row r="142" ht="14.5" spans="1:23">
      <c r="A142" s="1" t="s">
        <v>0</v>
      </c>
      <c r="B142" s="21"/>
      <c r="C142" s="20" t="str">
        <f>IF(1=1,"40-50%","")</f>
        <v>40-50%</v>
      </c>
      <c r="D142" s="30">
        <v>0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</row>
    <row r="143" ht="14.5" spans="1:23">
      <c r="A143" s="1" t="s">
        <v>0</v>
      </c>
      <c r="B143" s="22"/>
      <c r="C143" s="20" t="str">
        <f>IF(1=1,"Above 50%","")</f>
        <v>Above 50%</v>
      </c>
      <c r="D143" s="30">
        <v>0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</row>
    <row r="144" ht="14.5" spans="1:23">
      <c r="A144" s="1" t="s">
        <v>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4.5" spans="1:23">
      <c r="A145" s="1" t="s">
        <v>0</v>
      </c>
      <c r="B145" s="19" t="str">
        <f>IF(1=1,"20,001 to 30,000","")</f>
        <v>20,001 to 30,000</v>
      </c>
      <c r="C145" s="20" t="str">
        <f>IF(1=1,"&lt;25%","")</f>
        <v>&lt;25%</v>
      </c>
      <c r="D145" s="30">
        <v>0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</row>
    <row r="146" ht="14.5" spans="1:23">
      <c r="A146" s="1" t="s">
        <v>0</v>
      </c>
      <c r="B146" s="21"/>
      <c r="C146" s="20" t="str">
        <f>IF(1=1,"25-40%","")</f>
        <v>25-40%</v>
      </c>
      <c r="D146" s="30">
        <v>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</row>
    <row r="147" ht="14.5" spans="1:23">
      <c r="A147" s="1" t="s">
        <v>0</v>
      </c>
      <c r="B147" s="21"/>
      <c r="C147" s="20" t="str">
        <f>IF(1=1,"40-50%","")</f>
        <v>40-50%</v>
      </c>
      <c r="D147" s="30">
        <v>0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</row>
    <row r="148" ht="14.5" spans="1:23">
      <c r="A148" s="1" t="s">
        <v>0</v>
      </c>
      <c r="B148" s="22"/>
      <c r="C148" s="20" t="str">
        <f>IF(1=1,"Above 50%","")</f>
        <v>Above 50%</v>
      </c>
      <c r="D148" s="30">
        <v>0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</row>
    <row r="149" ht="14.5" spans="1:23">
      <c r="A149" s="1" t="s">
        <v>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4.5" spans="1:23">
      <c r="A150" s="1" t="s">
        <v>0</v>
      </c>
      <c r="B150" s="19" t="str">
        <f>IF(1=1,"30,001 and Above","")</f>
        <v>30,001 and Above</v>
      </c>
      <c r="C150" s="20" t="str">
        <f>IF(1=1,"&lt;25%","")</f>
        <v>&lt;25%</v>
      </c>
      <c r="D150" s="30">
        <v>0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</row>
    <row r="151" ht="14.5" spans="1:23">
      <c r="A151" s="1" t="s">
        <v>0</v>
      </c>
      <c r="B151" s="23"/>
      <c r="C151" s="20" t="str">
        <f>IF(1=1,"25-40%","")</f>
        <v>25-40%</v>
      </c>
      <c r="D151" s="30">
        <v>0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</row>
    <row r="152" ht="14.5" spans="1:23">
      <c r="A152" s="1" t="s">
        <v>0</v>
      </c>
      <c r="B152" s="23"/>
      <c r="C152" s="20" t="str">
        <f>IF(1=1,"40-50%","")</f>
        <v>40-50%</v>
      </c>
      <c r="D152" s="30">
        <v>0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</row>
    <row r="153" ht="14.5" spans="1:23">
      <c r="A153" s="1" t="s">
        <v>0</v>
      </c>
      <c r="B153" s="24"/>
      <c r="C153" s="20" t="str">
        <f>IF(1=1,"Above 50%","")</f>
        <v>Above 50%</v>
      </c>
      <c r="D153" s="30">
        <v>0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</row>
    <row r="154" ht="14.5" spans="1:23">
      <c r="A154" s="1" t="s">
        <v>0</v>
      </c>
      <c r="B154" s="25" t="str">
        <f>IF(1=1,"Total","")</f>
        <v>Total</v>
      </c>
      <c r="C154" s="15"/>
      <c r="D154" s="39">
        <f t="shared" ref="D154:O154" si="24">SUM(D135:D138,D140:D143,D145:D148,D150:D153)</f>
        <v>0</v>
      </c>
      <c r="E154" s="39">
        <f t="shared" si="24"/>
        <v>0</v>
      </c>
      <c r="F154" s="39">
        <f t="shared" si="24"/>
        <v>0</v>
      </c>
      <c r="G154" s="39">
        <f t="shared" si="24"/>
        <v>0</v>
      </c>
      <c r="H154" s="39">
        <f t="shared" si="24"/>
        <v>0</v>
      </c>
      <c r="I154" s="39">
        <f t="shared" si="24"/>
        <v>0</v>
      </c>
      <c r="J154" s="39">
        <f t="shared" si="24"/>
        <v>0</v>
      </c>
      <c r="K154" s="39">
        <f t="shared" si="24"/>
        <v>0</v>
      </c>
      <c r="L154" s="39">
        <f t="shared" si="24"/>
        <v>0</v>
      </c>
      <c r="M154" s="39">
        <f t="shared" si="24"/>
        <v>0</v>
      </c>
      <c r="N154" s="39">
        <f t="shared" si="24"/>
        <v>0</v>
      </c>
      <c r="O154" s="39">
        <f t="shared" si="24"/>
        <v>0</v>
      </c>
      <c r="P154" s="39">
        <f t="shared" ref="P154:W154" si="25">SUM(P135:P138,P140:P143,P145:P148,P150:P153)</f>
        <v>0</v>
      </c>
      <c r="Q154" s="39">
        <f t="shared" si="25"/>
        <v>0</v>
      </c>
      <c r="R154" s="39">
        <f t="shared" si="25"/>
        <v>0</v>
      </c>
      <c r="S154" s="39">
        <f t="shared" si="25"/>
        <v>0</v>
      </c>
      <c r="T154" s="39">
        <f t="shared" si="25"/>
        <v>0</v>
      </c>
      <c r="U154" s="39">
        <f t="shared" si="25"/>
        <v>0</v>
      </c>
      <c r="V154" s="39">
        <f t="shared" si="25"/>
        <v>0</v>
      </c>
      <c r="W154" s="39">
        <f t="shared" si="25"/>
        <v>0</v>
      </c>
    </row>
    <row r="155" ht="14.5" spans="1:23">
      <c r="A155" s="1" t="s">
        <v>0</v>
      </c>
      <c r="B155" s="27" t="str">
        <f>IF(1=1,"Fujairah","Fujairah")</f>
        <v>Fujairah</v>
      </c>
      <c r="C155" s="28"/>
      <c r="D155" s="28"/>
      <c r="E155" s="28"/>
      <c r="F155" s="28"/>
      <c r="G155" s="32"/>
      <c r="H155" s="32"/>
      <c r="I155" s="32"/>
      <c r="J155" s="32"/>
      <c r="K155" s="32"/>
      <c r="L155" s="32"/>
      <c r="M155" s="32"/>
      <c r="N155" s="32"/>
      <c r="O155" s="32"/>
      <c r="P155" s="28"/>
      <c r="Q155" s="28"/>
      <c r="R155" s="28"/>
      <c r="S155" s="28"/>
      <c r="T155" s="28"/>
      <c r="U155" s="28"/>
      <c r="V155" s="28"/>
      <c r="W155" s="38"/>
    </row>
    <row r="156" ht="14.5" spans="1:23">
      <c r="A156" s="1" t="s">
        <v>0</v>
      </c>
      <c r="B156" s="19" t="str">
        <f>IF(1=1,"Up to 10,000","")</f>
        <v>Up to 10,000</v>
      </c>
      <c r="C156" s="20" t="str">
        <f>IF(1=1,"&lt;25%","")</f>
        <v>&lt;25%</v>
      </c>
      <c r="D156" s="30">
        <v>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</row>
    <row r="157" ht="14.5" spans="1:23">
      <c r="A157" s="1" t="s">
        <v>0</v>
      </c>
      <c r="B157" s="21"/>
      <c r="C157" s="20" t="str">
        <f>IF(1=1,"25-40%","")</f>
        <v>25-40%</v>
      </c>
      <c r="D157" s="30">
        <v>0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</row>
    <row r="158" ht="14.5" spans="1:23">
      <c r="A158" s="1" t="s">
        <v>0</v>
      </c>
      <c r="B158" s="21"/>
      <c r="C158" s="20" t="str">
        <f>IF(1=1,"40-50%","")</f>
        <v>40-50%</v>
      </c>
      <c r="D158" s="30">
        <v>0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</row>
    <row r="159" ht="14.5" spans="1:23">
      <c r="A159" s="1" t="s">
        <v>0</v>
      </c>
      <c r="B159" s="22"/>
      <c r="C159" s="20" t="str">
        <f>IF(1=1,"Above 50%","")</f>
        <v>Above 50%</v>
      </c>
      <c r="D159" s="30">
        <v>0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</row>
    <row r="160" ht="14.5" spans="1:23">
      <c r="A160" s="1" t="s">
        <v>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4.5" spans="1:23">
      <c r="A161" s="1" t="s">
        <v>0</v>
      </c>
      <c r="B161" s="19" t="str">
        <f>IF(1=1,"10,001 to 20,000","")</f>
        <v>10,001 to 20,000</v>
      </c>
      <c r="C161" s="20" t="str">
        <f>IF(1=1,"&lt;25%","")</f>
        <v>&lt;25%</v>
      </c>
      <c r="D161" s="30">
        <v>0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</row>
    <row r="162" ht="14.5" spans="1:23">
      <c r="A162" s="1" t="s">
        <v>0</v>
      </c>
      <c r="B162" s="21"/>
      <c r="C162" s="20" t="str">
        <f>IF(1=1,"25-40%","")</f>
        <v>25-40%</v>
      </c>
      <c r="D162" s="30">
        <v>0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</row>
    <row r="163" ht="14.5" spans="1:23">
      <c r="A163" s="1" t="s">
        <v>0</v>
      </c>
      <c r="B163" s="21"/>
      <c r="C163" s="20" t="str">
        <f>IF(1=1,"40-50%","")</f>
        <v>40-50%</v>
      </c>
      <c r="D163" s="30">
        <v>0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</row>
    <row r="164" ht="14.5" spans="1:23">
      <c r="A164" s="1" t="s">
        <v>0</v>
      </c>
      <c r="B164" s="22"/>
      <c r="C164" s="20" t="str">
        <f>IF(1=1,"Above 50%","")</f>
        <v>Above 50%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</row>
    <row r="165" ht="14.5" spans="1:23">
      <c r="A165" s="1" t="s">
        <v>0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4.5" spans="1:23">
      <c r="A166" s="1" t="s">
        <v>0</v>
      </c>
      <c r="B166" s="19" t="str">
        <f>IF(1=1,"20,001 to 30,000","")</f>
        <v>20,001 to 30,000</v>
      </c>
      <c r="C166" s="20" t="str">
        <f>IF(1=1,"&lt;25%","")</f>
        <v>&lt;25%</v>
      </c>
      <c r="D166" s="30">
        <v>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</row>
    <row r="167" ht="14.5" spans="1:23">
      <c r="A167" s="1" t="s">
        <v>0</v>
      </c>
      <c r="B167" s="21"/>
      <c r="C167" s="20" t="str">
        <f>IF(1=1,"25-40%","")</f>
        <v>25-40%</v>
      </c>
      <c r="D167" s="30">
        <v>0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</row>
    <row r="168" ht="14.5" spans="1:23">
      <c r="A168" s="1" t="s">
        <v>0</v>
      </c>
      <c r="B168" s="21"/>
      <c r="C168" s="20" t="str">
        <f>IF(1=1,"40-50%","")</f>
        <v>40-50%</v>
      </c>
      <c r="D168" s="30">
        <v>0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</row>
    <row r="169" ht="14.5" spans="1:23">
      <c r="A169" s="1" t="s">
        <v>0</v>
      </c>
      <c r="B169" s="22"/>
      <c r="C169" s="20" t="str">
        <f>IF(1=1,"Above 50%","")</f>
        <v>Above 50%</v>
      </c>
      <c r="D169" s="30">
        <v>0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</row>
    <row r="170" ht="14.5" spans="1:23">
      <c r="A170" s="1" t="s">
        <v>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4.5" spans="1:23">
      <c r="A171" s="1" t="s">
        <v>0</v>
      </c>
      <c r="B171" s="19" t="str">
        <f>IF(1=1,"30,001 and Above","")</f>
        <v>30,001 and Above</v>
      </c>
      <c r="C171" s="20" t="str">
        <f>IF(1=1,"&lt;25%","")</f>
        <v>&lt;25%</v>
      </c>
      <c r="D171" s="30">
        <v>0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</row>
    <row r="172" ht="14.5" spans="1:23">
      <c r="A172" s="1" t="s">
        <v>0</v>
      </c>
      <c r="B172" s="23"/>
      <c r="C172" s="20" t="str">
        <f>IF(1=1,"25-40%","")</f>
        <v>25-40%</v>
      </c>
      <c r="D172" s="30">
        <v>0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</row>
    <row r="173" ht="14.5" spans="1:23">
      <c r="A173" s="1" t="s">
        <v>0</v>
      </c>
      <c r="B173" s="23"/>
      <c r="C173" s="20" t="str">
        <f>IF(1=1,"40-50%","")</f>
        <v>40-50%</v>
      </c>
      <c r="D173" s="30">
        <v>0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</row>
    <row r="174" ht="14.5" spans="1:23">
      <c r="A174" s="1" t="s">
        <v>0</v>
      </c>
      <c r="B174" s="24"/>
      <c r="C174" s="20" t="str">
        <f>IF(1=1,"Above 50%","")</f>
        <v>Above 50%</v>
      </c>
      <c r="D174" s="30">
        <v>0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</row>
    <row r="175" ht="14.5" spans="1:23">
      <c r="A175" s="1" t="s">
        <v>0</v>
      </c>
      <c r="B175" s="25" t="str">
        <f>IF(1=1,"Total","")</f>
        <v>Total</v>
      </c>
      <c r="C175" s="15"/>
      <c r="D175" s="39">
        <f t="shared" ref="D175:O175" si="26">SUM(D156:D159,D161:D164,D166:D169,D171:D174)</f>
        <v>0</v>
      </c>
      <c r="E175" s="39">
        <f t="shared" si="26"/>
        <v>0</v>
      </c>
      <c r="F175" s="39">
        <f t="shared" si="26"/>
        <v>0</v>
      </c>
      <c r="G175" s="39">
        <f t="shared" si="26"/>
        <v>0</v>
      </c>
      <c r="H175" s="39">
        <f t="shared" si="26"/>
        <v>0</v>
      </c>
      <c r="I175" s="39">
        <f t="shared" si="26"/>
        <v>0</v>
      </c>
      <c r="J175" s="39">
        <f t="shared" si="26"/>
        <v>0</v>
      </c>
      <c r="K175" s="39">
        <f t="shared" si="26"/>
        <v>0</v>
      </c>
      <c r="L175" s="39">
        <f t="shared" si="26"/>
        <v>0</v>
      </c>
      <c r="M175" s="39">
        <f t="shared" si="26"/>
        <v>0</v>
      </c>
      <c r="N175" s="39">
        <f t="shared" si="26"/>
        <v>0</v>
      </c>
      <c r="O175" s="39">
        <f t="shared" si="26"/>
        <v>0</v>
      </c>
      <c r="P175" s="39">
        <f t="shared" ref="P175:W175" si="27">SUM(P156:P159,P161:P164,P166:P169,P171:P174)</f>
        <v>0</v>
      </c>
      <c r="Q175" s="39">
        <f t="shared" si="27"/>
        <v>0</v>
      </c>
      <c r="R175" s="39">
        <f t="shared" si="27"/>
        <v>0</v>
      </c>
      <c r="S175" s="39">
        <f t="shared" si="27"/>
        <v>0</v>
      </c>
      <c r="T175" s="39">
        <f t="shared" si="27"/>
        <v>0</v>
      </c>
      <c r="U175" s="39">
        <f t="shared" si="27"/>
        <v>0</v>
      </c>
      <c r="V175" s="39">
        <f t="shared" si="27"/>
        <v>0</v>
      </c>
      <c r="W175" s="39">
        <f t="shared" si="27"/>
        <v>0</v>
      </c>
    </row>
    <row r="176" ht="14.5" spans="1:23">
      <c r="A176" s="1" t="s">
        <v>0</v>
      </c>
      <c r="B176" s="26"/>
      <c r="C176" s="40" t="s">
        <v>22</v>
      </c>
      <c r="D176" s="41"/>
      <c r="E176" s="42"/>
      <c r="F176" s="43"/>
      <c r="G176" s="43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 ht="14.5"/>
    <row r="178" hidden="1" customHeight="1"/>
    <row r="179" ht="14.5"/>
    <row r="180" ht="14.5" hidden="1"/>
  </sheetData>
  <sheetProtection password="DE1B" sheet="1"/>
  <mergeCells count="12">
    <mergeCell ref="B2:W2"/>
    <mergeCell ref="C3:D3"/>
    <mergeCell ref="C4:D4"/>
    <mergeCell ref="C5:D5"/>
    <mergeCell ref="B6:W6"/>
    <mergeCell ref="D7:G7"/>
    <mergeCell ref="H7:K7"/>
    <mergeCell ref="L7:O7"/>
    <mergeCell ref="P7:S7"/>
    <mergeCell ref="T7:W7"/>
    <mergeCell ref="C176:E176"/>
    <mergeCell ref="E3:W5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2024-02-22T05:35:56Z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6D4FAEC8E6884689856A8778F18F93B8_13</vt:lpwstr>
  </property>
  <property fmtid="{D5CDD505-2E9C-101B-9397-08002B2CF9AE}" pid="3" name="KSOProductBuildVer">
    <vt:lpwstr>1033-12.2.0.13431</vt:lpwstr>
  </property>
</Properties>
</file>