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21June2015 BRF 8" sheetId="1" r:id="rId1"/>
  </sheets>
  <definedNames>
    <definedName name="_xlnm.Print_Area" localSheetId="0">'21June2015 BRF 8'!$A$1:$E$24</definedName>
  </definedNames>
  <calcPr calcId="144525"/>
</workbook>
</file>

<file path=xl/sharedStrings.xml><?xml version="1.0" encoding="utf-8"?>
<sst xmlns="http://schemas.openxmlformats.org/spreadsheetml/2006/main" count="27" uniqueCount="27">
  <si>
    <t xml:space="preserve"> BANKING AND MONETARY STATISTICS-  LIQUID ASSETS RATIO (LAR) - BRF 8 (AED IN 000)</t>
  </si>
  <si>
    <t xml:space="preserve"> ID:</t>
  </si>
  <si>
    <t>2-8-2-0</t>
  </si>
  <si>
    <t xml:space="preserve">Bank : </t>
  </si>
  <si>
    <t>Bank of Baroda</t>
  </si>
  <si>
    <t>As on:</t>
  </si>
  <si>
    <t>High Quality Liquid Assets</t>
  </si>
  <si>
    <t>Nominal amount</t>
  </si>
  <si>
    <t>Eligible Liquid Asset</t>
  </si>
  <si>
    <t>Physical cash in hand at the bank</t>
  </si>
  <si>
    <t>Statutory reserves with Central Bank</t>
  </si>
  <si>
    <t>Free and other account balances at the Central Bank (excluding statutory reserves)</t>
  </si>
  <si>
    <t>Central Bank CDs (unencumbered)</t>
  </si>
  <si>
    <t>UAE Federal Government Bonds and Sukuks</t>
  </si>
  <si>
    <t>Sub Total (1.1 to 1.5)</t>
  </si>
  <si>
    <r>
      <t xml:space="preserve">UAE local governments publicly traded debt securities (0% Risk Weighted  under BII Standardized Approach) </t>
    </r>
    <r>
      <rPr>
        <sz val="8"/>
        <color indexed="10"/>
        <rFont val="Arial"/>
        <family val="2"/>
        <charset val="0"/>
      </rPr>
      <t>Rated A+ and above</t>
    </r>
  </si>
  <si>
    <r>
      <t xml:space="preserve">UAE local governments publicly traded debt securities (0% Risk Weighted  under BII Standardized Approach) </t>
    </r>
    <r>
      <rPr>
        <sz val="8"/>
        <color indexed="10"/>
        <rFont val="Arial"/>
        <family val="2"/>
        <charset val="0"/>
      </rPr>
      <t>Rated A and below or unrated</t>
    </r>
  </si>
  <si>
    <r>
      <t xml:space="preserve">UAE Public sector publicly traded debt securities (non commercial, 0% Risk Weighted  under BII Standardized Approach) </t>
    </r>
    <r>
      <rPr>
        <sz val="8"/>
        <color indexed="10"/>
        <rFont val="Arial"/>
        <family val="2"/>
        <charset val="0"/>
      </rPr>
      <t>Rated A+ and above</t>
    </r>
  </si>
  <si>
    <r>
      <t xml:space="preserve">UAE Public sector publicly traded debt securities (non commercial, 0% Risk Weighted  under BII Standardized Approach) </t>
    </r>
    <r>
      <rPr>
        <sz val="8"/>
        <color indexed="10"/>
        <rFont val="Arial"/>
        <family val="2"/>
        <charset val="0"/>
      </rPr>
      <t>Rated A and below or unrated</t>
    </r>
  </si>
  <si>
    <t>Sub total (1.6 to 1.9)</t>
  </si>
  <si>
    <t>Foreign Sovereign debt instruments or instruments issued by their respective central banks (0% Risk Weighted under Basel II Standardized Approach)</t>
  </si>
  <si>
    <t xml:space="preserve">Total </t>
  </si>
  <si>
    <r>
      <t xml:space="preserve">Total liabilities (BRF-2 LIAB: Item nos. 29- 18.1- </t>
    </r>
    <r>
      <rPr>
        <b/>
        <sz val="8"/>
        <color indexed="10"/>
        <rFont val="Arial"/>
        <family val="2"/>
        <charset val="0"/>
      </rPr>
      <t>(25- 25.5)- 26.7</t>
    </r>
    <r>
      <rPr>
        <sz val="8"/>
        <color indexed="8"/>
        <rFont val="Arial"/>
        <family val="2"/>
        <charset val="0"/>
      </rPr>
      <t>- 28)</t>
    </r>
  </si>
  <si>
    <t>Eligible Liquid Assets Ratio (ELAR)</t>
  </si>
  <si>
    <t>Note:</t>
  </si>
  <si>
    <t>All securities should be unencumbered.  Assets of UAE operations only need be reported. (Ref Circular No 33/2015 of 27/05/2015)</t>
  </si>
  <si>
    <t>FORM NO BSD/ BRF 8-LR/APR16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</si>
</sst>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0"/>
    <numFmt numFmtId="177" formatCode="0.0000"/>
  </numFmts>
  <fonts count="28">
    <font>
      <sz val="10"/>
      <name val="Arial"/>
      <charset val="0"/>
    </font>
    <font>
      <b/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name val="Arial"/>
      <family val="2"/>
      <charset val="0"/>
    </font>
    <font>
      <b/>
      <sz val="12"/>
      <color rgb="FFFFFF00"/>
      <name val="Arial"/>
      <family val="2"/>
      <charset val="0"/>
    </font>
    <font>
      <sz val="8"/>
      <color indexed="8"/>
      <name val="Arial"/>
      <family val="2"/>
      <charset val="0"/>
    </font>
    <font>
      <b/>
      <sz val="8"/>
      <color indexed="10"/>
      <name val="Arial"/>
      <family val="2"/>
      <charset val="0"/>
    </font>
    <font>
      <u/>
      <sz val="10"/>
      <color theme="10"/>
      <name val="Arial"/>
      <family val="2"/>
      <charset val="0"/>
    </font>
    <font>
      <u/>
      <sz val="10"/>
      <color theme="11"/>
      <name val="Arial"/>
      <family val="2"/>
      <charset val="0"/>
    </font>
    <font>
      <sz val="10"/>
      <name val="Arial"/>
      <family val="2"/>
      <charset val="0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  <font>
      <sz val="8"/>
      <color indexed="10"/>
      <name val="Arial"/>
      <family val="2"/>
      <charset val="0"/>
    </font>
  </fonts>
  <fills count="38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7" borderId="14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5" fillId="0" borderId="17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18" applyNumberFormat="0" applyAlignment="0" applyProtection="0"/>
    <xf numFmtId="0" fontId="17" fillId="9" borderId="19" applyNumberFormat="0" applyAlignment="0" applyProtection="0"/>
    <xf numFmtId="0" fontId="18" fillId="9" borderId="18" applyNumberFormat="0" applyAlignment="0" applyProtection="0"/>
    <xf numFmtId="0" fontId="19" fillId="10" borderId="20" applyNumberFormat="0" applyAlignment="0" applyProtection="0"/>
    <xf numFmtId="0" fontId="20" fillId="0" borderId="21" applyNumberFormat="0" applyFill="0" applyAlignment="0" applyProtection="0"/>
    <xf numFmtId="0" fontId="21" fillId="0" borderId="22" applyNumberFormat="0" applyFill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5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5" fillId="37" borderId="0" applyNumberFormat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 applyProtection="1">
      <alignment horizontal="center"/>
    </xf>
    <xf numFmtId="0" fontId="2" fillId="3" borderId="1" xfId="0" applyFont="1" applyFill="1" applyBorder="1" applyAlignment="1"/>
    <xf numFmtId="15" fontId="1" fillId="3" borderId="1" xfId="0" applyNumberFormat="1" applyFont="1" applyFill="1" applyBorder="1" applyAlignment="1" applyProtection="1"/>
    <xf numFmtId="15" fontId="1" fillId="3" borderId="2" xfId="0" applyNumberFormat="1" applyFont="1" applyFill="1" applyBorder="1" applyAlignment="1" applyProtection="1"/>
    <xf numFmtId="15" fontId="1" fillId="3" borderId="3" xfId="0" applyNumberFormat="1" applyFont="1" applyFill="1" applyBorder="1" applyAlignment="1" applyProtection="1"/>
    <xf numFmtId="15" fontId="1" fillId="3" borderId="1" xfId="0" applyNumberFormat="1" applyFont="1" applyFill="1" applyBorder="1" applyAlignment="1">
      <alignment horizontal="left"/>
    </xf>
    <xf numFmtId="15" fontId="1" fillId="3" borderId="4" xfId="0" applyNumberFormat="1" applyFont="1" applyFill="1" applyBorder="1" applyAlignment="1" applyProtection="1"/>
    <xf numFmtId="15" fontId="1" fillId="3" borderId="5" xfId="0" applyNumberFormat="1" applyFont="1" applyFill="1" applyBorder="1" applyAlignment="1" applyProtection="1"/>
    <xf numFmtId="0" fontId="1" fillId="3" borderId="1" xfId="0" applyFont="1" applyFill="1" applyBorder="1"/>
    <xf numFmtId="15" fontId="1" fillId="3" borderId="6" xfId="0" applyNumberFormat="1" applyFont="1" applyFill="1" applyBorder="1" applyAlignment="1" applyProtection="1"/>
    <xf numFmtId="15" fontId="1" fillId="3" borderId="7" xfId="0" applyNumberFormat="1" applyFont="1" applyFill="1" applyBorder="1" applyAlignment="1" applyProtection="1"/>
    <xf numFmtId="0" fontId="3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vertical="center" wrapText="1"/>
    </xf>
    <xf numFmtId="3" fontId="1" fillId="5" borderId="1" xfId="0" applyNumberFormat="1" applyFont="1" applyFill="1" applyBorder="1" applyAlignment="1" applyProtection="1">
      <alignment vertical="center" wrapText="1"/>
    </xf>
    <xf numFmtId="176" fontId="3" fillId="3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vertical="center" wrapText="1"/>
    </xf>
    <xf numFmtId="3" fontId="3" fillId="3" borderId="1" xfId="0" applyNumberFormat="1" applyFont="1" applyFill="1" applyBorder="1" applyAlignment="1" applyProtection="1">
      <alignment vertical="center"/>
      <protection locked="0"/>
    </xf>
    <xf numFmtId="3" fontId="3" fillId="6" borderId="1" xfId="0" applyNumberFormat="1" applyFont="1" applyFill="1" applyBorder="1" applyAlignment="1" applyProtection="1">
      <alignment horizontal="center" vertical="center"/>
    </xf>
    <xf numFmtId="3" fontId="3" fillId="0" borderId="1" xfId="0" applyNumberFormat="1" applyFont="1" applyFill="1" applyBorder="1" applyAlignment="1" applyProtection="1">
      <alignment vertical="center"/>
      <protection locked="0"/>
    </xf>
    <xf numFmtId="0" fontId="0" fillId="0" borderId="0" xfId="0" applyFill="1"/>
    <xf numFmtId="3" fontId="5" fillId="0" borderId="1" xfId="0" applyNumberFormat="1" applyFont="1" applyFill="1" applyBorder="1" applyAlignment="1">
      <alignment vertical="center" wrapText="1"/>
    </xf>
    <xf numFmtId="3" fontId="5" fillId="2" borderId="1" xfId="0" applyNumberFormat="1" applyFont="1" applyFill="1" applyBorder="1" applyAlignment="1">
      <alignment vertical="center" wrapText="1"/>
    </xf>
    <xf numFmtId="3" fontId="3" fillId="5" borderId="1" xfId="0" applyNumberFormat="1" applyFont="1" applyFill="1" applyBorder="1" applyAlignment="1" applyProtection="1">
      <alignment vertical="center"/>
    </xf>
    <xf numFmtId="9" fontId="0" fillId="0" borderId="0" xfId="3" applyFont="1"/>
    <xf numFmtId="3" fontId="3" fillId="6" borderId="11" xfId="0" applyNumberFormat="1" applyFont="1" applyFill="1" applyBorder="1" applyAlignment="1" applyProtection="1">
      <alignment horizontal="center" vertical="center"/>
    </xf>
    <xf numFmtId="3" fontId="3" fillId="6" borderId="12" xfId="0" applyNumberFormat="1" applyFont="1" applyFill="1" applyBorder="1" applyAlignment="1" applyProtection="1">
      <alignment horizontal="center" vertical="center"/>
    </xf>
    <xf numFmtId="3" fontId="3" fillId="6" borderId="13" xfId="0" applyNumberFormat="1" applyFont="1" applyFill="1" applyBorder="1" applyAlignment="1" applyProtection="1">
      <alignment horizontal="center" vertical="center"/>
    </xf>
    <xf numFmtId="3" fontId="3" fillId="2" borderId="1" xfId="0" applyNumberFormat="1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vertical="center" wrapText="1"/>
    </xf>
    <xf numFmtId="3" fontId="3" fillId="5" borderId="1" xfId="0" applyNumberFormat="1" applyFont="1" applyFill="1" applyBorder="1" applyAlignment="1" applyProtection="1">
      <alignment vertical="center" wrapText="1"/>
    </xf>
    <xf numFmtId="10" fontId="0" fillId="0" borderId="0" xfId="3" applyNumberFormat="1" applyFont="1"/>
    <xf numFmtId="4" fontId="1" fillId="3" borderId="1" xfId="0" applyNumberFormat="1" applyFont="1" applyFill="1" applyBorder="1" applyAlignment="1">
      <alignment horizontal="right" vertical="center" wrapText="1"/>
    </xf>
    <xf numFmtId="3" fontId="1" fillId="4" borderId="1" xfId="0" applyNumberFormat="1" applyFont="1" applyFill="1" applyBorder="1" applyAlignment="1">
      <alignment vertical="center" wrapText="1"/>
    </xf>
    <xf numFmtId="3" fontId="5" fillId="4" borderId="1" xfId="0" applyNumberFormat="1" applyFont="1" applyFill="1" applyBorder="1" applyAlignment="1">
      <alignment horizontal="left" vertical="center" wrapText="1"/>
    </xf>
    <xf numFmtId="0" fontId="0" fillId="6" borderId="0" xfId="0" applyFill="1" applyProtection="1"/>
    <xf numFmtId="3" fontId="3" fillId="4" borderId="1" xfId="0" applyNumberFormat="1" applyFont="1" applyFill="1" applyBorder="1" applyAlignment="1" applyProtection="1">
      <alignment vertical="center"/>
      <protection locked="0"/>
    </xf>
    <xf numFmtId="3" fontId="1" fillId="3" borderId="1" xfId="0" applyNumberFormat="1" applyFont="1" applyFill="1" applyBorder="1" applyAlignment="1">
      <alignment vertical="center" wrapText="1"/>
    </xf>
    <xf numFmtId="3" fontId="1" fillId="4" borderId="1" xfId="0" applyNumberFormat="1" applyFont="1" applyFill="1" applyBorder="1" applyAlignment="1">
      <alignment horizontal="left" vertical="center" wrapText="1"/>
    </xf>
    <xf numFmtId="177" fontId="1" fillId="5" borderId="1" xfId="0" applyNumberFormat="1" applyFont="1" applyFill="1" applyBorder="1" applyAlignment="1" applyProtection="1">
      <alignment vertical="center" wrapText="1"/>
    </xf>
    <xf numFmtId="3" fontId="1" fillId="0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00"/>
      <color rgb="00FF0000"/>
      <color rgb="00D9D9D9"/>
      <color rgb="00BFBFBF"/>
      <color rgb="0080808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7"/>
  <sheetViews>
    <sheetView showGridLines="0" tabSelected="1" zoomScaleSheetLayoutView="60" topLeftCell="A13" workbookViewId="0">
      <selection activeCell="E22" sqref="E22"/>
    </sheetView>
  </sheetViews>
  <sheetFormatPr defaultColWidth="0" defaultRowHeight="12.75" zeroHeight="1"/>
  <cols>
    <col min="1" max="1" width="3.13636363636364" customWidth="1"/>
    <col min="2" max="2" width="9.28181818181818" customWidth="1"/>
    <col min="3" max="3" width="50.8545454545455" customWidth="1"/>
    <col min="4" max="4" width="11.4272727272727" customWidth="1"/>
    <col min="5" max="5" width="14.2818181818182" customWidth="1"/>
    <col min="6" max="6" width="3.13636363636364" customWidth="1"/>
    <col min="7" max="7" width="0" hidden="1" customWidth="1"/>
    <col min="8" max="8" width="10.2818181818182" hidden="1" customWidth="1"/>
    <col min="9" max="16384" width="0" hidden="1"/>
  </cols>
  <sheetData>
    <row r="1" ht="11.25" customHeight="1"/>
    <row r="2" ht="20.1" customHeight="1" spans="2:5">
      <c r="B2" s="1" t="s">
        <v>0</v>
      </c>
      <c r="C2" s="1"/>
      <c r="D2" s="1"/>
      <c r="E2" s="1"/>
    </row>
    <row r="3" ht="20.1" customHeight="1" spans="2:5">
      <c r="B3" s="2" t="s">
        <v>1</v>
      </c>
      <c r="C3" s="3" t="s">
        <v>2</v>
      </c>
      <c r="D3" s="4"/>
      <c r="E3" s="5"/>
    </row>
    <row r="4" ht="20.1" customHeight="1" spans="2:5">
      <c r="B4" s="6" t="s">
        <v>3</v>
      </c>
      <c r="C4" s="3" t="s">
        <v>4</v>
      </c>
      <c r="D4" s="7"/>
      <c r="E4" s="8"/>
    </row>
    <row r="5" ht="20.1" customHeight="1" spans="2:5">
      <c r="B5" s="9" t="s">
        <v>5</v>
      </c>
      <c r="C5" s="3"/>
      <c r="D5" s="10"/>
      <c r="E5" s="11"/>
    </row>
    <row r="6" ht="20.25" customHeight="1" spans="2:5">
      <c r="B6" s="12"/>
      <c r="C6" s="13"/>
      <c r="D6" s="14"/>
      <c r="E6" s="15"/>
    </row>
    <row r="7" ht="24" customHeight="1" spans="2:5">
      <c r="B7" s="16">
        <v>1</v>
      </c>
      <c r="C7" s="16" t="s">
        <v>6</v>
      </c>
      <c r="D7" s="16" t="s">
        <v>7</v>
      </c>
      <c r="E7" s="17" t="s">
        <v>8</v>
      </c>
    </row>
    <row r="8" ht="28.5" customHeight="1" spans="2:5">
      <c r="B8" s="18">
        <v>1.1</v>
      </c>
      <c r="C8" s="19" t="s">
        <v>9</v>
      </c>
      <c r="D8" s="20">
        <v>0</v>
      </c>
      <c r="E8" s="21"/>
    </row>
    <row r="9" ht="32.25" customHeight="1" spans="2:7">
      <c r="B9" s="18">
        <v>1.2</v>
      </c>
      <c r="C9" s="19" t="s">
        <v>10</v>
      </c>
      <c r="D9" s="22">
        <v>0</v>
      </c>
      <c r="E9" s="21"/>
      <c r="F9" s="23"/>
      <c r="G9" s="23"/>
    </row>
    <row r="10" ht="32.25" customHeight="1" spans="2:7">
      <c r="B10" s="18">
        <v>1.3</v>
      </c>
      <c r="C10" s="19" t="s">
        <v>11</v>
      </c>
      <c r="D10" s="22">
        <v>0</v>
      </c>
      <c r="E10" s="21"/>
      <c r="F10" s="23"/>
      <c r="G10" s="23"/>
    </row>
    <row r="11" ht="27" customHeight="1" spans="2:7">
      <c r="B11" s="18">
        <v>1.4</v>
      </c>
      <c r="C11" s="19" t="s">
        <v>12</v>
      </c>
      <c r="D11" s="22">
        <v>0</v>
      </c>
      <c r="E11" s="21"/>
      <c r="F11" s="23"/>
      <c r="G11" s="23"/>
    </row>
    <row r="12" ht="29.25" customHeight="1" spans="2:7">
      <c r="B12" s="18">
        <v>1.5</v>
      </c>
      <c r="C12" s="24" t="s">
        <v>13</v>
      </c>
      <c r="D12" s="22">
        <v>0</v>
      </c>
      <c r="E12" s="21"/>
      <c r="F12" s="23"/>
      <c r="G12" s="23"/>
    </row>
    <row r="13" ht="29.25" customHeight="1" spans="2:8">
      <c r="B13" s="18"/>
      <c r="C13" s="25" t="s">
        <v>14</v>
      </c>
      <c r="D13" s="26">
        <f>SUM(D8:D12)</f>
        <v>0</v>
      </c>
      <c r="E13" s="26">
        <f>SUM(D8:D12)</f>
        <v>0</v>
      </c>
      <c r="F13" s="23"/>
      <c r="G13" s="23"/>
      <c r="H13" s="27"/>
    </row>
    <row r="14" ht="39.75" customHeight="1" spans="2:7">
      <c r="B14" s="18">
        <v>1.6</v>
      </c>
      <c r="C14" s="19" t="s">
        <v>15</v>
      </c>
      <c r="D14" s="22">
        <v>0</v>
      </c>
      <c r="E14" s="28"/>
      <c r="F14" s="23"/>
      <c r="G14" s="23"/>
    </row>
    <row r="15" ht="36.75" customHeight="1" spans="2:7">
      <c r="B15" s="18">
        <v>1.7</v>
      </c>
      <c r="C15" s="19" t="s">
        <v>16</v>
      </c>
      <c r="D15" s="22">
        <v>0</v>
      </c>
      <c r="E15" s="29"/>
      <c r="F15" s="23"/>
      <c r="G15" s="23"/>
    </row>
    <row r="16" ht="39.75" customHeight="1" spans="2:7">
      <c r="B16" s="18">
        <v>1.8</v>
      </c>
      <c r="C16" s="19" t="s">
        <v>17</v>
      </c>
      <c r="D16" s="22">
        <v>0</v>
      </c>
      <c r="E16" s="29"/>
      <c r="F16" s="23"/>
      <c r="G16" s="23"/>
    </row>
    <row r="17" ht="33.75" customHeight="1" spans="2:7">
      <c r="B17" s="18">
        <v>1.9</v>
      </c>
      <c r="C17" s="19" t="s">
        <v>18</v>
      </c>
      <c r="D17" s="22">
        <v>0</v>
      </c>
      <c r="E17" s="30"/>
      <c r="F17" s="23"/>
      <c r="G17" s="23"/>
    </row>
    <row r="18" ht="28.9" customHeight="1" spans="2:8">
      <c r="B18" s="18"/>
      <c r="C18" s="31" t="s">
        <v>19</v>
      </c>
      <c r="D18" s="26">
        <f>SUM(D14:D17)</f>
        <v>0</v>
      </c>
      <c r="E18" s="26">
        <f>+IF(E13&gt;=D20*0.65,IF(D20*0.2&lt;=D18,D20*0.2,D18),IF((E13*0.2)/0.65&lt;=D18,(E13*0.2)/0.65,D18))</f>
        <v>0</v>
      </c>
      <c r="F18" s="23"/>
      <c r="G18" s="23"/>
      <c r="H18" s="27"/>
    </row>
    <row r="19" ht="37.5" customHeight="1" spans="2:9">
      <c r="B19" s="32">
        <v>1.1</v>
      </c>
      <c r="C19" s="33" t="s">
        <v>20</v>
      </c>
      <c r="D19" s="22">
        <v>0</v>
      </c>
      <c r="E19" s="34">
        <f>+IF(E13&gt;=D20*0.65,IF(D20*0.15&lt;=D19,D20*0.15,D19),IF((E13*0.15)/0.65&lt;=D19,(E13*0.15)/0.65,D19))</f>
        <v>0</v>
      </c>
      <c r="F19" s="23"/>
      <c r="G19" s="23"/>
      <c r="H19" s="35"/>
      <c r="I19" s="48"/>
    </row>
    <row r="20" ht="28.9" customHeight="1" spans="2:7">
      <c r="B20" s="36">
        <v>1.11</v>
      </c>
      <c r="C20" s="25" t="s">
        <v>21</v>
      </c>
      <c r="D20" s="17">
        <f>+D13+D18+D19</f>
        <v>0</v>
      </c>
      <c r="E20" s="17">
        <f>SUM(E13+E18+E19)</f>
        <v>0</v>
      </c>
      <c r="F20" s="23"/>
      <c r="G20" s="23"/>
    </row>
    <row r="21" ht="24.6" customHeight="1" spans="2:7">
      <c r="B21" s="37">
        <v>2</v>
      </c>
      <c r="C21" s="38" t="s">
        <v>22</v>
      </c>
      <c r="D21" s="39"/>
      <c r="E21" s="40">
        <v>0</v>
      </c>
      <c r="F21" s="23"/>
      <c r="G21" s="23"/>
    </row>
    <row r="22" ht="37.9" customHeight="1" spans="2:7">
      <c r="B22" s="41">
        <v>3</v>
      </c>
      <c r="C22" s="42" t="s">
        <v>23</v>
      </c>
      <c r="D22" s="39"/>
      <c r="E22" s="43">
        <f>IF(E21=0,0,E20/E21)</f>
        <v>0</v>
      </c>
      <c r="F22" s="23"/>
      <c r="G22" s="23"/>
    </row>
    <row r="23" ht="27.6" customHeight="1" spans="2:8">
      <c r="B23" s="41" t="s">
        <v>24</v>
      </c>
      <c r="C23" s="44" t="s">
        <v>25</v>
      </c>
      <c r="D23" s="44"/>
      <c r="E23" s="44"/>
      <c r="F23" s="23"/>
      <c r="G23" s="23"/>
      <c r="H23" s="23"/>
    </row>
    <row r="24" ht="19.5" customHeight="1" spans="2:8">
      <c r="B24" s="45"/>
      <c r="C24" s="38" t="s">
        <v>26</v>
      </c>
      <c r="D24" s="38"/>
      <c r="E24" s="38"/>
      <c r="F24" s="23"/>
      <c r="G24" s="23"/>
      <c r="H24" s="23"/>
    </row>
    <row r="25" ht="18" customHeight="1" spans="2:6">
      <c r="B25" s="46"/>
      <c r="C25" s="46"/>
      <c r="D25" s="46"/>
      <c r="E25" s="46"/>
      <c r="F25" s="47"/>
    </row>
    <row r="26" ht="11.25" hidden="1" customHeight="1"/>
    <row r="27" ht="12.5" hidden="1"/>
  </sheetData>
  <sheetProtection password="DE1B" sheet="1"/>
  <mergeCells count="5">
    <mergeCell ref="B2:E2"/>
    <mergeCell ref="C23:E23"/>
    <mergeCell ref="C24:E24"/>
    <mergeCell ref="E8:E12"/>
    <mergeCell ref="E14:E17"/>
  </mergeCells>
  <dataValidations count="1">
    <dataValidation type="whole" operator="greaterThanOrEqual" allowBlank="1" showInputMessage="1" showErrorMessage="1" error="Please input a valid data!" sqref="D19 E21 D8:D12 D14:D17">
      <formula1>0</formula1>
    </dataValidation>
  </dataValidations>
  <printOptions gridLines="1"/>
  <pageMargins left="0.23" right="0.17" top="0.354329615048119" bottom="0.27" header="0.196848206474191" footer="0.15748031496063"/>
  <pageSetup paperSize="9" fitToHeight="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21June2015 BRF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Sulayman Ali Gondal</dc:creator>
  <cp:lastModifiedBy>user</cp:lastModifiedBy>
  <dcterms:created xsi:type="dcterms:W3CDTF">2015-06-16T07:03:22Z</dcterms:created>
  <cp:lastPrinted>2015-06-07T06:27:51Z</cp:lastPrinted>
  <dcterms:modified xsi:type="dcterms:W3CDTF">2024-02-22T05:48:10Z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96 96 1440 900</vt:lpwstr>
  </property>
  <property fmtid="{D5CDD505-2E9C-101B-9397-08002B2CF9AE}" pid="3" name="ICV">
    <vt:lpwstr>0B972EB8DDA64061B1E66C6E38C1C760_13</vt:lpwstr>
  </property>
  <property fmtid="{D5CDD505-2E9C-101B-9397-08002B2CF9AE}" pid="4" name="KSOProductBuildVer">
    <vt:lpwstr>1033-12.2.0.13431</vt:lpwstr>
  </property>
</Properties>
</file>