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<sst xmlns="http://schemas.openxmlformats.org/spreadsheetml/2006/main" count="57" uniqueCount="57">
  <si>
    <t xml:space="preserve"> BANKING AND MONETARY STATISTICS-  LENDING TO STABLE RESOURCES RATIO (LSRR)- BRF 7  (AED IN 000)</t>
  </si>
  <si>
    <t>Template ID:</t>
  </si>
  <si>
    <t>2-7-2-0</t>
  </si>
  <si>
    <t xml:space="preserve">Name of Bank : </t>
  </si>
  <si>
    <t>Bank of Baroda</t>
  </si>
  <si>
    <t>Month End:</t>
  </si>
  <si>
    <t>Items</t>
  </si>
  <si>
    <t>Amount</t>
  </si>
  <si>
    <t>Computation of Advances</t>
  </si>
  <si>
    <t>Net Lending (BRF1 Item 7+8) minus {Specific (BRF-2: item 25.1) + Collective impairment provision (BRF-2 items 25.2.1+25.2.2) + interest in Suspense (BRF-2 item: 25.3}</t>
  </si>
  <si>
    <t>Lending to NBFI (BRF 1, item 4)</t>
  </si>
  <si>
    <t>Financial Guarantees &amp; Stand-by LC Issued (BRF 3-Item 3.1)</t>
  </si>
  <si>
    <t xml:space="preserve">Financial Guarantees &amp; Stand -by LCs Received </t>
  </si>
  <si>
    <t>Interbank Placements with a remaining life of more than 3 months (BRF 9)</t>
  </si>
  <si>
    <t>Total Advances</t>
  </si>
  <si>
    <t>Calculation of Net Stable Ressources</t>
  </si>
  <si>
    <t>Total own funds (BRF2 Liab: item 28 + item 26.7)+ Gen provision (BRF-2 Liab: item 25.2.3)</t>
  </si>
  <si>
    <t xml:space="preserve">Deduct: </t>
  </si>
  <si>
    <t>2.1.1</t>
  </si>
  <si>
    <t>Goodwill and other intangible assets (BRF1 Assets: 11.3 and 11.4)</t>
  </si>
  <si>
    <t>2.1.2</t>
  </si>
  <si>
    <t>Fixed Assets (BRF1 Assets: 9.1 + 9.2 + 9.3 + 9.5)</t>
  </si>
  <si>
    <t>2.1.3</t>
  </si>
  <si>
    <t>Funds allocated to branches abroad (BRF1 Assets: 9.4)</t>
  </si>
  <si>
    <t>2.1.4</t>
  </si>
  <si>
    <t>Treasury shares held / No INPUT required here</t>
  </si>
  <si>
    <t>2.1.5</t>
  </si>
  <si>
    <t xml:space="preserve">Unquoted Investments (BRF 5- Applicable items) </t>
  </si>
  <si>
    <t>2.1.6</t>
  </si>
  <si>
    <t>Investment in  subsidiaries, associates and affiliates ( BRF5- Applicable items)</t>
  </si>
  <si>
    <t>2.1.7</t>
  </si>
  <si>
    <t>Total deduction</t>
  </si>
  <si>
    <t>Net Free Capital Funds</t>
  </si>
  <si>
    <t>Other stable resources:</t>
  </si>
  <si>
    <t>2.3.1</t>
  </si>
  <si>
    <t>Non repayable head office funds (BRF2 Liab- Item 26.5)</t>
  </si>
  <si>
    <t>2.3.2</t>
  </si>
  <si>
    <t>Interbank deposits with remaining life of more than 6 months (BRF 9)</t>
  </si>
  <si>
    <t>2.3.3</t>
  </si>
  <si>
    <t>Refinancing of Housing Loans</t>
  </si>
  <si>
    <t>2.3.4 (a)</t>
  </si>
  <si>
    <t>Borrowing from non-Banking Financial Institutions remaining life of more than 6 months (BRF 9)</t>
  </si>
  <si>
    <t>2.3.4 (b)</t>
  </si>
  <si>
    <t>85% of the rest of NBFI Deposits</t>
  </si>
  <si>
    <t>2.3.5 (a)</t>
  </si>
  <si>
    <t>Customer Deposits with remaining life of more than 6 months (BRF 9)</t>
  </si>
  <si>
    <t>2.3.5 (b)</t>
  </si>
  <si>
    <t>85% of the rest of Customer Deposits</t>
  </si>
  <si>
    <t>2.3.6</t>
  </si>
  <si>
    <t>Capital market funding/ term borrowings maturing after 6 months from reporting date (BRF 9)</t>
  </si>
  <si>
    <t>2.3.7</t>
  </si>
  <si>
    <t>Head Office loans towards meeting Large Exposure Funding (BRF 2 Liab- item 26.6)</t>
  </si>
  <si>
    <t>2.3.8</t>
  </si>
  <si>
    <t>Total other stable resources</t>
  </si>
  <si>
    <t>Total Stable Resources (2.2+2.3.8)</t>
  </si>
  <si>
    <t>LENDING TO STABLE RESOURCES RATIO  (1.6/ 2.4*100)</t>
  </si>
  <si>
    <t>FORM NO:BSD/ BRF 7- LSRR/MAY 16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</si>
</sst>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8">
    <font>
      <sz val="10"/>
      <name val="Arial"/>
      <charset val="0"/>
    </font>
    <font>
      <sz val="12"/>
      <name val="Calibri"/>
      <family val="2"/>
      <charset val="0"/>
    </font>
    <font>
      <b/>
      <sz val="8"/>
      <name val="Arial"/>
      <family val="2"/>
      <charset val="0"/>
    </font>
    <font>
      <b/>
      <sz val="8"/>
      <color indexed="8"/>
      <name val="Arial"/>
      <family val="2"/>
      <charset val="0"/>
    </font>
    <font>
      <sz val="8"/>
      <name val="Arial"/>
      <family val="2"/>
      <charset val="0"/>
    </font>
    <font>
      <sz val="8"/>
      <color indexed="8"/>
      <name val="Arial"/>
      <family val="2"/>
      <charset val="0"/>
    </font>
    <font>
      <sz val="12"/>
      <color indexed="10"/>
      <name val="Calibri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name val="Arial"/>
      <family val="2"/>
      <charset val="0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  <font>
      <sz val="12"/>
      <name val="Times New Roman"/>
      <family val="1"/>
      <charset val="0"/>
    </font>
  </fonts>
  <fills count="3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8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5" fillId="0" borderId="11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12" applyNumberFormat="0" applyAlignment="0" applyProtection="0"/>
    <xf numFmtId="0" fontId="17" fillId="10" borderId="13" applyNumberFormat="0" applyAlignment="0" applyProtection="0"/>
    <xf numFmtId="0" fontId="18" fillId="10" borderId="12" applyNumberFormat="0" applyAlignment="0" applyProtection="0"/>
    <xf numFmtId="0" fontId="19" fillId="11" borderId="14" applyNumberFormat="0" applyAlignment="0" applyProtection="0"/>
    <xf numFmtId="0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2" fillId="12" borderId="0" applyNumberFormat="0" applyBorder="0" applyAlignment="0" applyProtection="0"/>
    <xf numFmtId="0" fontId="23" fillId="13" borderId="0" applyNumberFormat="0" applyBorder="0" applyAlignment="0" applyProtection="0"/>
    <xf numFmtId="0" fontId="24" fillId="14" borderId="0" applyNumberFormat="0" applyBorder="0" applyAlignment="0" applyProtection="0"/>
    <xf numFmtId="0" fontId="25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3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5" fillId="38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27" fillId="0" borderId="0">
      <alignment vertical="center"/>
    </xf>
  </cellStyleXfs>
  <cellXfs count="40">
    <xf numFmtId="0" fontId="0" fillId="0" borderId="0" xfId="0"/>
    <xf numFmtId="0" fontId="1" fillId="0" borderId="0" xfId="52" applyFont="1" applyFill="1" applyBorder="1" applyProtection="1">
      <alignment vertical="center"/>
    </xf>
    <xf numFmtId="0" fontId="1" fillId="0" borderId="0" xfId="52" applyFont="1" applyFill="1" applyBorder="1" applyAlignment="1" applyProtection="1">
      <alignment vertical="center"/>
    </xf>
    <xf numFmtId="0" fontId="1" fillId="0" borderId="0" xfId="52" applyFont="1" applyFill="1" applyBorder="1" applyAlignment="1" applyProtection="1">
      <alignment horizontal="right" vertical="center"/>
    </xf>
    <xf numFmtId="0" fontId="2" fillId="2" borderId="1" xfId="51" applyFont="1" applyFill="1" applyBorder="1" applyAlignment="1" applyProtection="1">
      <alignment horizontal="center"/>
    </xf>
    <xf numFmtId="0" fontId="2" fillId="2" borderId="2" xfId="51" applyFont="1" applyFill="1" applyBorder="1" applyAlignment="1" applyProtection="1">
      <alignment horizontal="center"/>
    </xf>
    <xf numFmtId="0" fontId="2" fillId="2" borderId="3" xfId="51" applyFont="1" applyFill="1" applyBorder="1" applyAlignment="1" applyProtection="1">
      <alignment horizontal="center"/>
    </xf>
    <xf numFmtId="0" fontId="3" fillId="3" borderId="4" xfId="49" applyFont="1" applyFill="1" applyBorder="1" applyAlignment="1" applyProtection="1"/>
    <xf numFmtId="15" fontId="2" fillId="0" borderId="4" xfId="50" applyNumberFormat="1" applyFont="1" applyFill="1" applyBorder="1" applyAlignment="1" applyProtection="1">
      <alignment horizontal="left"/>
    </xf>
    <xf numFmtId="0" fontId="2" fillId="0" borderId="5" xfId="52" applyFont="1" applyFill="1" applyBorder="1" applyAlignment="1" applyProtection="1">
      <alignment horizontal="center"/>
    </xf>
    <xf numFmtId="15" fontId="2" fillId="3" borderId="4" xfId="50" applyNumberFormat="1" applyFont="1" applyFill="1" applyBorder="1" applyAlignment="1" applyProtection="1">
      <alignment horizontal="left"/>
    </xf>
    <xf numFmtId="0" fontId="2" fillId="0" borderId="6" xfId="52" applyFont="1" applyFill="1" applyBorder="1" applyAlignment="1" applyProtection="1">
      <alignment horizontal="center"/>
    </xf>
    <xf numFmtId="0" fontId="2" fillId="3" borderId="4" xfId="50" applyFont="1" applyFill="1" applyBorder="1" applyProtection="1"/>
    <xf numFmtId="0" fontId="2" fillId="0" borderId="7" xfId="52" applyFont="1" applyFill="1" applyBorder="1" applyAlignment="1" applyProtection="1">
      <alignment horizontal="center"/>
    </xf>
    <xf numFmtId="0" fontId="1" fillId="0" borderId="4" xfId="52" applyFont="1" applyFill="1" applyBorder="1" applyAlignment="1" applyProtection="1">
      <alignment horizontal="center" vertical="center"/>
    </xf>
    <xf numFmtId="0" fontId="2" fillId="4" borderId="4" xfId="50" applyFont="1" applyFill="1" applyBorder="1" applyAlignment="1" applyProtection="1">
      <alignment horizontal="left" wrapText="1"/>
    </xf>
    <xf numFmtId="0" fontId="2" fillId="4" borderId="4" xfId="50" applyFont="1" applyFill="1" applyBorder="1" applyAlignment="1" applyProtection="1">
      <alignment wrapText="1"/>
    </xf>
    <xf numFmtId="0" fontId="4" fillId="4" borderId="4" xfId="52" applyFont="1" applyFill="1" applyBorder="1" applyProtection="1">
      <alignment vertical="center"/>
    </xf>
    <xf numFmtId="0" fontId="5" fillId="0" borderId="4" xfId="52" applyFont="1" applyFill="1" applyBorder="1" applyAlignment="1" applyProtection="1">
      <alignment vertical="center" wrapText="1"/>
    </xf>
    <xf numFmtId="0" fontId="5" fillId="5" borderId="4" xfId="52" applyFont="1" applyFill="1" applyBorder="1" applyAlignment="1" applyProtection="1">
      <alignment horizontal="right" vertical="center" wrapText="1"/>
    </xf>
    <xf numFmtId="0" fontId="5" fillId="6" borderId="4" xfId="52" applyFont="1" applyFill="1" applyBorder="1" applyAlignment="1" applyProtection="1">
      <alignment vertical="center" wrapText="1"/>
    </xf>
    <xf numFmtId="1" fontId="5" fillId="5" borderId="4" xfId="52" applyNumberFormat="1" applyFont="1" applyFill="1" applyBorder="1" applyAlignment="1" applyProtection="1">
      <alignment wrapText="1"/>
      <protection locked="0"/>
    </xf>
    <xf numFmtId="0" fontId="5" fillId="7" borderId="4" xfId="52" applyFont="1" applyFill="1" applyBorder="1" applyAlignment="1" applyProtection="1">
      <alignment vertical="center" wrapText="1"/>
    </xf>
    <xf numFmtId="0" fontId="5" fillId="5" borderId="4" xfId="52" applyFont="1" applyFill="1" applyBorder="1" applyAlignment="1" applyProtection="1">
      <alignment vertical="center" wrapText="1"/>
    </xf>
    <xf numFmtId="1" fontId="5" fillId="4" borderId="4" xfId="52" applyNumberFormat="1" applyFont="1" applyFill="1" applyBorder="1" applyAlignment="1" applyProtection="1">
      <alignment wrapText="1"/>
    </xf>
    <xf numFmtId="0" fontId="5" fillId="0" borderId="4" xfId="52" applyFont="1" applyFill="1" applyBorder="1" applyAlignment="1" applyProtection="1">
      <alignment horizontal="right" vertical="center" wrapText="1"/>
    </xf>
    <xf numFmtId="1" fontId="5" fillId="0" borderId="4" xfId="52" applyNumberFormat="1" applyFont="1" applyFill="1" applyBorder="1" applyAlignment="1" applyProtection="1">
      <alignment wrapText="1"/>
      <protection locked="0"/>
    </xf>
    <xf numFmtId="0" fontId="4" fillId="0" borderId="4" xfId="52" applyFont="1" applyFill="1" applyBorder="1" applyAlignment="1" applyProtection="1">
      <alignment horizontal="right" vertical="center"/>
    </xf>
    <xf numFmtId="0" fontId="5" fillId="3" borderId="4" xfId="52" applyFont="1" applyFill="1" applyBorder="1" applyAlignment="1" applyProtection="1">
      <alignment vertical="center" wrapText="1"/>
    </xf>
    <xf numFmtId="0" fontId="5" fillId="3" borderId="4" xfId="52" applyFont="1" applyFill="1" applyBorder="1" applyAlignment="1" applyProtection="1">
      <alignment horizontal="right" vertical="center" wrapText="1"/>
    </xf>
    <xf numFmtId="1" fontId="4" fillId="3" borderId="4" xfId="52" applyNumberFormat="1" applyFont="1" applyFill="1" applyBorder="1" applyAlignment="1" applyProtection="1">
      <alignment wrapText="1"/>
    </xf>
    <xf numFmtId="0" fontId="2" fillId="4" borderId="4" xfId="50" applyFont="1" applyFill="1" applyBorder="1" applyAlignment="1" applyProtection="1">
      <alignment horizontal="right" wrapText="1"/>
    </xf>
    <xf numFmtId="1" fontId="5" fillId="3" borderId="4" xfId="52" applyNumberFormat="1" applyFont="1" applyFill="1" applyBorder="1" applyAlignment="1" applyProtection="1">
      <alignment wrapText="1"/>
    </xf>
    <xf numFmtId="0" fontId="4" fillId="5" borderId="4" xfId="52" applyFont="1" applyFill="1" applyBorder="1" applyAlignment="1" applyProtection="1">
      <alignment vertical="center" wrapText="1"/>
    </xf>
    <xf numFmtId="2" fontId="5" fillId="3" borderId="4" xfId="52" applyNumberFormat="1" applyFont="1" applyFill="1" applyBorder="1" applyAlignment="1" applyProtection="1">
      <alignment wrapText="1"/>
    </xf>
    <xf numFmtId="0" fontId="1" fillId="0" borderId="4" xfId="52" applyFont="1" applyFill="1" applyBorder="1" applyAlignment="1" applyProtection="1">
      <alignment vertical="center"/>
    </xf>
    <xf numFmtId="0" fontId="2" fillId="7" borderId="4" xfId="50" applyFont="1" applyFill="1" applyBorder="1" applyAlignment="1" applyProtection="1">
      <alignment wrapText="1"/>
    </xf>
    <xf numFmtId="0" fontId="1" fillId="0" borderId="4" xfId="52" applyFont="1" applyFill="1" applyBorder="1" applyProtection="1">
      <alignment vertical="center"/>
    </xf>
    <xf numFmtId="0" fontId="6" fillId="5" borderId="0" xfId="52" applyFont="1" applyFill="1" applyBorder="1" applyAlignment="1" applyProtection="1">
      <alignment vertical="center"/>
    </xf>
    <xf numFmtId="0" fontId="6" fillId="5" borderId="0" xfId="52" applyFont="1" applyFill="1" applyBorder="1" applyAlignment="1" applyProtection="1">
      <alignment horizontal="right"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5" xfId="51"/>
    <cellStyle name="Normal 6" xfId="52"/>
  </cellStyles>
  <tableStyles count="0" defaultTableStyle="TableStyleMedium9" defaultPivotStyle="PivotStyleLight16"/>
  <colors>
    <mruColors>
      <color rgb="00FFFF00"/>
      <color rgb="00FF0000"/>
      <color rgb="00BFBFBF"/>
      <color rgb="00C0C0C0"/>
      <color rgb="00FFFFFF"/>
      <color rgb="0096969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45"/>
  <sheetViews>
    <sheetView showGridLines="0" tabSelected="1" zoomScaleSheetLayoutView="60" workbookViewId="0">
      <selection activeCell="D8" sqref="D8"/>
    </sheetView>
  </sheetViews>
  <sheetFormatPr defaultColWidth="0" defaultRowHeight="18" customHeight="1" zeroHeight="1" outlineLevelCol="4"/>
  <cols>
    <col min="1" max="1" width="9.13636363636364" style="1" customWidth="1"/>
    <col min="2" max="2" width="13.1363636363636" style="2" customWidth="1"/>
    <col min="3" max="3" width="6.13636363636364" style="3" customWidth="1"/>
    <col min="4" max="4" width="63.1363636363636" style="2" customWidth="1"/>
    <col min="5" max="5" width="24.5727272727273" style="1" customWidth="1"/>
    <col min="6" max="6" width="9.13636363636364" style="1" customWidth="1"/>
    <col min="7" max="16384" width="0" style="1" hidden="1"/>
  </cols>
  <sheetData>
    <row r="1" customHeight="1"/>
    <row r="2" customHeight="1" spans="2:5">
      <c r="B2" s="4" t="s">
        <v>0</v>
      </c>
      <c r="C2" s="5"/>
      <c r="D2" s="5"/>
      <c r="E2" s="6"/>
    </row>
    <row r="3" customHeight="1" spans="2:5">
      <c r="B3" s="7" t="s">
        <v>1</v>
      </c>
      <c r="C3" s="8" t="s">
        <v>2</v>
      </c>
      <c r="D3" s="8"/>
      <c r="E3" s="9"/>
    </row>
    <row r="4" customHeight="1" spans="2:5">
      <c r="B4" s="10" t="s">
        <v>3</v>
      </c>
      <c r="C4" s="8" t="s">
        <v>4</v>
      </c>
      <c r="D4" s="8"/>
      <c r="E4" s="11"/>
    </row>
    <row r="5" customHeight="1" spans="2:5">
      <c r="B5" s="12" t="s">
        <v>5</v>
      </c>
      <c r="C5" s="8"/>
      <c r="D5" s="8"/>
      <c r="E5" s="13"/>
    </row>
    <row r="6" customHeight="1" spans="2:5">
      <c r="B6" s="14"/>
      <c r="C6" s="14"/>
      <c r="D6" s="14"/>
      <c r="E6" s="14"/>
    </row>
    <row r="7" customHeight="1" spans="2:5">
      <c r="B7" s="15"/>
      <c r="C7" s="15"/>
      <c r="D7" s="15" t="s">
        <v>6</v>
      </c>
      <c r="E7" s="15" t="s">
        <v>7</v>
      </c>
    </row>
    <row r="8" customHeight="1" spans="2:5">
      <c r="B8" s="16">
        <v>1</v>
      </c>
      <c r="C8" s="16"/>
      <c r="D8" s="16" t="s">
        <v>8</v>
      </c>
      <c r="E8" s="17"/>
    </row>
    <row r="9" ht="27" customHeight="1" spans="2:5">
      <c r="B9" s="18"/>
      <c r="C9" s="19">
        <v>1.1</v>
      </c>
      <c r="D9" s="20" t="s">
        <v>9</v>
      </c>
      <c r="E9" s="21">
        <v>0</v>
      </c>
    </row>
    <row r="10" ht="12.5" spans="2:5">
      <c r="B10" s="18"/>
      <c r="C10" s="19">
        <v>1.2</v>
      </c>
      <c r="D10" s="22" t="s">
        <v>10</v>
      </c>
      <c r="E10" s="21">
        <v>0</v>
      </c>
    </row>
    <row r="11" ht="12.5" spans="2:5">
      <c r="B11" s="18"/>
      <c r="C11" s="19">
        <v>1.3</v>
      </c>
      <c r="D11" s="23" t="s">
        <v>11</v>
      </c>
      <c r="E11" s="21">
        <v>0</v>
      </c>
    </row>
    <row r="12" ht="12.5" spans="2:5">
      <c r="B12" s="18"/>
      <c r="C12" s="19">
        <v>1.4</v>
      </c>
      <c r="D12" s="23" t="s">
        <v>12</v>
      </c>
      <c r="E12" s="21">
        <v>0</v>
      </c>
    </row>
    <row r="13" ht="12.5" spans="2:5">
      <c r="B13" s="18"/>
      <c r="C13" s="19">
        <v>1.5</v>
      </c>
      <c r="D13" s="23" t="s">
        <v>13</v>
      </c>
      <c r="E13" s="21">
        <v>0</v>
      </c>
    </row>
    <row r="14" ht="12.5" spans="2:5">
      <c r="B14" s="16"/>
      <c r="C14" s="16">
        <v>1.6</v>
      </c>
      <c r="D14" s="16" t="s">
        <v>14</v>
      </c>
      <c r="E14" s="24">
        <f>E9+E10+E11-E12+E13</f>
        <v>0</v>
      </c>
    </row>
    <row r="15" ht="12.5" spans="2:5">
      <c r="B15" s="16">
        <v>2</v>
      </c>
      <c r="C15" s="16"/>
      <c r="D15" s="16" t="s">
        <v>15</v>
      </c>
      <c r="E15" s="24"/>
    </row>
    <row r="16" ht="12.5" spans="2:5">
      <c r="B16" s="18"/>
      <c r="C16" s="25">
        <v>2.1</v>
      </c>
      <c r="D16" s="20" t="s">
        <v>16</v>
      </c>
      <c r="E16" s="26">
        <v>0</v>
      </c>
    </row>
    <row r="17" ht="12.5" spans="2:5">
      <c r="B17" s="16"/>
      <c r="C17" s="16"/>
      <c r="D17" s="16" t="s">
        <v>17</v>
      </c>
      <c r="E17" s="16"/>
    </row>
    <row r="18" ht="12.5" spans="2:5">
      <c r="B18" s="18"/>
      <c r="C18" s="27" t="s">
        <v>18</v>
      </c>
      <c r="D18" s="18" t="s">
        <v>19</v>
      </c>
      <c r="E18" s="26">
        <v>0</v>
      </c>
    </row>
    <row r="19" ht="12.5" spans="2:5">
      <c r="B19" s="18"/>
      <c r="C19" s="27" t="s">
        <v>20</v>
      </c>
      <c r="D19" s="23" t="s">
        <v>21</v>
      </c>
      <c r="E19" s="26">
        <v>0</v>
      </c>
    </row>
    <row r="20" ht="12.5" spans="2:5">
      <c r="B20" s="18"/>
      <c r="C20" s="27" t="s">
        <v>22</v>
      </c>
      <c r="D20" s="18" t="s">
        <v>23</v>
      </c>
      <c r="E20" s="26">
        <v>0</v>
      </c>
    </row>
    <row r="21" ht="12.5" spans="2:5">
      <c r="B21" s="28"/>
      <c r="C21" s="29" t="s">
        <v>24</v>
      </c>
      <c r="D21" s="28" t="s">
        <v>25</v>
      </c>
      <c r="E21" s="30">
        <f>0</f>
        <v>0</v>
      </c>
    </row>
    <row r="22" ht="12.5" spans="2:5">
      <c r="B22" s="18"/>
      <c r="C22" s="27" t="s">
        <v>26</v>
      </c>
      <c r="D22" s="18" t="s">
        <v>27</v>
      </c>
      <c r="E22" s="26">
        <v>0</v>
      </c>
    </row>
    <row r="23" ht="12.5" spans="2:5">
      <c r="B23" s="18"/>
      <c r="C23" s="27" t="s">
        <v>28</v>
      </c>
      <c r="D23" s="23" t="s">
        <v>29</v>
      </c>
      <c r="E23" s="26">
        <v>0</v>
      </c>
    </row>
    <row r="24" ht="12.5" spans="2:5">
      <c r="B24" s="16"/>
      <c r="C24" s="31" t="s">
        <v>30</v>
      </c>
      <c r="D24" s="16" t="s">
        <v>31</v>
      </c>
      <c r="E24" s="32">
        <f>SUM(E18:E23)</f>
        <v>0</v>
      </c>
    </row>
    <row r="25" ht="12.5" spans="2:5">
      <c r="B25" s="16"/>
      <c r="C25" s="16">
        <v>2.2</v>
      </c>
      <c r="D25" s="16" t="s">
        <v>32</v>
      </c>
      <c r="E25" s="32">
        <f>+E16-E24</f>
        <v>0</v>
      </c>
    </row>
    <row r="26" ht="12.5" spans="2:5">
      <c r="B26" s="16"/>
      <c r="C26" s="16">
        <v>2.3</v>
      </c>
      <c r="D26" s="16" t="s">
        <v>33</v>
      </c>
      <c r="E26" s="32"/>
    </row>
    <row r="27" ht="12.5" spans="2:5">
      <c r="B27" s="18"/>
      <c r="C27" s="19" t="s">
        <v>34</v>
      </c>
      <c r="D27" s="18" t="s">
        <v>35</v>
      </c>
      <c r="E27" s="26">
        <v>0</v>
      </c>
    </row>
    <row r="28" ht="12.5" spans="2:5">
      <c r="B28" s="18"/>
      <c r="C28" s="19" t="s">
        <v>36</v>
      </c>
      <c r="D28" s="18" t="s">
        <v>37</v>
      </c>
      <c r="E28" s="26">
        <v>0</v>
      </c>
    </row>
    <row r="29" ht="12.5" spans="2:5">
      <c r="B29" s="18"/>
      <c r="C29" s="19" t="s">
        <v>38</v>
      </c>
      <c r="D29" s="33" t="s">
        <v>39</v>
      </c>
      <c r="E29" s="26">
        <v>0</v>
      </c>
    </row>
    <row r="30" ht="12.5" spans="2:5">
      <c r="B30" s="18"/>
      <c r="C30" s="19" t="s">
        <v>40</v>
      </c>
      <c r="D30" s="33" t="s">
        <v>41</v>
      </c>
      <c r="E30" s="26">
        <v>0</v>
      </c>
    </row>
    <row r="31" ht="12.5" spans="2:5">
      <c r="B31" s="18"/>
      <c r="C31" s="19" t="s">
        <v>42</v>
      </c>
      <c r="D31" s="33" t="s">
        <v>43</v>
      </c>
      <c r="E31" s="26">
        <v>0</v>
      </c>
    </row>
    <row r="32" ht="12.5" spans="2:5">
      <c r="B32" s="18"/>
      <c r="C32" s="19" t="s">
        <v>44</v>
      </c>
      <c r="D32" s="18" t="s">
        <v>45</v>
      </c>
      <c r="E32" s="26">
        <v>0</v>
      </c>
    </row>
    <row r="33" ht="12.5" spans="2:5">
      <c r="B33" s="18"/>
      <c r="C33" s="19" t="s">
        <v>46</v>
      </c>
      <c r="D33" s="18" t="s">
        <v>47</v>
      </c>
      <c r="E33" s="26">
        <v>0</v>
      </c>
    </row>
    <row r="34" ht="12.5" spans="2:5">
      <c r="B34" s="18"/>
      <c r="C34" s="19" t="s">
        <v>48</v>
      </c>
      <c r="D34" s="18" t="s">
        <v>49</v>
      </c>
      <c r="E34" s="26">
        <v>0</v>
      </c>
    </row>
    <row r="35" ht="12.5" spans="2:5">
      <c r="B35" s="18"/>
      <c r="C35" s="19" t="s">
        <v>50</v>
      </c>
      <c r="D35" s="18" t="s">
        <v>51</v>
      </c>
      <c r="E35" s="26">
        <v>0</v>
      </c>
    </row>
    <row r="36" ht="12.5" spans="2:5">
      <c r="B36" s="16"/>
      <c r="C36" s="31" t="s">
        <v>52</v>
      </c>
      <c r="D36" s="16" t="s">
        <v>53</v>
      </c>
      <c r="E36" s="32">
        <f>SUM(E27:E35)</f>
        <v>0</v>
      </c>
    </row>
    <row r="37" ht="12.5" spans="2:5">
      <c r="B37" s="16"/>
      <c r="C37" s="16">
        <v>2.4</v>
      </c>
      <c r="D37" s="16" t="s">
        <v>54</v>
      </c>
      <c r="E37" s="32">
        <f>+E25+E36</f>
        <v>0</v>
      </c>
    </row>
    <row r="38" ht="12.5" spans="2:5">
      <c r="B38" s="16">
        <v>3</v>
      </c>
      <c r="C38" s="16"/>
      <c r="D38" s="16" t="s">
        <v>55</v>
      </c>
      <c r="E38" s="34">
        <f>IF(E37=0,0,(+E14/E37)*100)</f>
        <v>0</v>
      </c>
    </row>
    <row r="39" ht="15.5" spans="2:5">
      <c r="B39" s="35"/>
      <c r="C39" s="35"/>
      <c r="D39" s="36" t="s">
        <v>56</v>
      </c>
      <c r="E39" s="37"/>
    </row>
    <row r="40" customHeight="1" spans="2:4">
      <c r="B40" s="38"/>
      <c r="C40" s="39"/>
      <c r="D40" s="38"/>
    </row>
    <row r="41" hidden="1" customHeight="1" spans="4:4">
      <c r="D41" s="1"/>
    </row>
    <row r="43" customHeight="1"/>
    <row r="44" customHeight="1"/>
    <row r="45" customHeight="1"/>
  </sheetData>
  <sheetProtection password="DE1B" sheet="1" formatCells="0" formatColumns="0" formatRows="0" insertRows="0" insertColumns="0" insertHyperlinks="0" deleteColumns="0" deleteRows="0" sort="0" autoFilter="0" pivotTables="0"/>
  <mergeCells count="6">
    <mergeCell ref="B2:E2"/>
    <mergeCell ref="C3:D3"/>
    <mergeCell ref="C4:D4"/>
    <mergeCell ref="C5:D5"/>
    <mergeCell ref="B6:E6"/>
    <mergeCell ref="E3:E5"/>
  </mergeCells>
  <dataValidations count="2">
    <dataValidation type="whole" operator="greaterThanOrEqual" showInputMessage="1" showErrorMessage="1" error="Please input a valid data!" sqref="E12">
      <formula1>0</formula1>
    </dataValidation>
    <dataValidation type="whole" operator="greaterThanOrEqual" allowBlank="1" showInputMessage="1" showErrorMessage="1" error="Please input a valid data!" sqref="E8:E11 E13:E38">
      <formula1>0</formula1>
    </dataValidation>
  </dataValidations>
  <pageMargins left="0.75" right="0.75" top="1" bottom="1" header="0.5" footer="0.5"/>
  <pageSetup paperSize="9" orientation="portrait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72727272727273" defaultRowHeight="12.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krishna.chowdary</dc:creator>
  <cp:lastModifiedBy>user</cp:lastModifiedBy>
  <dcterms:created xsi:type="dcterms:W3CDTF">2013-08-28T04:39:17Z</dcterms:created>
  <dcterms:modified xsi:type="dcterms:W3CDTF">2024-02-22T05:48:00Z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71C7E92D15FD4240B70E108B819556D7_13</vt:lpwstr>
  </property>
  <property fmtid="{D5CDD505-2E9C-101B-9397-08002B2CF9AE}" pid="3" name="KSOProductBuildVer">
    <vt:lpwstr>1033-12.2.0.13431</vt:lpwstr>
  </property>
</Properties>
</file>