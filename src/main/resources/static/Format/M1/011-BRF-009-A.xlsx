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-9" sheetId="1" r:id="rId1"/>
  </sheets>
  <calcPr calcId="144525" concurrentCalc="0"/>
</workbook>
</file>

<file path=xl/sharedStrings.xml><?xml version="1.0" encoding="utf-8"?>
<sst xmlns="http://schemas.openxmlformats.org/spreadsheetml/2006/main" count="83" uniqueCount="77">
  <si>
    <t xml:space="preserve"> BANKING AND MONETARY STATISTICS- CLASSIFICATION OF ASSETS &amp; LIABILITIES- MATURITY-WISE- BRF 9 (AED IN 000)</t>
  </si>
  <si>
    <t>Template ID:</t>
  </si>
  <si>
    <t>2-9-2-0</t>
  </si>
  <si>
    <t>Name of Bank :</t>
  </si>
  <si>
    <t>Bank of Baroda</t>
  </si>
  <si>
    <t>Month End:</t>
  </si>
  <si>
    <t>No.</t>
  </si>
  <si>
    <t>ASSETS - RESIDENT &amp; NON-RESIDENT</t>
  </si>
  <si>
    <t xml:space="preserve">Overdue </t>
  </si>
  <si>
    <t>Overdraft</t>
  </si>
  <si>
    <t>0 - 7 days</t>
  </si>
  <si>
    <t>8-14 days</t>
  </si>
  <si>
    <t>15 days - 1 month</t>
  </si>
  <si>
    <t>1 - 3 months</t>
  </si>
  <si>
    <t>3 -  6 months</t>
  </si>
  <si>
    <t>6 -12 months</t>
  </si>
  <si>
    <t>1 - 3 years</t>
  </si>
  <si>
    <t xml:space="preserve"> &gt; 3 years</t>
  </si>
  <si>
    <t>Total</t>
  </si>
  <si>
    <t>Highly Liquid Assets</t>
  </si>
  <si>
    <t>Cash, reserves and balances with Central Bank</t>
  </si>
  <si>
    <t>Central Bank CDs</t>
  </si>
  <si>
    <t>UAE Federal and Emirate Governments debt securities (0% risk weighted)</t>
  </si>
  <si>
    <t>Due from other banks/banking entities (BRF01 2 and 3)</t>
  </si>
  <si>
    <r>
      <t>Placements/</t>
    </r>
    <r>
      <rPr>
        <b/>
        <sz val="8"/>
        <color indexed="10"/>
        <rFont val="Arial"/>
        <family val="2"/>
        <charset val="0"/>
      </rPr>
      <t xml:space="preserve"> Loans</t>
    </r>
    <r>
      <rPr>
        <b/>
        <sz val="8"/>
        <color indexed="8"/>
        <rFont val="Arial"/>
        <family val="2"/>
        <charset val="0"/>
      </rPr>
      <t xml:space="preserve"> with and balances due from resident banks</t>
    </r>
  </si>
  <si>
    <t>Interbank CDs held (from non resident banks only)</t>
  </si>
  <si>
    <r>
      <t xml:space="preserve">Placements/ </t>
    </r>
    <r>
      <rPr>
        <b/>
        <sz val="8"/>
        <color indexed="10"/>
        <rFont val="Arial"/>
        <family val="2"/>
        <charset val="0"/>
      </rPr>
      <t>Loans</t>
    </r>
    <r>
      <rPr>
        <b/>
        <sz val="8"/>
        <color indexed="8"/>
        <rFont val="Arial"/>
        <family val="2"/>
        <charset val="0"/>
      </rPr>
      <t xml:space="preserve"> with and balances due from overseas banks</t>
    </r>
  </si>
  <si>
    <t>Debt  Securities</t>
  </si>
  <si>
    <t>Foreign sovereign debt (rated AA- or higher)</t>
  </si>
  <si>
    <t>Foreign sovereign debt (rated A- to A+)</t>
  </si>
  <si>
    <t>Foreign sovereign debt (rated BBB- to BBB+)</t>
  </si>
  <si>
    <t>Foreign sovereign debt (Non rated or below BBB-)</t>
  </si>
  <si>
    <r>
      <t>UAE Public sector enterprises debt/ Sukuks (</t>
    </r>
    <r>
      <rPr>
        <b/>
        <u/>
        <sz val="8"/>
        <color indexed="8"/>
        <rFont val="Arial"/>
        <family val="2"/>
        <charset val="0"/>
      </rPr>
      <t>non commercial, 0% risk weighted</t>
    </r>
    <r>
      <rPr>
        <b/>
        <sz val="8"/>
        <color indexed="8"/>
        <rFont val="Arial"/>
        <family val="2"/>
        <charset val="0"/>
      </rPr>
      <t>)</t>
    </r>
  </si>
  <si>
    <r>
      <t>Non-UAE Public sector enterprises debt/ Sukuks (</t>
    </r>
    <r>
      <rPr>
        <b/>
        <u/>
        <sz val="8"/>
        <color indexed="10"/>
        <rFont val="Arial"/>
        <family val="2"/>
        <charset val="0"/>
      </rPr>
      <t>non commercial, 20% risk weighted</t>
    </r>
    <r>
      <rPr>
        <b/>
        <sz val="8"/>
        <color indexed="10"/>
        <rFont val="Arial"/>
        <family val="2"/>
        <charset val="0"/>
      </rPr>
      <t>)</t>
    </r>
  </si>
  <si>
    <t>Corporate bonds/ Sukuks (Rated AA- or higher)</t>
  </si>
  <si>
    <t>Corporate bonds/ Sukuks (Rated A- to A+)</t>
  </si>
  <si>
    <t>Corporate bonds/ Sukuks (Rated BBB- to BBB+)</t>
  </si>
  <si>
    <t>Corporate bonds/ Sukuks (Non rated or below BBB- )</t>
  </si>
  <si>
    <t>Other investments</t>
  </si>
  <si>
    <t>Financial Institutions-Fixed Income Securities- Resident</t>
  </si>
  <si>
    <t>Financial Institutions- Fixed income securities- Non-Resident</t>
  </si>
  <si>
    <t>Investment in Equities- Quoted</t>
  </si>
  <si>
    <t>Investment in Equities- Unquoted</t>
  </si>
  <si>
    <t>Investment in subsidiaries, affiliates &amp; associates</t>
  </si>
  <si>
    <t>Net Fixed Assets (Item 9 of BRF 1)</t>
  </si>
  <si>
    <t>Loans and advances &amp; other assets</t>
  </si>
  <si>
    <t>Government and Public Sector</t>
  </si>
  <si>
    <t>GREs ( Govt ownership of more than 50% )</t>
  </si>
  <si>
    <t>Private Sector (Corporate)</t>
  </si>
  <si>
    <t>Non Banking Financial Institutions</t>
  </si>
  <si>
    <t>HNIs, SMEs and Individuals more than AED 20 Mln</t>
  </si>
  <si>
    <t>HNIs, SMEs and Individuals- Up to AED 20 Mln</t>
  </si>
  <si>
    <t>Trade Bills- Gov &amp; Public Sector Entities</t>
  </si>
  <si>
    <t>Trade Bills- Private Sector (Corporate)</t>
  </si>
  <si>
    <t>Non Performing Loans</t>
  </si>
  <si>
    <t>Other Assets1</t>
  </si>
  <si>
    <t>TOTAL ASSETS</t>
  </si>
  <si>
    <t xml:space="preserve">LIABILITIES- RESIDENT &amp; NON-RESIDENT </t>
  </si>
  <si>
    <t>Interbank, Gov and CB</t>
  </si>
  <si>
    <t>Deposits from and balances due to resident banks</t>
  </si>
  <si>
    <t>Interbank CDs issued (to non resident banks only)</t>
  </si>
  <si>
    <t>Deposits from and balances due to overseas banks</t>
  </si>
  <si>
    <t>Refinancing under Govt. Housing scheme</t>
  </si>
  <si>
    <t>Due to Central Bank</t>
  </si>
  <si>
    <t>Deposits</t>
  </si>
  <si>
    <t>Other Liabilities and Equity</t>
  </si>
  <si>
    <t>Capital Market instruments</t>
  </si>
  <si>
    <t>Other liabilities (refer note: 1)</t>
  </si>
  <si>
    <t>Provisions (Specific, interest in suspense, collective impairment provisions)</t>
  </si>
  <si>
    <t>Capital and Reserves</t>
  </si>
  <si>
    <t>TOTAL LIABILITIES AND EQUITY</t>
  </si>
  <si>
    <t>Notes:</t>
  </si>
  <si>
    <t>1.Other Assets and Liabilities are to be reported as per their RESIDUAL maturity.</t>
  </si>
  <si>
    <t>2. All NPLs are to be reported in row 30  in the overdue category; should some facilities be current, they should be reported in the relevant time buckets .</t>
  </si>
  <si>
    <t>3. "0 - 7 days" bucket Includes  current/ savings accounts.</t>
  </si>
  <si>
    <t>4. Provisions are to be reported in the 0 to 7 days bucket.</t>
  </si>
  <si>
    <t>FORM NO: BSD/ BRF 9 MA A&amp;L/FEB15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</si>
</sst>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#"/>
  </numFmts>
  <fonts count="29">
    <font>
      <sz val="10"/>
      <name val="Arial"/>
      <charset val="0"/>
    </font>
    <font>
      <sz val="4"/>
      <color indexed="9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color indexed="10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10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b/>
      <u/>
      <sz val="8"/>
      <color indexed="8"/>
      <name val="Arial"/>
      <family val="2"/>
      <charset val="0"/>
    </font>
    <font>
      <b/>
      <u/>
      <sz val="8"/>
      <color indexed="10"/>
      <name val="Arial"/>
      <family val="2"/>
      <charset val="0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9" applyNumberFormat="0" applyAlignment="0" applyProtection="0"/>
    <xf numFmtId="0" fontId="17" fillId="11" borderId="10" applyNumberFormat="0" applyAlignment="0" applyProtection="0"/>
    <xf numFmtId="0" fontId="18" fillId="11" borderId="9" applyNumberFormat="0" applyAlignment="0" applyProtection="0"/>
    <xf numFmtId="0" fontId="19" fillId="12" borderId="11" applyNumberFormat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4" fillId="15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5" fillId="39" borderId="0" applyNumberFormat="0" applyBorder="0" applyAlignment="0" applyProtection="0"/>
  </cellStyleXfs>
  <cellXfs count="30">
    <xf numFmtId="0" fontId="0" fillId="0" borderId="0" xfId="0"/>
    <xf numFmtId="0" fontId="1" fillId="2" borderId="0" xfId="0" applyFont="1" applyFill="1" applyBorder="1"/>
    <xf numFmtId="176" fontId="2" fillId="3" borderId="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left"/>
    </xf>
    <xf numFmtId="176" fontId="3" fillId="2" borderId="1" xfId="0" applyNumberFormat="1" applyFont="1" applyFill="1" applyBorder="1" applyAlignment="1">
      <alignment horizontal="center"/>
    </xf>
    <xf numFmtId="176" fontId="3" fillId="5" borderId="1" xfId="0" applyNumberFormat="1" applyFont="1" applyFill="1" applyBorder="1"/>
    <xf numFmtId="176" fontId="4" fillId="5" borderId="1" xfId="0" applyNumberFormat="1" applyFont="1" applyFill="1" applyBorder="1" applyAlignment="1">
      <alignment wrapText="1"/>
    </xf>
    <xf numFmtId="176" fontId="3" fillId="5" borderId="1" xfId="0" applyNumberFormat="1" applyFont="1" applyFill="1" applyBorder="1" applyAlignment="1">
      <alignment wrapText="1"/>
    </xf>
    <xf numFmtId="176" fontId="4" fillId="6" borderId="1" xfId="0" applyNumberFormat="1" applyFont="1" applyFill="1" applyBorder="1"/>
    <xf numFmtId="1" fontId="3" fillId="5" borderId="1" xfId="0" applyNumberFormat="1" applyFont="1" applyFill="1" applyBorder="1" applyProtection="1"/>
    <xf numFmtId="176" fontId="5" fillId="2" borderId="1" xfId="0" applyNumberFormat="1" applyFont="1" applyFill="1" applyBorder="1"/>
    <xf numFmtId="176" fontId="3" fillId="2" borderId="1" xfId="0" applyNumberFormat="1" applyFont="1" applyFill="1" applyBorder="1"/>
    <xf numFmtId="1" fontId="3" fillId="2" borderId="1" xfId="0" applyNumberFormat="1" applyFont="1" applyFill="1" applyBorder="1" applyProtection="1">
      <protection locked="0"/>
    </xf>
    <xf numFmtId="176" fontId="6" fillId="2" borderId="1" xfId="0" applyNumberFormat="1" applyFont="1" applyFill="1" applyBorder="1"/>
    <xf numFmtId="176" fontId="4" fillId="2" borderId="1" xfId="0" applyNumberFormat="1" applyFont="1" applyFill="1" applyBorder="1"/>
    <xf numFmtId="176" fontId="6" fillId="5" borderId="1" xfId="0" applyNumberFormat="1" applyFont="1" applyFill="1" applyBorder="1"/>
    <xf numFmtId="176" fontId="5" fillId="5" borderId="1" xfId="0" applyNumberFormat="1" applyFont="1" applyFill="1" applyBorder="1"/>
    <xf numFmtId="176" fontId="6" fillId="6" borderId="1" xfId="0" applyNumberFormat="1" applyFont="1" applyFill="1" applyBorder="1"/>
    <xf numFmtId="176" fontId="5" fillId="6" borderId="1" xfId="0" applyNumberFormat="1" applyFont="1" applyFill="1" applyBorder="1"/>
    <xf numFmtId="176" fontId="3" fillId="6" borderId="1" xfId="0" applyNumberFormat="1" applyFont="1" applyFill="1" applyBorder="1"/>
    <xf numFmtId="1" fontId="3" fillId="6" borderId="1" xfId="0" applyNumberFormat="1" applyFont="1" applyFill="1" applyBorder="1" applyProtection="1">
      <protection locked="0"/>
    </xf>
    <xf numFmtId="176" fontId="5" fillId="7" borderId="1" xfId="0" applyNumberFormat="1" applyFont="1" applyFill="1" applyBorder="1"/>
    <xf numFmtId="1" fontId="3" fillId="8" borderId="1" xfId="0" applyNumberFormat="1" applyFont="1" applyFill="1" applyBorder="1" applyProtection="1"/>
    <xf numFmtId="176" fontId="5" fillId="6" borderId="2" xfId="0" applyNumberFormat="1" applyFont="1" applyFill="1" applyBorder="1"/>
    <xf numFmtId="176" fontId="5" fillId="6" borderId="3" xfId="0" applyNumberFormat="1" applyFont="1" applyFill="1" applyBorder="1"/>
    <xf numFmtId="176" fontId="5" fillId="6" borderId="2" xfId="0" applyNumberFormat="1" applyFont="1" applyFill="1" applyBorder="1" applyAlignment="1"/>
    <xf numFmtId="0" fontId="7" fillId="6" borderId="3" xfId="0" applyFont="1" applyFill="1" applyBorder="1" applyAlignment="1"/>
    <xf numFmtId="176" fontId="3" fillId="3" borderId="1" xfId="0" applyNumberFormat="1" applyFont="1" applyFill="1" applyBorder="1"/>
    <xf numFmtId="176" fontId="5" fillId="6" borderId="4" xfId="0" applyNumberFormat="1" applyFont="1" applyFill="1" applyBorder="1"/>
    <xf numFmtId="0" fontId="7" fillId="6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969696"/>
      <color rgb="00A6A6A6"/>
      <color rgb="00FF0000"/>
      <color rgb="00BFBFBF"/>
      <color rgb="00FFFF00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82"/>
  <sheetViews>
    <sheetView showGridLines="0" tabSelected="1" zoomScaleSheetLayoutView="60" workbookViewId="0">
      <selection activeCell="C17" sqref="C17"/>
    </sheetView>
  </sheetViews>
  <sheetFormatPr defaultColWidth="0" defaultRowHeight="12.75" zeroHeight="1"/>
  <cols>
    <col min="1" max="1" width="4.28181818181818" customWidth="1"/>
    <col min="2" max="2" width="12.2818181818182" customWidth="1"/>
    <col min="3" max="3" width="63.8545454545455" customWidth="1"/>
    <col min="4" max="5" width="9.85454545454546" customWidth="1"/>
    <col min="6" max="14" width="12.7090909090909" customWidth="1"/>
    <col min="15" max="15" width="3" customWidth="1"/>
    <col min="16" max="16384" width="9.13636363636364" hidden="1"/>
  </cols>
  <sheetData>
    <row r="1" ht="6" customHeight="1" spans="2:1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.75" customHeight="1" spans="2:1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.75" customHeight="1" spans="2:14">
      <c r="B3" s="3" t="s">
        <v>1</v>
      </c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8.75" customHeight="1" spans="2:14"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8.75" customHeight="1" spans="2:14">
      <c r="B5" s="3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7.25" customHeight="1" spans="2:1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22.5" customHeight="1" spans="2:14">
      <c r="B7" s="5" t="s">
        <v>6</v>
      </c>
      <c r="C7" s="5" t="s">
        <v>7</v>
      </c>
      <c r="D7" s="6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</row>
    <row r="8" ht="15" customHeight="1" spans="2:14">
      <c r="B8" s="5"/>
      <c r="C8" s="8" t="s">
        <v>19</v>
      </c>
      <c r="D8" s="9">
        <f>SUM(D9:D11)</f>
        <v>0</v>
      </c>
      <c r="E8" s="9">
        <f t="shared" ref="E8:M8" si="0">SUM(E9:E11)</f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  <c r="I8" s="9">
        <f t="shared" si="0"/>
        <v>0</v>
      </c>
      <c r="J8" s="9">
        <f t="shared" si="0"/>
        <v>0</v>
      </c>
      <c r="K8" s="9">
        <f t="shared" si="0"/>
        <v>0</v>
      </c>
      <c r="L8" s="9">
        <f t="shared" si="0"/>
        <v>0</v>
      </c>
      <c r="M8" s="9">
        <f t="shared" si="0"/>
        <v>0</v>
      </c>
      <c r="N8" s="22">
        <f>SUM(D8:M8)</f>
        <v>0</v>
      </c>
    </row>
    <row r="9" ht="14.1" customHeight="1" spans="2:14">
      <c r="B9" s="10">
        <v>1</v>
      </c>
      <c r="C9" s="11" t="s">
        <v>20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22">
        <f t="shared" ref="N9:N45" si="1">SUM(D9:M9)</f>
        <v>0</v>
      </c>
    </row>
    <row r="10" ht="14.1" customHeight="1" spans="2:14">
      <c r="B10" s="13">
        <v>2</v>
      </c>
      <c r="C10" s="14" t="s">
        <v>21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22">
        <f t="shared" si="1"/>
        <v>0</v>
      </c>
    </row>
    <row r="11" ht="14.1" customHeight="1" spans="2:14">
      <c r="B11" s="13">
        <v>3</v>
      </c>
      <c r="C11" s="14" t="s">
        <v>22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22">
        <f t="shared" si="1"/>
        <v>0</v>
      </c>
    </row>
    <row r="12" ht="14.1" customHeight="1" spans="2:14">
      <c r="B12" s="15"/>
      <c r="C12" s="8" t="s">
        <v>23</v>
      </c>
      <c r="D12" s="9">
        <f t="shared" ref="D12:M12" si="2">SUM(D13:D15)</f>
        <v>0</v>
      </c>
      <c r="E12" s="9">
        <f t="shared" si="2"/>
        <v>0</v>
      </c>
      <c r="F12" s="9">
        <f t="shared" si="2"/>
        <v>0</v>
      </c>
      <c r="G12" s="9">
        <f t="shared" si="2"/>
        <v>0</v>
      </c>
      <c r="H12" s="9">
        <f t="shared" si="2"/>
        <v>0</v>
      </c>
      <c r="I12" s="9">
        <f t="shared" si="2"/>
        <v>0</v>
      </c>
      <c r="J12" s="9">
        <f t="shared" si="2"/>
        <v>0</v>
      </c>
      <c r="K12" s="9">
        <f t="shared" si="2"/>
        <v>0</v>
      </c>
      <c r="L12" s="9">
        <f t="shared" si="2"/>
        <v>0</v>
      </c>
      <c r="M12" s="9">
        <f t="shared" si="2"/>
        <v>0</v>
      </c>
      <c r="N12" s="22">
        <f t="shared" si="1"/>
        <v>0</v>
      </c>
    </row>
    <row r="13" ht="14.1" customHeight="1" spans="2:14">
      <c r="B13" s="10">
        <v>4</v>
      </c>
      <c r="C13" s="11" t="s">
        <v>24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22">
        <f t="shared" si="1"/>
        <v>0</v>
      </c>
    </row>
    <row r="14" ht="14.1" customHeight="1" spans="2:14">
      <c r="B14" s="10">
        <v>5</v>
      </c>
      <c r="C14" s="11" t="s">
        <v>25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22">
        <f t="shared" si="1"/>
        <v>0</v>
      </c>
    </row>
    <row r="15" ht="14.1" customHeight="1" spans="2:14">
      <c r="B15" s="10">
        <v>6</v>
      </c>
      <c r="C15" s="11" t="s">
        <v>26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22">
        <f t="shared" si="1"/>
        <v>0</v>
      </c>
    </row>
    <row r="16" ht="14.1" customHeight="1" spans="2:14">
      <c r="B16" s="16"/>
      <c r="C16" s="5" t="s">
        <v>27</v>
      </c>
      <c r="D16" s="9">
        <f t="shared" ref="D16:M16" si="3">SUM(D17:D26)</f>
        <v>0</v>
      </c>
      <c r="E16" s="9">
        <f t="shared" si="3"/>
        <v>0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9">
        <f t="shared" si="3"/>
        <v>0</v>
      </c>
      <c r="J16" s="9">
        <f t="shared" si="3"/>
        <v>0</v>
      </c>
      <c r="K16" s="9">
        <f t="shared" si="3"/>
        <v>0</v>
      </c>
      <c r="L16" s="9">
        <f t="shared" si="3"/>
        <v>0</v>
      </c>
      <c r="M16" s="9">
        <f t="shared" si="3"/>
        <v>0</v>
      </c>
      <c r="N16" s="22">
        <f t="shared" si="1"/>
        <v>0</v>
      </c>
    </row>
    <row r="17" ht="14.1" customHeight="1" spans="2:14">
      <c r="B17" s="10">
        <v>7</v>
      </c>
      <c r="C17" s="11" t="s">
        <v>28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22">
        <f t="shared" si="1"/>
        <v>0</v>
      </c>
    </row>
    <row r="18" ht="14.1" customHeight="1" spans="2:14">
      <c r="B18" s="10">
        <f>+B17+1</f>
        <v>8</v>
      </c>
      <c r="C18" s="11" t="s">
        <v>29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22">
        <f t="shared" si="1"/>
        <v>0</v>
      </c>
    </row>
    <row r="19" ht="14.1" customHeight="1" spans="2:14">
      <c r="B19" s="10">
        <f t="shared" ref="B19:B29" si="4">+B18+1</f>
        <v>9</v>
      </c>
      <c r="C19" s="11" t="s">
        <v>30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22">
        <f t="shared" si="1"/>
        <v>0</v>
      </c>
    </row>
    <row r="20" ht="14.1" customHeight="1" spans="2:14">
      <c r="B20" s="10">
        <f t="shared" si="4"/>
        <v>10</v>
      </c>
      <c r="C20" s="11" t="s">
        <v>31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22">
        <f t="shared" si="1"/>
        <v>0</v>
      </c>
    </row>
    <row r="21" ht="14.45" customHeight="1" spans="2:14">
      <c r="B21" s="10">
        <f t="shared" si="4"/>
        <v>11</v>
      </c>
      <c r="C21" s="11" t="s">
        <v>32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22">
        <f t="shared" si="1"/>
        <v>0</v>
      </c>
    </row>
    <row r="22" ht="13.15" customHeight="1" spans="2:14">
      <c r="B22" s="17">
        <f t="shared" si="4"/>
        <v>12</v>
      </c>
      <c r="C22" s="8" t="s">
        <v>33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22">
        <f t="shared" si="1"/>
        <v>0</v>
      </c>
    </row>
    <row r="23" ht="14.1" customHeight="1" spans="2:14">
      <c r="B23" s="10">
        <f t="shared" si="4"/>
        <v>13</v>
      </c>
      <c r="C23" s="11" t="s">
        <v>34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22">
        <f t="shared" si="1"/>
        <v>0</v>
      </c>
    </row>
    <row r="24" ht="14.1" customHeight="1" spans="2:14">
      <c r="B24" s="10">
        <f t="shared" si="4"/>
        <v>14</v>
      </c>
      <c r="C24" s="11" t="s">
        <v>35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22">
        <f t="shared" si="1"/>
        <v>0</v>
      </c>
    </row>
    <row r="25" ht="14.1" customHeight="1" spans="2:14">
      <c r="B25" s="10">
        <f t="shared" si="4"/>
        <v>15</v>
      </c>
      <c r="C25" s="11" t="s">
        <v>36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22">
        <f t="shared" si="1"/>
        <v>0</v>
      </c>
    </row>
    <row r="26" ht="14.1" customHeight="1" spans="2:14">
      <c r="B26" s="10">
        <f t="shared" si="4"/>
        <v>16</v>
      </c>
      <c r="C26" s="11" t="s">
        <v>37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22">
        <f t="shared" si="1"/>
        <v>0</v>
      </c>
    </row>
    <row r="27" ht="14.1" customHeight="1" spans="2:14">
      <c r="B27" s="16"/>
      <c r="C27" s="5" t="s">
        <v>38</v>
      </c>
      <c r="D27" s="9">
        <f t="shared" ref="D27:M27" si="5">SUM(D28:D33)</f>
        <v>0</v>
      </c>
      <c r="E27" s="9">
        <f t="shared" si="5"/>
        <v>0</v>
      </c>
      <c r="F27" s="9">
        <f t="shared" si="5"/>
        <v>0</v>
      </c>
      <c r="G27" s="9">
        <f t="shared" si="5"/>
        <v>0</v>
      </c>
      <c r="H27" s="9">
        <f t="shared" si="5"/>
        <v>0</v>
      </c>
      <c r="I27" s="9">
        <f t="shared" si="5"/>
        <v>0</v>
      </c>
      <c r="J27" s="9">
        <f t="shared" si="5"/>
        <v>0</v>
      </c>
      <c r="K27" s="9">
        <f t="shared" si="5"/>
        <v>0</v>
      </c>
      <c r="L27" s="9">
        <f t="shared" si="5"/>
        <v>0</v>
      </c>
      <c r="M27" s="9">
        <f t="shared" si="5"/>
        <v>0</v>
      </c>
      <c r="N27" s="22">
        <f t="shared" si="1"/>
        <v>0</v>
      </c>
    </row>
    <row r="28" ht="14.1" customHeight="1" spans="2:14">
      <c r="B28" s="10">
        <v>17</v>
      </c>
      <c r="C28" s="11" t="s">
        <v>39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22">
        <f t="shared" si="1"/>
        <v>0</v>
      </c>
    </row>
    <row r="29" ht="14.1" customHeight="1" spans="2:14">
      <c r="B29" s="10">
        <f t="shared" si="4"/>
        <v>18</v>
      </c>
      <c r="C29" s="11" t="s">
        <v>40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22">
        <f t="shared" si="1"/>
        <v>0</v>
      </c>
    </row>
    <row r="30" ht="14.1" customHeight="1" spans="2:14">
      <c r="B30" s="10">
        <v>18</v>
      </c>
      <c r="C30" s="11" t="s">
        <v>41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22">
        <f t="shared" si="1"/>
        <v>0</v>
      </c>
    </row>
    <row r="31" ht="14.1" customHeight="1" spans="2:14">
      <c r="B31" s="10">
        <v>19</v>
      </c>
      <c r="C31" s="11" t="s">
        <v>42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22">
        <f t="shared" si="1"/>
        <v>0</v>
      </c>
    </row>
    <row r="32" ht="14.1" customHeight="1" spans="2:14">
      <c r="B32" s="10">
        <v>20</v>
      </c>
      <c r="C32" s="11" t="s">
        <v>43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22">
        <f t="shared" si="1"/>
        <v>0</v>
      </c>
    </row>
    <row r="33" ht="14.1" customHeight="1" spans="2:14">
      <c r="B33" s="10">
        <v>21</v>
      </c>
      <c r="C33" s="11" t="s">
        <v>44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22">
        <f t="shared" si="1"/>
        <v>0</v>
      </c>
    </row>
    <row r="34" ht="14.1" customHeight="1" spans="2:14">
      <c r="B34" s="16"/>
      <c r="C34" s="5" t="s">
        <v>45</v>
      </c>
      <c r="D34" s="9">
        <f t="shared" ref="D34:M34" si="6">SUM(D35:D44)</f>
        <v>0</v>
      </c>
      <c r="E34" s="9">
        <f t="shared" si="6"/>
        <v>0</v>
      </c>
      <c r="F34" s="9">
        <f t="shared" si="6"/>
        <v>0</v>
      </c>
      <c r="G34" s="9">
        <f t="shared" si="6"/>
        <v>0</v>
      </c>
      <c r="H34" s="9">
        <f t="shared" si="6"/>
        <v>0</v>
      </c>
      <c r="I34" s="9">
        <f t="shared" si="6"/>
        <v>0</v>
      </c>
      <c r="J34" s="9">
        <f t="shared" si="6"/>
        <v>0</v>
      </c>
      <c r="K34" s="9">
        <f t="shared" si="6"/>
        <v>0</v>
      </c>
      <c r="L34" s="9">
        <f t="shared" si="6"/>
        <v>0</v>
      </c>
      <c r="M34" s="9">
        <f t="shared" si="6"/>
        <v>0</v>
      </c>
      <c r="N34" s="22">
        <f t="shared" si="1"/>
        <v>0</v>
      </c>
    </row>
    <row r="35" ht="14.1" customHeight="1" spans="2:14">
      <c r="B35" s="10">
        <v>22</v>
      </c>
      <c r="C35" s="11" t="s">
        <v>46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22">
        <f t="shared" si="1"/>
        <v>0</v>
      </c>
    </row>
    <row r="36" ht="14.1" customHeight="1" spans="2:14">
      <c r="B36" s="10">
        <v>23</v>
      </c>
      <c r="C36" s="11" t="s">
        <v>47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22">
        <f t="shared" si="1"/>
        <v>0</v>
      </c>
    </row>
    <row r="37" ht="14.1" customHeight="1" spans="2:14">
      <c r="B37" s="10">
        <v>24</v>
      </c>
      <c r="C37" s="11" t="s">
        <v>48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22">
        <f t="shared" si="1"/>
        <v>0</v>
      </c>
    </row>
    <row r="38" ht="14.1" customHeight="1" spans="2:14">
      <c r="B38" s="10">
        <v>25</v>
      </c>
      <c r="C38" s="11" t="s">
        <v>49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22">
        <f t="shared" si="1"/>
        <v>0</v>
      </c>
    </row>
    <row r="39" ht="14.1" customHeight="1" spans="2:14">
      <c r="B39" s="10">
        <v>26</v>
      </c>
      <c r="C39" s="11" t="s">
        <v>50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22">
        <f t="shared" si="1"/>
        <v>0</v>
      </c>
    </row>
    <row r="40" ht="14.1" customHeight="1" spans="2:14">
      <c r="B40" s="10">
        <v>27</v>
      </c>
      <c r="C40" s="11" t="s">
        <v>51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22">
        <f t="shared" si="1"/>
        <v>0</v>
      </c>
    </row>
    <row r="41" ht="14.1" customHeight="1" spans="2:14">
      <c r="B41" s="18">
        <v>28</v>
      </c>
      <c r="C41" s="19" t="s">
        <v>52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2">
        <f t="shared" si="1"/>
        <v>0</v>
      </c>
    </row>
    <row r="42" ht="14.1" customHeight="1" spans="2:14">
      <c r="B42" s="18">
        <v>29</v>
      </c>
      <c r="C42" s="19" t="s">
        <v>53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2">
        <f t="shared" si="1"/>
        <v>0</v>
      </c>
    </row>
    <row r="43" ht="14.1" customHeight="1" spans="2:14">
      <c r="B43" s="18">
        <v>30</v>
      </c>
      <c r="C43" s="19" t="s">
        <v>54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2">
        <f t="shared" si="1"/>
        <v>0</v>
      </c>
    </row>
    <row r="44" ht="14.1" customHeight="1" spans="2:14">
      <c r="B44" s="18">
        <v>31</v>
      </c>
      <c r="C44" s="11" t="s">
        <v>55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22">
        <f t="shared" si="1"/>
        <v>0</v>
      </c>
    </row>
    <row r="45" ht="14.1" customHeight="1" spans="2:14">
      <c r="B45" s="5"/>
      <c r="C45" s="5" t="s">
        <v>56</v>
      </c>
      <c r="D45" s="9">
        <f>D8+D16+D27+D34+D12</f>
        <v>0</v>
      </c>
      <c r="E45" s="9">
        <f>E8+E16+E27+E34+E12</f>
        <v>0</v>
      </c>
      <c r="F45" s="9">
        <f>F8+F16+F27+F34+F12</f>
        <v>0</v>
      </c>
      <c r="G45" s="9">
        <f t="shared" ref="G45:M45" si="7">G8+G16+G27+G34+G12</f>
        <v>0</v>
      </c>
      <c r="H45" s="9">
        <f t="shared" si="7"/>
        <v>0</v>
      </c>
      <c r="I45" s="9">
        <f t="shared" si="7"/>
        <v>0</v>
      </c>
      <c r="J45" s="9">
        <f t="shared" si="7"/>
        <v>0</v>
      </c>
      <c r="K45" s="9">
        <f t="shared" si="7"/>
        <v>0</v>
      </c>
      <c r="L45" s="9">
        <f t="shared" si="7"/>
        <v>0</v>
      </c>
      <c r="M45" s="9">
        <f t="shared" si="7"/>
        <v>0</v>
      </c>
      <c r="N45" s="22">
        <f t="shared" si="1"/>
        <v>0</v>
      </c>
    </row>
    <row r="46" ht="14.1" customHeight="1" spans="2:14">
      <c r="B46" s="5"/>
      <c r="C46" s="5" t="s">
        <v>57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22"/>
    </row>
    <row r="47" ht="14.1" customHeight="1" spans="2:14">
      <c r="B47" s="16"/>
      <c r="C47" s="5" t="s">
        <v>58</v>
      </c>
      <c r="D47" s="5"/>
      <c r="E47" s="5"/>
      <c r="F47" s="9">
        <f t="shared" ref="F47:M47" si="8">SUM(F48:F52)</f>
        <v>0</v>
      </c>
      <c r="G47" s="9">
        <f t="shared" si="8"/>
        <v>0</v>
      </c>
      <c r="H47" s="9">
        <f t="shared" si="8"/>
        <v>0</v>
      </c>
      <c r="I47" s="9">
        <f t="shared" si="8"/>
        <v>0</v>
      </c>
      <c r="J47" s="9">
        <f t="shared" si="8"/>
        <v>0</v>
      </c>
      <c r="K47" s="9">
        <f t="shared" si="8"/>
        <v>0</v>
      </c>
      <c r="L47" s="9">
        <f t="shared" si="8"/>
        <v>0</v>
      </c>
      <c r="M47" s="9">
        <f t="shared" si="8"/>
        <v>0</v>
      </c>
      <c r="N47" s="22">
        <f>+SUM(F47:M47)</f>
        <v>0</v>
      </c>
    </row>
    <row r="48" ht="14.1" customHeight="1" spans="2:14">
      <c r="B48" s="18">
        <f>B44+1</f>
        <v>32</v>
      </c>
      <c r="C48" s="11" t="s">
        <v>59</v>
      </c>
      <c r="D48" s="5"/>
      <c r="E48" s="5"/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22">
        <f t="shared" ref="N48:N65" si="9">+SUM(F48:M48)</f>
        <v>0</v>
      </c>
    </row>
    <row r="49" ht="14.1" customHeight="1" spans="2:14">
      <c r="B49" s="18">
        <f>B48+1</f>
        <v>33</v>
      </c>
      <c r="C49" s="11" t="s">
        <v>60</v>
      </c>
      <c r="D49" s="5"/>
      <c r="E49" s="5"/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22">
        <f t="shared" si="9"/>
        <v>0</v>
      </c>
    </row>
    <row r="50" ht="14.1" customHeight="1" spans="2:14">
      <c r="B50" s="18">
        <f>B49+1</f>
        <v>34</v>
      </c>
      <c r="C50" s="11" t="s">
        <v>61</v>
      </c>
      <c r="D50" s="5"/>
      <c r="E50" s="5"/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22">
        <f t="shared" si="9"/>
        <v>0</v>
      </c>
    </row>
    <row r="51" ht="14.1" customHeight="1" spans="2:14">
      <c r="B51" s="18">
        <f>B50+1</f>
        <v>35</v>
      </c>
      <c r="C51" s="11" t="s">
        <v>62</v>
      </c>
      <c r="D51" s="5"/>
      <c r="E51" s="5"/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22">
        <f t="shared" si="9"/>
        <v>0</v>
      </c>
    </row>
    <row r="52" ht="14.1" customHeight="1" spans="2:14">
      <c r="B52" s="18">
        <f>B51+1</f>
        <v>36</v>
      </c>
      <c r="C52" s="11" t="s">
        <v>63</v>
      </c>
      <c r="D52" s="5"/>
      <c r="E52" s="5"/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22">
        <f t="shared" si="9"/>
        <v>0</v>
      </c>
    </row>
    <row r="53" ht="14.1" customHeight="1" spans="2:14">
      <c r="B53" s="16"/>
      <c r="C53" s="5" t="s">
        <v>64</v>
      </c>
      <c r="D53" s="5"/>
      <c r="E53" s="5"/>
      <c r="F53" s="9">
        <f t="shared" ref="F53:M53" si="10">SUM(F54:F59)</f>
        <v>0</v>
      </c>
      <c r="G53" s="9">
        <f t="shared" si="10"/>
        <v>0</v>
      </c>
      <c r="H53" s="9">
        <f t="shared" si="10"/>
        <v>0</v>
      </c>
      <c r="I53" s="9">
        <f t="shared" si="10"/>
        <v>0</v>
      </c>
      <c r="J53" s="9">
        <f t="shared" si="10"/>
        <v>0</v>
      </c>
      <c r="K53" s="9">
        <f t="shared" si="10"/>
        <v>0</v>
      </c>
      <c r="L53" s="9">
        <f t="shared" si="10"/>
        <v>0</v>
      </c>
      <c r="M53" s="9">
        <f t="shared" si="10"/>
        <v>0</v>
      </c>
      <c r="N53" s="22">
        <f t="shared" si="9"/>
        <v>0</v>
      </c>
    </row>
    <row r="54" ht="14.1" customHeight="1" spans="2:14">
      <c r="B54" s="18">
        <f>B52+1</f>
        <v>37</v>
      </c>
      <c r="C54" s="11" t="s">
        <v>46</v>
      </c>
      <c r="D54" s="5"/>
      <c r="E54" s="5"/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22">
        <f t="shared" si="9"/>
        <v>0</v>
      </c>
    </row>
    <row r="55" ht="14.1" customHeight="1" spans="2:14">
      <c r="B55" s="18">
        <f>B54+1</f>
        <v>38</v>
      </c>
      <c r="C55" s="11" t="s">
        <v>47</v>
      </c>
      <c r="D55" s="5"/>
      <c r="E55" s="5"/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22">
        <f t="shared" si="9"/>
        <v>0</v>
      </c>
    </row>
    <row r="56" ht="14.1" customHeight="1" spans="2:14">
      <c r="B56" s="18">
        <f>B55+1</f>
        <v>39</v>
      </c>
      <c r="C56" s="11" t="s">
        <v>48</v>
      </c>
      <c r="D56" s="5"/>
      <c r="E56" s="5"/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22">
        <f t="shared" si="9"/>
        <v>0</v>
      </c>
    </row>
    <row r="57" ht="14.1" customHeight="1" spans="2:14">
      <c r="B57" s="18">
        <f>B56+1</f>
        <v>40</v>
      </c>
      <c r="C57" s="11" t="s">
        <v>49</v>
      </c>
      <c r="D57" s="5"/>
      <c r="E57" s="5"/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22">
        <f t="shared" si="9"/>
        <v>0</v>
      </c>
    </row>
    <row r="58" ht="14.1" customHeight="1" spans="2:14">
      <c r="B58" s="18">
        <f>B57+1</f>
        <v>41</v>
      </c>
      <c r="C58" s="11" t="s">
        <v>50</v>
      </c>
      <c r="D58" s="5"/>
      <c r="E58" s="5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22">
        <f t="shared" si="9"/>
        <v>0</v>
      </c>
    </row>
    <row r="59" ht="14.1" customHeight="1" spans="2:14">
      <c r="B59" s="18">
        <f>B58+1</f>
        <v>42</v>
      </c>
      <c r="C59" s="11" t="s">
        <v>51</v>
      </c>
      <c r="D59" s="5"/>
      <c r="E59" s="5"/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22">
        <f t="shared" si="9"/>
        <v>0</v>
      </c>
    </row>
    <row r="60" ht="14.1" customHeight="1" spans="2:14">
      <c r="B60" s="16"/>
      <c r="C60" s="5" t="s">
        <v>65</v>
      </c>
      <c r="D60" s="5"/>
      <c r="E60" s="5"/>
      <c r="F60" s="9">
        <f t="shared" ref="F60:M60" si="11">SUM(F61:F64)</f>
        <v>0</v>
      </c>
      <c r="G60" s="9">
        <f t="shared" si="11"/>
        <v>0</v>
      </c>
      <c r="H60" s="9">
        <f t="shared" si="11"/>
        <v>0</v>
      </c>
      <c r="I60" s="9">
        <f t="shared" si="11"/>
        <v>0</v>
      </c>
      <c r="J60" s="9">
        <f t="shared" si="11"/>
        <v>0</v>
      </c>
      <c r="K60" s="9">
        <f t="shared" si="11"/>
        <v>0</v>
      </c>
      <c r="L60" s="9">
        <f t="shared" si="11"/>
        <v>0</v>
      </c>
      <c r="M60" s="9">
        <f t="shared" si="11"/>
        <v>0</v>
      </c>
      <c r="N60" s="22">
        <f t="shared" si="9"/>
        <v>0</v>
      </c>
    </row>
    <row r="61" ht="14.1" customHeight="1" spans="2:14">
      <c r="B61" s="18">
        <f>B59+1</f>
        <v>43</v>
      </c>
      <c r="C61" s="11" t="s">
        <v>66</v>
      </c>
      <c r="D61" s="5"/>
      <c r="E61" s="5"/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22">
        <f t="shared" si="9"/>
        <v>0</v>
      </c>
    </row>
    <row r="62" ht="14.1" customHeight="1" spans="2:14">
      <c r="B62" s="18">
        <f>B61+1</f>
        <v>44</v>
      </c>
      <c r="C62" s="11" t="s">
        <v>67</v>
      </c>
      <c r="D62" s="5"/>
      <c r="E62" s="5"/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22">
        <f t="shared" si="9"/>
        <v>0</v>
      </c>
    </row>
    <row r="63" ht="14.1" customHeight="1" spans="2:14">
      <c r="B63" s="18">
        <f>B62+1</f>
        <v>45</v>
      </c>
      <c r="C63" s="11" t="s">
        <v>68</v>
      </c>
      <c r="D63" s="5"/>
      <c r="E63" s="5"/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22">
        <f t="shared" si="9"/>
        <v>0</v>
      </c>
    </row>
    <row r="64" ht="14.1" customHeight="1" spans="2:14">
      <c r="B64" s="18">
        <f>B63+1</f>
        <v>46</v>
      </c>
      <c r="C64" s="11" t="s">
        <v>69</v>
      </c>
      <c r="D64" s="21"/>
      <c r="E64" s="21"/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22">
        <f t="shared" si="9"/>
        <v>0</v>
      </c>
    </row>
    <row r="65" ht="14.1" customHeight="1" spans="2:14">
      <c r="B65" s="5"/>
      <c r="C65" s="5" t="s">
        <v>70</v>
      </c>
      <c r="D65" s="5"/>
      <c r="E65" s="5"/>
      <c r="F65" s="9">
        <f t="shared" ref="F65:M65" si="12">+F60+F53+F47</f>
        <v>0</v>
      </c>
      <c r="G65" s="9">
        <f t="shared" si="12"/>
        <v>0</v>
      </c>
      <c r="H65" s="9">
        <f t="shared" si="12"/>
        <v>0</v>
      </c>
      <c r="I65" s="9">
        <f t="shared" si="12"/>
        <v>0</v>
      </c>
      <c r="J65" s="9">
        <f t="shared" si="12"/>
        <v>0</v>
      </c>
      <c r="K65" s="9">
        <f t="shared" si="12"/>
        <v>0</v>
      </c>
      <c r="L65" s="9">
        <f t="shared" si="12"/>
        <v>0</v>
      </c>
      <c r="M65" s="9">
        <f t="shared" si="12"/>
        <v>0</v>
      </c>
      <c r="N65" s="22">
        <f t="shared" si="9"/>
        <v>0</v>
      </c>
    </row>
    <row r="66" ht="14.1" customHeight="1" spans="2:14">
      <c r="B66" s="10" t="s">
        <v>71</v>
      </c>
      <c r="C66" s="18" t="s">
        <v>72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ht="14.1" customHeight="1" spans="2:14">
      <c r="B67" s="10"/>
      <c r="C67" s="23" t="s">
        <v>73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8"/>
    </row>
    <row r="68" ht="14.1" customHeight="1" spans="2:14">
      <c r="B68" s="10"/>
      <c r="C68" s="25" t="s">
        <v>74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9"/>
    </row>
    <row r="69" ht="14.1" customHeight="1" spans="2:14">
      <c r="B69" s="10"/>
      <c r="C69" s="25" t="s">
        <v>75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9"/>
    </row>
    <row r="70" ht="14.1" customHeight="1" spans="2:14">
      <c r="B70" s="10"/>
      <c r="C70" s="27" t="s">
        <v>76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11.25" customHeight="1" spans="2:1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1.25" hidden="1" customHeight="1"/>
    <row r="73" ht="11.25" hidden="1" customHeight="1"/>
    <row r="74" ht="11.25" hidden="1" customHeight="1"/>
    <row r="75" ht="11.25" hidden="1" customHeight="1"/>
    <row r="76" ht="11.25" hidden="1" customHeight="1"/>
    <row r="77" ht="11.25" hidden="1" customHeight="1"/>
    <row r="78" ht="11.25" hidden="1" customHeight="1"/>
    <row r="79" ht="11.25" hidden="1" customHeight="1"/>
    <row r="80" ht="11.25" hidden="1" customHeight="1"/>
    <row r="81" ht="11.25" hidden="1" customHeight="1"/>
    <row r="82" ht="12.5" hidden="1"/>
  </sheetData>
  <sheetProtection password="DE1B" sheet="1"/>
  <mergeCells count="10">
    <mergeCell ref="B2:N2"/>
    <mergeCell ref="C3:F3"/>
    <mergeCell ref="C4:F4"/>
    <mergeCell ref="C5:F5"/>
    <mergeCell ref="B6:N6"/>
    <mergeCell ref="C66:N66"/>
    <mergeCell ref="C68:N68"/>
    <mergeCell ref="C69:N69"/>
    <mergeCell ref="B68:B70"/>
    <mergeCell ref="G3:N5"/>
  </mergeCells>
  <dataValidations count="1">
    <dataValidation type="decimal" operator="greaterThanOrEqual" allowBlank="1" showInputMessage="1" showErrorMessage="1" error="Please input a valid data!" sqref="D8:N45 F47:N65">
      <formula1>0</formula1>
    </dataValidation>
  </dataValidations>
  <pageMargins left="0" right="0" top="0.5" bottom="0" header="0.05" footer="0.3"/>
  <pageSetup paperSize="9" scale="71" fitToHeight="4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Klepsys</dc:creator>
  <cp:lastModifiedBy>user</cp:lastModifiedBy>
  <dcterms:created xsi:type="dcterms:W3CDTF">2014-09-10T07:44:26Z</dcterms:created>
  <dcterms:modified xsi:type="dcterms:W3CDTF">2024-02-22T05:48:22Z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5D3141197CA642F4ADC3315568BB2FF4_13</vt:lpwstr>
  </property>
  <property fmtid="{D5CDD505-2E9C-101B-9397-08002B2CF9AE}" pid="3" name="KSOProductBuildVer">
    <vt:lpwstr>1033-12.2.0.13431</vt:lpwstr>
  </property>
</Properties>
</file>