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BRF 3- MEM ACCT" sheetId="1" r:id="rId1"/>
  </sheets>
  <definedNames>
    <definedName name="_xlnm.Print_Area" localSheetId="0">'BRF 3- MEM ACCT'!$B$2:$N$166</definedName>
  </definedNames>
  <calcPr calcId="144525"/>
</workbook>
</file>

<file path=xl/sharedStrings.xml><?xml version="1.0" encoding="utf-8"?>
<sst xmlns="http://schemas.openxmlformats.org/spreadsheetml/2006/main" count="322" uniqueCount="156">
  <si>
    <t>BANKING AND MONETARY STATISTICS-  MEMORANDUM ACCOUNTS - BRF 3 (AED 000)</t>
  </si>
  <si>
    <t>ID:</t>
  </si>
  <si>
    <t>2-3-2-0</t>
  </si>
  <si>
    <t>BANK</t>
  </si>
  <si>
    <t>Bank of Baroda</t>
  </si>
  <si>
    <t>As On</t>
  </si>
  <si>
    <t>Outstanding</t>
  </si>
  <si>
    <t>Resident</t>
  </si>
  <si>
    <t>Non Resident</t>
  </si>
  <si>
    <t>Letters of Credit</t>
  </si>
  <si>
    <t>Letters of credit (Excluding Stand-by LC)</t>
  </si>
  <si>
    <t>Guarantees</t>
  </si>
  <si>
    <t>Financial guarantees &amp; stand-by letters of credit</t>
  </si>
  <si>
    <t>Advance payment guarantees</t>
  </si>
  <si>
    <t>Performance guarantee</t>
  </si>
  <si>
    <t>Tender Bonds</t>
  </si>
  <si>
    <t>Other guarantees</t>
  </si>
  <si>
    <t>Commitment</t>
  </si>
  <si>
    <t>Unused credit card limits</t>
  </si>
  <si>
    <t>Other commitment to extend credit- irrevocable</t>
  </si>
  <si>
    <t>Commitment for future capital expenditure</t>
  </si>
  <si>
    <t>Irrevocable commitment to Invest</t>
  </si>
  <si>
    <t>Underwriting Commitments</t>
  </si>
  <si>
    <t>Others</t>
  </si>
  <si>
    <t>Import and Export Bills for Collection</t>
  </si>
  <si>
    <t>Forward deposits placed</t>
  </si>
  <si>
    <t>Forward assets purchased</t>
  </si>
  <si>
    <t>Derivative summary</t>
  </si>
  <si>
    <t>Notional Amount</t>
  </si>
  <si>
    <t>Derivative type</t>
  </si>
  <si>
    <t>Hedging</t>
  </si>
  <si>
    <t>Trading</t>
  </si>
  <si>
    <t>Non-Resident</t>
  </si>
  <si>
    <t>within 1 year</t>
  </si>
  <si>
    <t>1 and 3 years</t>
  </si>
  <si>
    <t>over 3 years</t>
  </si>
  <si>
    <t>Total Derivatives</t>
  </si>
  <si>
    <t>FX derivatives</t>
  </si>
  <si>
    <t>Currency options</t>
  </si>
  <si>
    <t>Interest rate derivatives</t>
  </si>
  <si>
    <t>Equity Derivatives</t>
  </si>
  <si>
    <t>Commodity Derivatives</t>
  </si>
  <si>
    <t>CDS</t>
  </si>
  <si>
    <t>Other types of Derivatives</t>
  </si>
  <si>
    <t>Net loss/gain from change in exchange rate against all other currencies by:</t>
  </si>
  <si>
    <t>No</t>
  </si>
  <si>
    <t>TYPE OF FACILITY</t>
  </si>
  <si>
    <t>+10%</t>
  </si>
  <si>
    <t>Derivatives</t>
  </si>
  <si>
    <t>Foreign Exchange derivatives</t>
  </si>
  <si>
    <t>6.1.1</t>
  </si>
  <si>
    <t>Net AED/ all currencies</t>
  </si>
  <si>
    <t>6.1.2</t>
  </si>
  <si>
    <t>Net USD/ all currencies</t>
  </si>
  <si>
    <t>6.1.3</t>
  </si>
  <si>
    <t>Net EUR/ all currencies</t>
  </si>
  <si>
    <t>6.1.4</t>
  </si>
  <si>
    <t>Net JPY/ all currencies</t>
  </si>
  <si>
    <t>6.1.5</t>
  </si>
  <si>
    <t>Net GBP/ all currencies</t>
  </si>
  <si>
    <t>6.1.6</t>
  </si>
  <si>
    <t>Net AUD/ all currencies</t>
  </si>
  <si>
    <t>6.1.7</t>
  </si>
  <si>
    <t>Net CHF/ all currencies</t>
  </si>
  <si>
    <t>6.1.8</t>
  </si>
  <si>
    <t>Net CAD/ all currencies</t>
  </si>
  <si>
    <t>6.1.9</t>
  </si>
  <si>
    <t>Net Other correncies</t>
  </si>
  <si>
    <t>Net Delta position</t>
  </si>
  <si>
    <t>Bought</t>
  </si>
  <si>
    <t>Sold</t>
  </si>
  <si>
    <t xml:space="preserve">Bought </t>
  </si>
  <si>
    <t>Currency Options</t>
  </si>
  <si>
    <t>6.2.1</t>
  </si>
  <si>
    <t>USD &amp; AED</t>
  </si>
  <si>
    <t>6.2.2</t>
  </si>
  <si>
    <t>EUR</t>
  </si>
  <si>
    <t>6.2.3</t>
  </si>
  <si>
    <t>JPY</t>
  </si>
  <si>
    <t>6.2.4</t>
  </si>
  <si>
    <t>GBP</t>
  </si>
  <si>
    <t>6.2.5</t>
  </si>
  <si>
    <t>AUD</t>
  </si>
  <si>
    <t>6.2.6</t>
  </si>
  <si>
    <t>CHF</t>
  </si>
  <si>
    <t>6.2.7</t>
  </si>
  <si>
    <t>CAD</t>
  </si>
  <si>
    <t>6.2.8</t>
  </si>
  <si>
    <t>Other currencies</t>
  </si>
  <si>
    <t>Net gain/loss from parallel shift in yield curve by:</t>
  </si>
  <si>
    <t>+2 pp</t>
  </si>
  <si>
    <t>-2 pp</t>
  </si>
  <si>
    <t>6.3.1</t>
  </si>
  <si>
    <t>OTC products</t>
  </si>
  <si>
    <t>6.3.2</t>
  </si>
  <si>
    <t>Exchange traded products</t>
  </si>
  <si>
    <t>Sensitivity of the Banking book</t>
  </si>
  <si>
    <t>6.4.1</t>
  </si>
  <si>
    <t>Total loan portfolio</t>
  </si>
  <si>
    <t>Net gain/loss from shift in value of the underlying by:</t>
  </si>
  <si>
    <t>Classification (Notional Amount)</t>
  </si>
  <si>
    <t>Net Gain/Loss</t>
  </si>
  <si>
    <t>Protection bought</t>
  </si>
  <si>
    <t>Protection sold</t>
  </si>
  <si>
    <t>Credit derivatives</t>
  </si>
  <si>
    <t>6.7.1</t>
  </si>
  <si>
    <t>CDS on UAE governments</t>
  </si>
  <si>
    <t>6.7.2</t>
  </si>
  <si>
    <t>CDS on UAE financial institutions</t>
  </si>
  <si>
    <t>6.7.3</t>
  </si>
  <si>
    <t>CDS on UAE GRE's (Public sector)</t>
  </si>
  <si>
    <t>6.7.4</t>
  </si>
  <si>
    <t>CDS on UAE Other Corporates</t>
  </si>
  <si>
    <t>6.7.5</t>
  </si>
  <si>
    <t>CDS on GCC Governments</t>
  </si>
  <si>
    <t>6.7.6</t>
  </si>
  <si>
    <t>CDS on GCC financial institutions</t>
  </si>
  <si>
    <t>6.7.7</t>
  </si>
  <si>
    <t>CDS on GCC Corporates</t>
  </si>
  <si>
    <t>6.7.8</t>
  </si>
  <si>
    <t>CDS on other Sovereign</t>
  </si>
  <si>
    <t>6.7.9</t>
  </si>
  <si>
    <t>CDS on other financial institutions</t>
  </si>
  <si>
    <t>6.7.10</t>
  </si>
  <si>
    <t>CDS on other Corporates</t>
  </si>
  <si>
    <t>other credit derivatives</t>
  </si>
  <si>
    <t>6.8.1</t>
  </si>
  <si>
    <t>NA</t>
  </si>
  <si>
    <t>6.8.2</t>
  </si>
  <si>
    <t>6.8.3</t>
  </si>
  <si>
    <t>6.8.4</t>
  </si>
  <si>
    <t>6.8.5</t>
  </si>
  <si>
    <t>6.8.6</t>
  </si>
  <si>
    <t>6.8.7</t>
  </si>
  <si>
    <t>6.8.8</t>
  </si>
  <si>
    <t>6.8.9</t>
  </si>
  <si>
    <t>Other types of Derivatives (specify category/ type)</t>
  </si>
  <si>
    <t>6.9.1</t>
  </si>
  <si>
    <t>6.9.2</t>
  </si>
  <si>
    <t>6.9.3</t>
  </si>
  <si>
    <t>6.9.4</t>
  </si>
  <si>
    <t>6.9.5</t>
  </si>
  <si>
    <t>6.9.6</t>
  </si>
  <si>
    <t>6.9.7</t>
  </si>
  <si>
    <t>6.9.8</t>
  </si>
  <si>
    <t>6.9.9</t>
  </si>
  <si>
    <t>DETAILS (See note at the bottom of the form)</t>
  </si>
  <si>
    <r>
      <t xml:space="preserve">Top 15 Foreign Exchange derivative </t>
    </r>
    <r>
      <rPr>
        <b/>
        <sz val="8"/>
        <color indexed="10"/>
        <rFont val="Arial"/>
        <family val="2"/>
        <charset val="0"/>
      </rPr>
      <t>exposures</t>
    </r>
  </si>
  <si>
    <r>
      <t xml:space="preserve">Top 15 Currency options derivative </t>
    </r>
    <r>
      <rPr>
        <b/>
        <sz val="8"/>
        <color indexed="10"/>
        <rFont val="Arial"/>
        <family val="2"/>
        <charset val="0"/>
      </rPr>
      <t>exposures</t>
    </r>
  </si>
  <si>
    <t>Name</t>
  </si>
  <si>
    <r>
      <t xml:space="preserve">Top 15 Interest rate related derivative </t>
    </r>
    <r>
      <rPr>
        <b/>
        <sz val="8"/>
        <color indexed="10"/>
        <rFont val="Arial"/>
        <family val="2"/>
        <charset val="0"/>
      </rPr>
      <t>exposures</t>
    </r>
  </si>
  <si>
    <r>
      <t xml:space="preserve">Top 15 Credit  derivative </t>
    </r>
    <r>
      <rPr>
        <b/>
        <sz val="8"/>
        <color indexed="10"/>
        <rFont val="Arial"/>
        <family val="2"/>
        <charset val="0"/>
      </rPr>
      <t>exposures</t>
    </r>
  </si>
  <si>
    <t>Notes: Resident/ Non resident refer to the counterparties of the bank</t>
  </si>
  <si>
    <t>Top 15 are defined not by the largest notional amount but the largest exposure to the bank in their respective categories.</t>
  </si>
  <si>
    <t>However the bank is to report in the relevant categories the notional amount, not the market value.</t>
  </si>
  <si>
    <t>FORM NO: BSD/BRF 3 MEMO ACCTS/FEB15</t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</si>
</sst>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0.0"/>
  </numFmts>
  <fonts count="29">
    <font>
      <sz val="11"/>
      <color theme="1"/>
      <name val="Calibri"/>
      <family val="2"/>
      <charset val="0"/>
      <scheme val="minor"/>
    </font>
    <font>
      <sz val="8"/>
      <name val="Arial"/>
      <family val="2"/>
      <charset val="0"/>
    </font>
    <font>
      <b/>
      <sz val="8"/>
      <name val="Arial"/>
      <family val="2"/>
      <charset val="0"/>
    </font>
    <font>
      <b/>
      <sz val="8"/>
      <color indexed="8"/>
      <name val="Arial"/>
      <family val="2"/>
      <charset val="0"/>
    </font>
    <font>
      <b/>
      <i/>
      <sz val="8"/>
      <color indexed="8"/>
      <name val="Arial"/>
      <family val="2"/>
      <charset val="0"/>
    </font>
    <font>
      <sz val="8"/>
      <color indexed="8"/>
      <name val="Arial"/>
      <family val="2"/>
      <charset val="0"/>
    </font>
    <font>
      <sz val="8"/>
      <color theme="1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  <font>
      <b/>
      <sz val="8"/>
      <color indexed="10"/>
      <name val="Arial"/>
      <family val="2"/>
      <charset val="0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7" fillId="0" borderId="0" applyFont="0" applyFill="0" applyBorder="0" applyAlignment="0" applyProtection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41" fontId="7" fillId="0" borderId="0" applyFont="0" applyFill="0" applyBorder="0" applyAlignment="0" applyProtection="0"/>
    <xf numFmtId="42" fontId="7" fillId="0" borderId="0" applyFont="0" applyFill="0" applyBorder="0" applyAlignment="0" applyProtection="0"/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5" borderId="16" applyNumberFormat="0" applyFont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17" applyNumberFormat="0" applyFill="0" applyAlignment="0" applyProtection="0"/>
    <xf numFmtId="0" fontId="14" fillId="0" borderId="18" applyNumberFormat="0" applyFill="0" applyAlignment="0" applyProtection="0"/>
    <xf numFmtId="0" fontId="15" fillId="0" borderId="19" applyNumberFormat="0" applyFill="0" applyAlignment="0" applyProtection="0"/>
    <xf numFmtId="0" fontId="15" fillId="0" borderId="0" applyNumberFormat="0" applyFill="0" applyBorder="0" applyAlignment="0" applyProtection="0"/>
    <xf numFmtId="0" fontId="16" fillId="6" borderId="20" applyNumberFormat="0" applyAlignment="0" applyProtection="0"/>
    <xf numFmtId="0" fontId="17" fillId="7" borderId="21" applyNumberFormat="0" applyAlignment="0" applyProtection="0"/>
    <xf numFmtId="0" fontId="18" fillId="7" borderId="20" applyNumberFormat="0" applyAlignment="0" applyProtection="0"/>
    <xf numFmtId="0" fontId="19" fillId="8" borderId="22" applyNumberFormat="0" applyAlignment="0" applyProtection="0"/>
    <xf numFmtId="0" fontId="20" fillId="0" borderId="23" applyNumberFormat="0" applyFill="0" applyAlignment="0" applyProtection="0"/>
    <xf numFmtId="0" fontId="21" fillId="0" borderId="24" applyNumberFormat="0" applyFill="0" applyAlignment="0" applyProtection="0"/>
    <xf numFmtId="0" fontId="22" fillId="9" borderId="0" applyNumberFormat="0" applyBorder="0" applyAlignment="0" applyProtection="0"/>
    <xf numFmtId="0" fontId="23" fillId="10" borderId="0" applyNumberFormat="0" applyBorder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0" fillId="13" borderId="0" applyNumberFormat="0" applyBorder="0" applyAlignment="0" applyProtection="0"/>
    <xf numFmtId="0" fontId="0" fillId="14" borderId="0" applyNumberFormat="0" applyBorder="0" applyAlignment="0" applyProtection="0"/>
    <xf numFmtId="0" fontId="25" fillId="15" borderId="0" applyNumberFormat="0" applyBorder="0" applyAlignment="0" applyProtection="0"/>
    <xf numFmtId="0" fontId="25" fillId="16" borderId="0" applyNumberFormat="0" applyBorder="0" applyAlignment="0" applyProtection="0"/>
    <xf numFmtId="0" fontId="0" fillId="17" borderId="0" applyNumberFormat="0" applyBorder="0" applyAlignment="0" applyProtection="0"/>
    <xf numFmtId="0" fontId="0" fillId="18" borderId="0" applyNumberFormat="0" applyBorder="0" applyAlignment="0" applyProtection="0"/>
    <xf numFmtId="0" fontId="25" fillId="19" borderId="0" applyNumberFormat="0" applyBorder="0" applyAlignment="0" applyProtection="0"/>
    <xf numFmtId="0" fontId="25" fillId="20" borderId="0" applyNumberFormat="0" applyBorder="0" applyAlignment="0" applyProtection="0"/>
    <xf numFmtId="0" fontId="0" fillId="21" borderId="0" applyNumberFormat="0" applyBorder="0" applyAlignment="0" applyProtection="0"/>
    <xf numFmtId="0" fontId="0" fillId="22" borderId="0" applyNumberFormat="0" applyBorder="0" applyAlignment="0" applyProtection="0"/>
    <xf numFmtId="0" fontId="25" fillId="22" borderId="0" applyNumberFormat="0" applyBorder="0" applyAlignment="0" applyProtection="0"/>
    <xf numFmtId="0" fontId="25" fillId="23" borderId="0" applyNumberFormat="0" applyBorder="0" applyAlignment="0" applyProtection="0"/>
    <xf numFmtId="0" fontId="0" fillId="24" borderId="0" applyNumberFormat="0" applyBorder="0" applyAlignment="0" applyProtection="0"/>
    <xf numFmtId="0" fontId="0" fillId="25" borderId="0" applyNumberFormat="0" applyBorder="0" applyAlignment="0" applyProtection="0"/>
    <xf numFmtId="0" fontId="25" fillId="26" borderId="0" applyNumberFormat="0" applyBorder="0" applyAlignment="0" applyProtection="0"/>
    <xf numFmtId="0" fontId="25" fillId="27" borderId="0" applyNumberFormat="0" applyBorder="0" applyAlignment="0" applyProtection="0"/>
    <xf numFmtId="0" fontId="0" fillId="28" borderId="0" applyNumberFormat="0" applyBorder="0" applyAlignment="0" applyProtection="0"/>
    <xf numFmtId="0" fontId="0" fillId="29" borderId="0" applyNumberFormat="0" applyBorder="0" applyAlignment="0" applyProtection="0"/>
    <xf numFmtId="0" fontId="25" fillId="30" borderId="0" applyNumberFormat="0" applyBorder="0" applyAlignment="0" applyProtection="0"/>
    <xf numFmtId="0" fontId="25" fillId="31" borderId="0" applyNumberFormat="0" applyBorder="0" applyAlignment="0" applyProtection="0"/>
    <xf numFmtId="0" fontId="0" fillId="32" borderId="0" applyNumberFormat="0" applyBorder="0" applyAlignment="0" applyProtection="0"/>
    <xf numFmtId="0" fontId="0" fillId="33" borderId="0" applyNumberFormat="0" applyBorder="0" applyAlignment="0" applyProtection="0"/>
    <xf numFmtId="0" fontId="25" fillId="34" borderId="0" applyNumberFormat="0" applyBorder="0" applyAlignment="0" applyProtection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7" fillId="0" borderId="0">
      <alignment vertical="center"/>
    </xf>
    <xf numFmtId="0" fontId="26" fillId="0" borderId="0"/>
    <xf numFmtId="0" fontId="26" fillId="0" borderId="0"/>
    <xf numFmtId="0" fontId="26" fillId="0" borderId="0"/>
    <xf numFmtId="0" fontId="7" fillId="0" borderId="0"/>
    <xf numFmtId="9" fontId="26" fillId="0" borderId="0" applyFont="0" applyFill="0" applyBorder="0" applyAlignment="0" applyProtection="0"/>
  </cellStyleXfs>
  <cellXfs count="147">
    <xf numFmtId="0" fontId="0" fillId="0" borderId="0" xfId="0"/>
    <xf numFmtId="0" fontId="1" fillId="0" borderId="0" xfId="49" applyFont="1" applyFill="1" applyBorder="1" applyAlignment="1">
      <alignment vertical="center"/>
    </xf>
    <xf numFmtId="0" fontId="2" fillId="0" borderId="0" xfId="49" applyFont="1" applyFill="1" applyBorder="1" applyAlignment="1">
      <alignment vertical="center"/>
    </xf>
    <xf numFmtId="0" fontId="2" fillId="2" borderId="1" xfId="50" applyFont="1" applyFill="1" applyBorder="1" applyAlignment="1" applyProtection="1">
      <alignment horizontal="center" vertical="center"/>
    </xf>
    <xf numFmtId="0" fontId="2" fillId="2" borderId="2" xfId="50" applyFont="1" applyFill="1" applyBorder="1" applyAlignment="1" applyProtection="1">
      <alignment horizontal="center" vertical="center"/>
    </xf>
    <xf numFmtId="0" fontId="3" fillId="2" borderId="3" xfId="49" applyFont="1" applyFill="1" applyBorder="1" applyAlignment="1" applyProtection="1"/>
    <xf numFmtId="0" fontId="2" fillId="2" borderId="0" xfId="50" applyFont="1" applyFill="1" applyBorder="1" applyAlignment="1" applyProtection="1">
      <alignment horizontal="center" vertical="center"/>
    </xf>
    <xf numFmtId="15" fontId="2" fillId="2" borderId="3" xfId="50" applyNumberFormat="1" applyFont="1" applyFill="1" applyBorder="1" applyAlignment="1" applyProtection="1">
      <alignment horizontal="left"/>
    </xf>
    <xf numFmtId="0" fontId="2" fillId="2" borderId="3" xfId="50" applyFont="1" applyFill="1" applyBorder="1" applyProtection="1"/>
    <xf numFmtId="0" fontId="2" fillId="2" borderId="4" xfId="50" applyFont="1" applyFill="1" applyBorder="1" applyProtection="1"/>
    <xf numFmtId="0" fontId="2" fillId="2" borderId="5" xfId="50" applyFont="1" applyFill="1" applyBorder="1" applyAlignment="1" applyProtection="1">
      <alignment horizontal="center" vertical="center"/>
    </xf>
    <xf numFmtId="15" fontId="2" fillId="0" borderId="6" xfId="50" applyNumberFormat="1" applyFont="1" applyFill="1" applyBorder="1" applyAlignment="1">
      <alignment vertical="center"/>
    </xf>
    <xf numFmtId="0" fontId="2" fillId="3" borderId="6" xfId="49" applyFont="1" applyFill="1" applyBorder="1" applyAlignment="1">
      <alignment vertical="center"/>
    </xf>
    <xf numFmtId="0" fontId="4" fillId="3" borderId="6" xfId="50" applyFont="1" applyFill="1" applyBorder="1" applyAlignment="1">
      <alignment horizontal="left" vertical="center" wrapText="1"/>
    </xf>
    <xf numFmtId="0" fontId="5" fillId="3" borderId="6" xfId="59" applyFont="1" applyFill="1" applyBorder="1" applyAlignment="1">
      <alignment horizontal="center" vertical="center"/>
    </xf>
    <xf numFmtId="0" fontId="3" fillId="3" borderId="6" xfId="59" applyFont="1" applyFill="1" applyBorder="1" applyAlignment="1">
      <alignment horizontal="center" vertical="center"/>
    </xf>
    <xf numFmtId="0" fontId="5" fillId="3" borderId="6" xfId="59" applyFont="1" applyFill="1" applyBorder="1" applyAlignment="1">
      <alignment vertical="center"/>
    </xf>
    <xf numFmtId="0" fontId="5" fillId="3" borderId="6" xfId="53" applyFont="1" applyFill="1" applyBorder="1" applyAlignment="1">
      <alignment vertical="center" wrapText="1"/>
    </xf>
    <xf numFmtId="0" fontId="3" fillId="3" borderId="6" xfId="53" applyFont="1" applyFill="1" applyBorder="1" applyAlignment="1">
      <alignment horizontal="center" vertical="center" wrapText="1"/>
    </xf>
    <xf numFmtId="0" fontId="2" fillId="2" borderId="6" xfId="49" applyFont="1" applyFill="1" applyBorder="1" applyAlignment="1">
      <alignment vertical="center"/>
    </xf>
    <xf numFmtId="0" fontId="3" fillId="2" borderId="6" xfId="50" applyFont="1" applyFill="1" applyBorder="1" applyAlignment="1">
      <alignment horizontal="left" vertical="center" wrapText="1"/>
    </xf>
    <xf numFmtId="0" fontId="5" fillId="2" borderId="6" xfId="59" applyFont="1" applyFill="1" applyBorder="1" applyAlignment="1">
      <alignment vertical="center"/>
    </xf>
    <xf numFmtId="0" fontId="5" fillId="2" borderId="6" xfId="52" applyFont="1" applyFill="1" applyBorder="1" applyAlignment="1">
      <alignment horizontal="right" vertical="center" wrapText="1"/>
    </xf>
    <xf numFmtId="0" fontId="5" fillId="2" borderId="6" xfId="52" applyFont="1" applyFill="1" applyBorder="1" applyAlignment="1">
      <alignment vertical="center" wrapText="1"/>
    </xf>
    <xf numFmtId="0" fontId="5" fillId="2" borderId="6" xfId="53" applyFont="1" applyFill="1" applyBorder="1" applyAlignment="1">
      <alignment vertical="center" wrapText="1"/>
    </xf>
    <xf numFmtId="0" fontId="5" fillId="2" borderId="6" xfId="59" applyFont="1" applyFill="1" applyBorder="1" applyAlignment="1" applyProtection="1">
      <alignment vertical="center"/>
      <protection locked="0"/>
    </xf>
    <xf numFmtId="0" fontId="5" fillId="2" borderId="6" xfId="53" applyFont="1" applyFill="1" applyBorder="1" applyAlignment="1" applyProtection="1">
      <alignment vertical="center" wrapText="1"/>
      <protection locked="0"/>
    </xf>
    <xf numFmtId="0" fontId="3" fillId="2" borderId="6" xfId="52" applyFont="1" applyFill="1" applyBorder="1" applyAlignment="1">
      <alignment vertical="center" wrapText="1"/>
    </xf>
    <xf numFmtId="3" fontId="5" fillId="2" borderId="6" xfId="52" applyNumberFormat="1" applyFont="1" applyFill="1" applyBorder="1" applyAlignment="1">
      <alignment vertical="center" wrapText="1"/>
    </xf>
    <xf numFmtId="3" fontId="5" fillId="2" borderId="6" xfId="52" applyNumberFormat="1" applyFont="1" applyFill="1" applyBorder="1" applyAlignment="1" applyProtection="1">
      <alignment vertical="center" wrapText="1"/>
      <protection locked="0"/>
    </xf>
    <xf numFmtId="0" fontId="5" fillId="2" borderId="6" xfId="0" applyFont="1" applyFill="1" applyBorder="1" applyAlignment="1">
      <alignment vertical="center"/>
    </xf>
    <xf numFmtId="0" fontId="5" fillId="3" borderId="6" xfId="52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/>
    </xf>
    <xf numFmtId="0" fontId="3" fillId="3" borderId="7" xfId="52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3" fillId="3" borderId="8" xfId="52" applyFont="1" applyFill="1" applyBorder="1" applyAlignment="1">
      <alignment horizontal="center" vertical="center" wrapText="1"/>
    </xf>
    <xf numFmtId="0" fontId="3" fillId="3" borderId="6" xfId="52" applyFont="1" applyFill="1" applyBorder="1" applyAlignment="1">
      <alignment vertical="center" wrapText="1"/>
    </xf>
    <xf numFmtId="0" fontId="2" fillId="3" borderId="6" xfId="5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 wrapText="1"/>
    </xf>
    <xf numFmtId="0" fontId="5" fillId="4" borderId="6" xfId="52" applyFont="1" applyFill="1" applyBorder="1" applyAlignment="1">
      <alignment vertical="center" wrapText="1"/>
    </xf>
    <xf numFmtId="15" fontId="2" fillId="3" borderId="6" xfId="50" applyNumberFormat="1" applyFont="1" applyFill="1" applyBorder="1" applyAlignment="1">
      <alignment vertical="center"/>
    </xf>
    <xf numFmtId="0" fontId="3" fillId="3" borderId="6" xfId="0" applyFont="1" applyFill="1" applyBorder="1" applyAlignment="1">
      <alignment vertical="center"/>
    </xf>
    <xf numFmtId="0" fontId="2" fillId="3" borderId="6" xfId="50" applyFont="1" applyFill="1" applyBorder="1" applyAlignment="1">
      <alignment vertical="center" wrapText="1"/>
    </xf>
    <xf numFmtId="0" fontId="3" fillId="3" borderId="6" xfId="50" applyFont="1" applyFill="1" applyBorder="1" applyAlignment="1">
      <alignment horizontal="left" vertical="center"/>
    </xf>
    <xf numFmtId="3" fontId="3" fillId="3" borderId="6" xfId="53" applyNumberFormat="1" applyFont="1" applyFill="1" applyBorder="1" applyAlignment="1">
      <alignment vertical="center" wrapText="1"/>
    </xf>
    <xf numFmtId="176" fontId="3" fillId="3" borderId="6" xfId="53" applyNumberFormat="1" applyFont="1" applyFill="1" applyBorder="1" applyAlignment="1">
      <alignment horizontal="right" vertical="center" wrapText="1"/>
    </xf>
    <xf numFmtId="0" fontId="3" fillId="3" borderId="6" xfId="50" applyFont="1" applyFill="1" applyBorder="1" applyAlignment="1">
      <alignment horizontal="left" vertical="center" wrapText="1"/>
    </xf>
    <xf numFmtId="0" fontId="5" fillId="3" borderId="6" xfId="50" applyFont="1" applyFill="1" applyBorder="1" applyAlignment="1">
      <alignment horizontal="left" vertical="center" wrapText="1"/>
    </xf>
    <xf numFmtId="176" fontId="5" fillId="0" borderId="6" xfId="53" applyNumberFormat="1" applyFont="1" applyFill="1" applyBorder="1" applyAlignment="1">
      <alignment horizontal="right" vertical="center" wrapText="1"/>
    </xf>
    <xf numFmtId="0" fontId="5" fillId="0" borderId="6" xfId="50" applyFont="1" applyFill="1" applyBorder="1" applyAlignment="1">
      <alignment horizontal="left" vertical="center" wrapText="1"/>
    </xf>
    <xf numFmtId="0" fontId="5" fillId="0" borderId="6" xfId="50" applyFont="1" applyFill="1" applyBorder="1" applyAlignment="1" applyProtection="1">
      <alignment horizontal="right" vertical="center" wrapText="1"/>
      <protection locked="0"/>
    </xf>
    <xf numFmtId="0" fontId="5" fillId="0" borderId="6" xfId="59" applyFont="1" applyFill="1" applyBorder="1" applyAlignment="1" applyProtection="1">
      <alignment horizontal="right" vertical="center"/>
      <protection locked="0"/>
    </xf>
    <xf numFmtId="0" fontId="5" fillId="0" borderId="6" xfId="53" applyFont="1" applyFill="1" applyBorder="1" applyAlignment="1" applyProtection="1">
      <alignment horizontal="right" vertical="center" wrapText="1"/>
      <protection locked="0"/>
    </xf>
    <xf numFmtId="176" fontId="5" fillId="2" borderId="6" xfId="53" applyNumberFormat="1" applyFont="1" applyFill="1" applyBorder="1" applyAlignment="1">
      <alignment horizontal="right" vertical="center" wrapText="1"/>
    </xf>
    <xf numFmtId="0" fontId="5" fillId="2" borderId="6" xfId="50" applyFont="1" applyFill="1" applyBorder="1" applyAlignment="1">
      <alignment horizontal="left" vertical="center" wrapText="1"/>
    </xf>
    <xf numFmtId="0" fontId="5" fillId="2" borderId="6" xfId="50" applyFont="1" applyFill="1" applyBorder="1" applyAlignment="1">
      <alignment horizontal="right" vertical="center" wrapText="1"/>
    </xf>
    <xf numFmtId="0" fontId="5" fillId="2" borderId="6" xfId="50" applyFont="1" applyFill="1" applyBorder="1" applyAlignment="1" applyProtection="1">
      <alignment horizontal="right" vertical="center" wrapText="1"/>
      <protection locked="0"/>
    </xf>
    <xf numFmtId="0" fontId="2" fillId="2" borderId="9" xfId="50" applyFont="1" applyFill="1" applyBorder="1" applyAlignment="1" applyProtection="1">
      <alignment horizontal="center" vertical="center"/>
    </xf>
    <xf numFmtId="0" fontId="5" fillId="0" borderId="0" xfId="0" applyFont="1" applyFill="1" applyBorder="1" applyAlignment="1">
      <alignment horizontal="left" vertical="center"/>
    </xf>
    <xf numFmtId="0" fontId="2" fillId="2" borderId="10" xfId="50" applyFont="1" applyFill="1" applyBorder="1" applyAlignment="1" applyProtection="1">
      <alignment horizontal="center" vertical="center"/>
    </xf>
    <xf numFmtId="0" fontId="2" fillId="2" borderId="11" xfId="50" applyFont="1" applyFill="1" applyBorder="1" applyAlignment="1" applyProtection="1">
      <alignment horizontal="center" vertical="center"/>
    </xf>
    <xf numFmtId="0" fontId="5" fillId="3" borderId="6" xfId="52" applyFont="1" applyFill="1" applyBorder="1" applyAlignment="1">
      <alignment horizontal="right" vertical="center" wrapText="1"/>
    </xf>
    <xf numFmtId="0" fontId="5" fillId="3" borderId="12" xfId="52" applyFont="1" applyFill="1" applyBorder="1" applyAlignment="1">
      <alignment vertical="center" wrapText="1"/>
    </xf>
    <xf numFmtId="0" fontId="5" fillId="3" borderId="13" xfId="52" applyFont="1" applyFill="1" applyBorder="1" applyAlignment="1">
      <alignment vertical="center" wrapText="1"/>
    </xf>
    <xf numFmtId="0" fontId="5" fillId="3" borderId="13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0" fontId="3" fillId="3" borderId="12" xfId="59" applyFont="1" applyFill="1" applyBorder="1" applyAlignment="1">
      <alignment horizontal="center" vertical="center" wrapText="1"/>
    </xf>
    <xf numFmtId="0" fontId="3" fillId="3" borderId="13" xfId="59" applyFont="1" applyFill="1" applyBorder="1" applyAlignment="1">
      <alignment horizontal="center" vertical="center" wrapText="1"/>
    </xf>
    <xf numFmtId="0" fontId="3" fillId="3" borderId="14" xfId="59" applyFont="1" applyFill="1" applyBorder="1" applyAlignment="1">
      <alignment horizontal="center" vertical="center" wrapText="1"/>
    </xf>
    <xf numFmtId="0" fontId="2" fillId="3" borderId="12" xfId="50" applyFont="1" applyFill="1" applyBorder="1" applyAlignment="1">
      <alignment horizontal="center" vertical="center"/>
    </xf>
    <xf numFmtId="0" fontId="2" fillId="3" borderId="14" xfId="50" applyFont="1" applyFill="1" applyBorder="1" applyAlignment="1">
      <alignment horizontal="center" vertical="center"/>
    </xf>
    <xf numFmtId="49" fontId="2" fillId="3" borderId="6" xfId="50" applyNumberFormat="1" applyFont="1" applyFill="1" applyBorder="1" applyAlignment="1">
      <alignment horizontal="center" vertical="center"/>
    </xf>
    <xf numFmtId="9" fontId="2" fillId="3" borderId="6" xfId="50" applyNumberFormat="1" applyFont="1" applyFill="1" applyBorder="1" applyAlignment="1">
      <alignment horizontal="center" vertical="center"/>
    </xf>
    <xf numFmtId="0" fontId="5" fillId="3" borderId="7" xfId="50" applyFont="1" applyFill="1" applyBorder="1" applyAlignment="1">
      <alignment horizontal="left" vertical="center" wrapText="1"/>
    </xf>
    <xf numFmtId="0" fontId="5" fillId="2" borderId="6" xfId="50" applyFont="1" applyFill="1" applyBorder="1" applyAlignment="1" applyProtection="1">
      <alignment vertical="center" wrapText="1"/>
      <protection locked="0"/>
    </xf>
    <xf numFmtId="0" fontId="5" fillId="2" borderId="8" xfId="53" applyFont="1" applyFill="1" applyBorder="1" applyAlignment="1" applyProtection="1">
      <alignment horizontal="right" vertical="center" wrapText="1"/>
      <protection locked="0"/>
    </xf>
    <xf numFmtId="0" fontId="5" fillId="2" borderId="8" xfId="50" applyFont="1" applyFill="1" applyBorder="1" applyAlignment="1" applyProtection="1">
      <alignment horizontal="right" vertical="center" wrapText="1"/>
      <protection locked="0"/>
    </xf>
    <xf numFmtId="0" fontId="5" fillId="2" borderId="6" xfId="53" applyFont="1" applyFill="1" applyBorder="1" applyAlignment="1" applyProtection="1">
      <alignment horizontal="right" vertical="center" wrapText="1"/>
      <protection locked="0"/>
    </xf>
    <xf numFmtId="0" fontId="3" fillId="3" borderId="12" xfId="59" applyFont="1" applyFill="1" applyBorder="1" applyAlignment="1">
      <alignment horizontal="center" vertical="center"/>
    </xf>
    <xf numFmtId="0" fontId="3" fillId="3" borderId="13" xfId="59" applyFont="1" applyFill="1" applyBorder="1" applyAlignment="1">
      <alignment horizontal="center" vertical="center"/>
    </xf>
    <xf numFmtId="0" fontId="3" fillId="3" borderId="14" xfId="59" applyFont="1" applyFill="1" applyBorder="1" applyAlignment="1">
      <alignment horizontal="center" vertical="center"/>
    </xf>
    <xf numFmtId="0" fontId="3" fillId="3" borderId="6" xfId="50" applyFont="1" applyFill="1" applyBorder="1" applyAlignment="1">
      <alignment horizontal="right" vertical="center" wrapText="1"/>
    </xf>
    <xf numFmtId="176" fontId="4" fillId="2" borderId="6" xfId="53" applyNumberFormat="1" applyFont="1" applyFill="1" applyBorder="1" applyAlignment="1">
      <alignment horizontal="right" vertical="center" wrapText="1"/>
    </xf>
    <xf numFmtId="0" fontId="4" fillId="2" borderId="6" xfId="50" applyFont="1" applyFill="1" applyBorder="1" applyAlignment="1">
      <alignment horizontal="left" vertical="center" wrapText="1"/>
    </xf>
    <xf numFmtId="0" fontId="5" fillId="2" borderId="6" xfId="59" applyFont="1" applyFill="1" applyBorder="1" applyAlignment="1" applyProtection="1">
      <alignment horizontal="right" vertical="center"/>
      <protection locked="0"/>
    </xf>
    <xf numFmtId="176" fontId="4" fillId="2" borderId="6" xfId="53" applyNumberFormat="1" applyFont="1" applyFill="1" applyBorder="1" applyAlignment="1" applyProtection="1">
      <alignment horizontal="right" vertical="center" wrapText="1"/>
    </xf>
    <xf numFmtId="0" fontId="4" fillId="2" borderId="6" xfId="50" applyFont="1" applyFill="1" applyBorder="1" applyAlignment="1" applyProtection="1">
      <alignment horizontal="left" vertical="center" wrapText="1"/>
    </xf>
    <xf numFmtId="0" fontId="5" fillId="2" borderId="6" xfId="50" applyFont="1" applyFill="1" applyBorder="1" applyAlignment="1" applyProtection="1">
      <alignment horizontal="right" vertical="center" wrapText="1"/>
    </xf>
    <xf numFmtId="0" fontId="5" fillId="2" borderId="6" xfId="59" applyFont="1" applyFill="1" applyBorder="1" applyAlignment="1" applyProtection="1">
      <alignment horizontal="right" vertical="center"/>
    </xf>
    <xf numFmtId="0" fontId="5" fillId="2" borderId="6" xfId="53" applyFont="1" applyFill="1" applyBorder="1" applyAlignment="1" applyProtection="1">
      <alignment horizontal="right" vertical="center" wrapText="1"/>
    </xf>
    <xf numFmtId="176" fontId="4" fillId="2" borderId="6" xfId="53" applyNumberFormat="1" applyFont="1" applyFill="1" applyBorder="1" applyAlignment="1">
      <alignment horizontal="center" vertical="center" wrapText="1"/>
    </xf>
    <xf numFmtId="176" fontId="3" fillId="2" borderId="6" xfId="53" applyNumberFormat="1" applyFont="1" applyFill="1" applyBorder="1" applyAlignment="1">
      <alignment horizontal="right" vertical="center" wrapText="1"/>
    </xf>
    <xf numFmtId="0" fontId="5" fillId="3" borderId="6" xfId="0" applyFont="1" applyFill="1" applyBorder="1" applyAlignment="1">
      <alignment wrapText="1"/>
    </xf>
    <xf numFmtId="0" fontId="2" fillId="3" borderId="6" xfId="50" applyFont="1" applyFill="1" applyBorder="1" applyAlignment="1">
      <alignment horizontal="center" vertical="center" wrapText="1"/>
    </xf>
    <xf numFmtId="0" fontId="5" fillId="2" borderId="6" xfId="53" applyNumberFormat="1" applyFont="1" applyFill="1" applyBorder="1" applyAlignment="1" applyProtection="1">
      <alignment horizontal="right" vertical="center" wrapText="1"/>
    </xf>
    <xf numFmtId="0" fontId="1" fillId="2" borderId="6" xfId="49" applyFont="1" applyFill="1" applyBorder="1" applyAlignment="1" applyProtection="1">
      <alignment vertical="center"/>
      <protection locked="0"/>
    </xf>
    <xf numFmtId="15" fontId="2" fillId="2" borderId="6" xfId="50" applyNumberFormat="1" applyFont="1" applyFill="1" applyBorder="1" applyAlignment="1">
      <alignment vertical="center"/>
    </xf>
    <xf numFmtId="0" fontId="2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vertical="center"/>
    </xf>
    <xf numFmtId="0" fontId="2" fillId="2" borderId="6" xfId="50" applyFont="1" applyFill="1" applyBorder="1" applyAlignment="1">
      <alignment vertical="center" wrapText="1"/>
    </xf>
    <xf numFmtId="0" fontId="2" fillId="2" borderId="6" xfId="5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6" xfId="52" applyFont="1" applyFill="1" applyBorder="1" applyAlignment="1">
      <alignment vertical="center"/>
    </xf>
    <xf numFmtId="10" fontId="2" fillId="2" borderId="6" xfId="49" applyNumberFormat="1" applyFont="1" applyFill="1" applyBorder="1" applyAlignment="1">
      <alignment vertical="center"/>
    </xf>
    <xf numFmtId="0" fontId="5" fillId="2" borderId="6" xfId="0" applyFont="1" applyFill="1" applyBorder="1" applyProtection="1">
      <protection locked="0"/>
    </xf>
    <xf numFmtId="0" fontId="5" fillId="2" borderId="6" xfId="0" applyFont="1" applyFill="1" applyBorder="1" applyProtection="1"/>
    <xf numFmtId="0" fontId="4" fillId="2" borderId="6" xfId="50" applyFont="1" applyFill="1" applyBorder="1" applyAlignment="1">
      <alignment horizontal="right" vertical="center" wrapText="1"/>
    </xf>
    <xf numFmtId="0" fontId="3" fillId="2" borderId="12" xfId="59" applyFont="1" applyFill="1" applyBorder="1" applyAlignment="1">
      <alignment horizontal="center" vertical="center" wrapText="1"/>
    </xf>
    <xf numFmtId="0" fontId="3" fillId="2" borderId="13" xfId="59" applyFont="1" applyFill="1" applyBorder="1" applyAlignment="1">
      <alignment horizontal="center" vertical="center" wrapText="1"/>
    </xf>
    <xf numFmtId="0" fontId="3" fillId="2" borderId="14" xfId="59" applyFont="1" applyFill="1" applyBorder="1" applyAlignment="1">
      <alignment horizontal="center" vertical="center" wrapText="1"/>
    </xf>
    <xf numFmtId="0" fontId="2" fillId="2" borderId="12" xfId="50" applyFont="1" applyFill="1" applyBorder="1" applyAlignment="1">
      <alignment horizontal="center" vertical="center"/>
    </xf>
    <xf numFmtId="0" fontId="2" fillId="2" borderId="14" xfId="50" applyFont="1" applyFill="1" applyBorder="1" applyAlignment="1">
      <alignment horizontal="center" vertical="center"/>
    </xf>
    <xf numFmtId="49" fontId="2" fillId="2" borderId="6" xfId="50" applyNumberFormat="1" applyFont="1" applyFill="1" applyBorder="1" applyAlignment="1">
      <alignment horizontal="center" vertical="center"/>
    </xf>
    <xf numFmtId="9" fontId="2" fillId="2" borderId="6" xfId="50" applyNumberFormat="1" applyFont="1" applyFill="1" applyBorder="1" applyAlignment="1">
      <alignment horizontal="center" vertical="center"/>
    </xf>
    <xf numFmtId="0" fontId="1" fillId="2" borderId="6" xfId="49" applyFont="1" applyFill="1" applyBorder="1" applyAlignment="1">
      <alignment horizontal="right" vertical="center"/>
    </xf>
    <xf numFmtId="0" fontId="2" fillId="2" borderId="12" xfId="49" applyFont="1" applyFill="1" applyBorder="1" applyAlignment="1">
      <alignment vertical="center"/>
    </xf>
    <xf numFmtId="0" fontId="2" fillId="2" borderId="13" xfId="49" applyFont="1" applyFill="1" applyBorder="1" applyAlignment="1">
      <alignment vertical="center"/>
    </xf>
    <xf numFmtId="0" fontId="6" fillId="2" borderId="14" xfId="0" applyFont="1" applyFill="1" applyBorder="1" applyAlignment="1">
      <alignment vertical="center"/>
    </xf>
    <xf numFmtId="0" fontId="1" fillId="2" borderId="6" xfId="49" applyFont="1" applyFill="1" applyBorder="1" applyAlignment="1">
      <alignment vertical="center"/>
    </xf>
    <xf numFmtId="0" fontId="2" fillId="2" borderId="6" xfId="49" applyFont="1" applyFill="1" applyBorder="1" applyAlignment="1" applyProtection="1">
      <alignment vertical="center"/>
    </xf>
    <xf numFmtId="0" fontId="1" fillId="2" borderId="6" xfId="49" applyFont="1" applyFill="1" applyBorder="1" applyAlignment="1" applyProtection="1">
      <alignment vertical="center"/>
    </xf>
    <xf numFmtId="0" fontId="2" fillId="2" borderId="15" xfId="49" applyFont="1" applyFill="1" applyBorder="1" applyAlignment="1">
      <alignment horizontal="center" vertical="center"/>
    </xf>
    <xf numFmtId="0" fontId="2" fillId="2" borderId="1" xfId="49" applyFont="1" applyFill="1" applyBorder="1" applyAlignment="1">
      <alignment horizontal="left" vertical="center"/>
    </xf>
    <xf numFmtId="0" fontId="2" fillId="2" borderId="2" xfId="49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2" fillId="2" borderId="3" xfId="49" applyFont="1" applyFill="1" applyBorder="1" applyAlignment="1">
      <alignment horizontal="left" vertical="center"/>
    </xf>
    <xf numFmtId="0" fontId="2" fillId="2" borderId="0" xfId="49" applyFont="1" applyFill="1" applyBorder="1" applyAlignment="1">
      <alignment horizontal="left" vertical="center"/>
    </xf>
    <xf numFmtId="0" fontId="6" fillId="2" borderId="0" xfId="0" applyFont="1" applyFill="1" applyBorder="1" applyAlignment="1">
      <alignment vertical="center"/>
    </xf>
    <xf numFmtId="0" fontId="2" fillId="2" borderId="8" xfId="49" applyFont="1" applyFill="1" applyBorder="1" applyAlignment="1">
      <alignment horizontal="center" vertical="center"/>
    </xf>
    <xf numFmtId="0" fontId="2" fillId="2" borderId="4" xfId="49" applyFont="1" applyFill="1" applyBorder="1" applyAlignment="1">
      <alignment horizontal="left" vertical="center"/>
    </xf>
    <xf numFmtId="0" fontId="2" fillId="2" borderId="5" xfId="49" applyFont="1" applyFill="1" applyBorder="1" applyAlignment="1">
      <alignment horizontal="left" vertical="center"/>
    </xf>
    <xf numFmtId="0" fontId="6" fillId="2" borderId="5" xfId="0" applyFont="1" applyFill="1" applyBorder="1" applyAlignment="1">
      <alignment vertical="center"/>
    </xf>
    <xf numFmtId="0" fontId="2" fillId="2" borderId="0" xfId="49" applyFont="1" applyFill="1" applyBorder="1" applyAlignment="1">
      <alignment vertical="center"/>
    </xf>
    <xf numFmtId="0" fontId="1" fillId="2" borderId="0" xfId="49" applyFont="1" applyFill="1" applyBorder="1" applyAlignment="1">
      <alignment vertical="center"/>
    </xf>
    <xf numFmtId="0" fontId="2" fillId="2" borderId="6" xfId="49" applyFont="1" applyFill="1" applyBorder="1" applyAlignment="1" applyProtection="1">
      <alignment vertical="center"/>
      <protection locked="0"/>
    </xf>
    <xf numFmtId="0" fontId="2" fillId="2" borderId="12" xfId="49" applyFont="1" applyFill="1" applyBorder="1" applyAlignment="1">
      <alignment horizontal="center" vertical="center"/>
    </xf>
    <xf numFmtId="0" fontId="2" fillId="2" borderId="13" xfId="49" applyFont="1" applyFill="1" applyBorder="1" applyAlignment="1">
      <alignment horizontal="center" vertical="center"/>
    </xf>
    <xf numFmtId="0" fontId="2" fillId="2" borderId="14" xfId="49" applyFont="1" applyFill="1" applyBorder="1" applyAlignment="1">
      <alignment horizontal="center" vertical="center"/>
    </xf>
    <xf numFmtId="0" fontId="2" fillId="2" borderId="12" xfId="49" applyFont="1" applyFill="1" applyBorder="1" applyAlignment="1" applyProtection="1">
      <alignment vertical="center"/>
    </xf>
    <xf numFmtId="0" fontId="2" fillId="2" borderId="13" xfId="49" applyFont="1" applyFill="1" applyBorder="1" applyAlignment="1" applyProtection="1">
      <alignment vertical="center"/>
    </xf>
    <xf numFmtId="0" fontId="1" fillId="2" borderId="13" xfId="49" applyFont="1" applyFill="1" applyBorder="1" applyAlignment="1" applyProtection="1">
      <alignment vertical="center"/>
    </xf>
    <xf numFmtId="0" fontId="1" fillId="2" borderId="14" xfId="49" applyFont="1" applyFill="1" applyBorder="1" applyAlignment="1" applyProtection="1">
      <alignment vertical="center"/>
    </xf>
    <xf numFmtId="0" fontId="3" fillId="2" borderId="9" xfId="0" applyFont="1" applyFill="1" applyBorder="1" applyAlignment="1">
      <alignment vertical="center"/>
    </xf>
    <xf numFmtId="0" fontId="6" fillId="2" borderId="10" xfId="0" applyFont="1" applyFill="1" applyBorder="1" applyAlignment="1">
      <alignment vertical="center"/>
    </xf>
    <xf numFmtId="0" fontId="6" fillId="2" borderId="11" xfId="0" applyFont="1" applyFill="1" applyBorder="1" applyAlignment="1">
      <alignment vertical="center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Sheet3" xfId="59"/>
    <cellStyle name="Percent 2" xfId="60"/>
  </cellStyles>
  <tableStyles count="0" defaultTableStyle="TableStyleMedium2" defaultPivotStyle="PivotStyleLight16"/>
  <colors>
    <mruColors>
      <color rgb="00FFFF00"/>
      <color rgb="00FF0000"/>
      <color rgb="00BFBFBF"/>
      <color rgb="00FFFF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  <pageSetUpPr fitToPage="1"/>
  </sheetPr>
  <dimension ref="B1:O167"/>
  <sheetViews>
    <sheetView showGridLines="0" tabSelected="1" zoomScaleSheetLayoutView="60" topLeftCell="A16" workbookViewId="0">
      <selection activeCell="H34" sqref="H34"/>
    </sheetView>
  </sheetViews>
  <sheetFormatPr defaultColWidth="0" defaultRowHeight="15" customHeight="1" zeroHeight="1"/>
  <cols>
    <col min="1" max="1" width="1.42727272727273" style="1" customWidth="1"/>
    <col min="2" max="2" width="13" style="2"/>
    <col min="3" max="3" width="40.2818181818182" style="1"/>
    <col min="4" max="4" width="7.42727272727273" style="1"/>
    <col min="5" max="5" width="7.13636363636364" style="1"/>
    <col min="6" max="6" width="8" style="1"/>
    <col min="7" max="7" width="11.5727272727273" style="1"/>
    <col min="8" max="14" width="7.85454545454545" style="1" customWidth="1"/>
    <col min="15" max="15" width="1.57272727272727" style="1" customWidth="1"/>
    <col min="16" max="16" width="8.85454545454546" style="1" hidden="1" customWidth="1"/>
    <col min="17" max="17" width="9.70909090909091" style="1" hidden="1" customWidth="1"/>
    <col min="18" max="18" width="7.70909090909091" style="1" hidden="1" customWidth="1"/>
    <col min="19" max="19" width="8.85454545454546" style="1" hidden="1" customWidth="1"/>
    <col min="20" max="20" width="9.70909090909091" style="1" hidden="1" customWidth="1"/>
    <col min="21" max="21" width="7.70909090909091" style="1" hidden="1" customWidth="1"/>
    <col min="22" max="22" width="8.85454545454546" style="1" hidden="1" customWidth="1"/>
    <col min="23" max="23" width="9.70909090909091" style="1" hidden="1" customWidth="1"/>
    <col min="24" max="24" width="7.70909090909091" style="1" hidden="1" customWidth="1"/>
    <col min="25" max="25" width="8.85454545454546" style="1" hidden="1" customWidth="1"/>
    <col min="26" max="26" width="9.70909090909091" style="1" hidden="1" customWidth="1"/>
    <col min="27" max="27" width="7.70909090909091" style="1" hidden="1" customWidth="1"/>
    <col min="28" max="28" width="11.7090909090909" style="1" hidden="1" customWidth="1"/>
    <col min="29" max="16384" width="0" style="1" hidden="1"/>
  </cols>
  <sheetData>
    <row r="1" customHeight="1"/>
    <row r="2" customHeight="1" spans="2:15">
      <c r="B2" s="3" t="s">
        <v>0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58"/>
      <c r="O2" s="59"/>
    </row>
    <row r="3" customHeight="1" spans="2:15">
      <c r="B3" s="5" t="s">
        <v>1</v>
      </c>
      <c r="C3" s="6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60"/>
      <c r="O3" s="59"/>
    </row>
    <row r="4" customHeight="1" spans="2:15">
      <c r="B4" s="7" t="s">
        <v>3</v>
      </c>
      <c r="C4" s="6" t="s">
        <v>4</v>
      </c>
      <c r="D4" s="6"/>
      <c r="E4" s="6"/>
      <c r="F4" s="6"/>
      <c r="G4" s="6"/>
      <c r="H4" s="6"/>
      <c r="I4" s="6"/>
      <c r="J4" s="6"/>
      <c r="K4" s="6"/>
      <c r="L4" s="6"/>
      <c r="M4" s="6"/>
      <c r="N4" s="60"/>
      <c r="O4" s="59"/>
    </row>
    <row r="5" customHeight="1" spans="2:15">
      <c r="B5" s="8" t="s">
        <v>5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0"/>
      <c r="O5" s="59"/>
    </row>
    <row r="6" customHeight="1" spans="2:1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61"/>
      <c r="O6" s="59"/>
    </row>
    <row r="7" customHeight="1" spans="2:14"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</row>
    <row r="8" customHeight="1" spans="2:14">
      <c r="B8" s="12"/>
      <c r="C8" s="13"/>
      <c r="D8" s="14"/>
      <c r="E8" s="14"/>
      <c r="F8" s="15" t="s">
        <v>6</v>
      </c>
      <c r="G8" s="15"/>
      <c r="H8" s="14"/>
      <c r="I8" s="14"/>
      <c r="J8" s="14"/>
      <c r="K8" s="14"/>
      <c r="L8" s="14"/>
      <c r="M8" s="14"/>
      <c r="N8" s="14"/>
    </row>
    <row r="9" ht="14.5" spans="2:14">
      <c r="B9" s="12"/>
      <c r="C9" s="13"/>
      <c r="D9" s="16"/>
      <c r="E9" s="17"/>
      <c r="F9" s="15" t="s">
        <v>7</v>
      </c>
      <c r="G9" s="18" t="s">
        <v>8</v>
      </c>
      <c r="H9" s="17"/>
      <c r="I9" s="17"/>
      <c r="J9" s="17"/>
      <c r="K9" s="17"/>
      <c r="L9" s="17"/>
      <c r="M9" s="17"/>
      <c r="N9" s="17"/>
    </row>
    <row r="10" customHeight="1" spans="2:14">
      <c r="B10" s="19">
        <v>1</v>
      </c>
      <c r="C10" s="20" t="s">
        <v>9</v>
      </c>
      <c r="D10" s="21"/>
      <c r="E10" s="21"/>
      <c r="F10" s="21">
        <f>F11</f>
        <v>0</v>
      </c>
      <c r="G10" s="21">
        <f>G11</f>
        <v>0</v>
      </c>
      <c r="H10" s="21"/>
      <c r="I10" s="21"/>
      <c r="J10" s="21"/>
      <c r="K10" s="21"/>
      <c r="L10" s="21"/>
      <c r="M10" s="21"/>
      <c r="N10" s="21"/>
    </row>
    <row r="11" ht="14.5" spans="2:14">
      <c r="B11" s="22">
        <v>1.1</v>
      </c>
      <c r="C11" s="23" t="s">
        <v>10</v>
      </c>
      <c r="D11" s="21"/>
      <c r="E11" s="24"/>
      <c r="F11" s="25">
        <v>0</v>
      </c>
      <c r="G11" s="26">
        <v>0</v>
      </c>
      <c r="H11" s="24"/>
      <c r="I11" s="24"/>
      <c r="J11" s="24"/>
      <c r="K11" s="24"/>
      <c r="L11" s="24"/>
      <c r="M11" s="24"/>
      <c r="N11" s="24"/>
    </row>
    <row r="12" ht="14.5" spans="2:14">
      <c r="B12" s="19">
        <v>2</v>
      </c>
      <c r="C12" s="27" t="s">
        <v>11</v>
      </c>
      <c r="D12" s="21"/>
      <c r="E12" s="21"/>
      <c r="F12" s="21">
        <f>SUM(F13:F17)</f>
        <v>0</v>
      </c>
      <c r="G12" s="21">
        <f>SUM(G13:G17)</f>
        <v>0</v>
      </c>
      <c r="H12" s="21"/>
      <c r="I12" s="21"/>
      <c r="J12" s="21"/>
      <c r="K12" s="21"/>
      <c r="L12" s="21"/>
      <c r="M12" s="21"/>
      <c r="N12" s="21"/>
    </row>
    <row r="13" ht="14.5" spans="2:14">
      <c r="B13" s="22">
        <v>2.1</v>
      </c>
      <c r="C13" s="23" t="s">
        <v>12</v>
      </c>
      <c r="D13" s="21"/>
      <c r="E13" s="24"/>
      <c r="F13" s="25">
        <v>0</v>
      </c>
      <c r="G13" s="26">
        <v>0</v>
      </c>
      <c r="H13" s="24"/>
      <c r="I13" s="24"/>
      <c r="J13" s="24"/>
      <c r="K13" s="24"/>
      <c r="L13" s="24"/>
      <c r="M13" s="24"/>
      <c r="N13" s="24"/>
    </row>
    <row r="14" customHeight="1" spans="2:14">
      <c r="B14" s="22">
        <v>2.2</v>
      </c>
      <c r="C14" s="23" t="s">
        <v>13</v>
      </c>
      <c r="D14" s="21"/>
      <c r="E14" s="24"/>
      <c r="F14" s="25">
        <v>0</v>
      </c>
      <c r="G14" s="26">
        <v>0</v>
      </c>
      <c r="H14" s="24"/>
      <c r="I14" s="24"/>
      <c r="J14" s="24"/>
      <c r="K14" s="24"/>
      <c r="L14" s="24"/>
      <c r="M14" s="24"/>
      <c r="N14" s="24"/>
    </row>
    <row r="15" customHeight="1" spans="2:14">
      <c r="B15" s="22">
        <v>2.3</v>
      </c>
      <c r="C15" s="23" t="s">
        <v>14</v>
      </c>
      <c r="D15" s="21"/>
      <c r="E15" s="24"/>
      <c r="F15" s="25">
        <v>0</v>
      </c>
      <c r="G15" s="26">
        <v>0</v>
      </c>
      <c r="H15" s="24"/>
      <c r="I15" s="24"/>
      <c r="J15" s="24"/>
      <c r="K15" s="24"/>
      <c r="L15" s="24"/>
      <c r="M15" s="24"/>
      <c r="N15" s="24"/>
    </row>
    <row r="16" customHeight="1" spans="2:14">
      <c r="B16" s="22">
        <v>2.4</v>
      </c>
      <c r="C16" s="23" t="s">
        <v>15</v>
      </c>
      <c r="D16" s="21"/>
      <c r="E16" s="24"/>
      <c r="F16" s="25">
        <v>0</v>
      </c>
      <c r="G16" s="26">
        <v>0</v>
      </c>
      <c r="H16" s="24"/>
      <c r="I16" s="24"/>
      <c r="J16" s="24"/>
      <c r="K16" s="24"/>
      <c r="L16" s="24"/>
      <c r="M16" s="24"/>
      <c r="N16" s="24"/>
    </row>
    <row r="17" customHeight="1" spans="2:14">
      <c r="B17" s="22">
        <v>2.5</v>
      </c>
      <c r="C17" s="23" t="s">
        <v>16</v>
      </c>
      <c r="D17" s="21"/>
      <c r="E17" s="24"/>
      <c r="F17" s="25">
        <v>0</v>
      </c>
      <c r="G17" s="26">
        <v>0</v>
      </c>
      <c r="H17" s="24"/>
      <c r="I17" s="24"/>
      <c r="J17" s="24"/>
      <c r="K17" s="24"/>
      <c r="L17" s="24"/>
      <c r="M17" s="24"/>
      <c r="N17" s="24"/>
    </row>
    <row r="18" ht="14.5" spans="2:14">
      <c r="B18" s="19">
        <v>3</v>
      </c>
      <c r="C18" s="27" t="s">
        <v>17</v>
      </c>
      <c r="D18" s="21"/>
      <c r="E18" s="21"/>
      <c r="F18" s="21">
        <f>SUM(F19:F23)</f>
        <v>0</v>
      </c>
      <c r="G18" s="21">
        <f>SUM(G19:G23)</f>
        <v>0</v>
      </c>
      <c r="H18" s="21"/>
      <c r="I18" s="21"/>
      <c r="J18" s="21"/>
      <c r="K18" s="21"/>
      <c r="L18" s="21"/>
      <c r="M18" s="21"/>
      <c r="N18" s="21"/>
    </row>
    <row r="19" customHeight="1" spans="2:14">
      <c r="B19" s="22">
        <v>3.1</v>
      </c>
      <c r="C19" s="23" t="s">
        <v>18</v>
      </c>
      <c r="D19" s="21"/>
      <c r="E19" s="24"/>
      <c r="F19" s="25">
        <v>0</v>
      </c>
      <c r="G19" s="26">
        <v>0</v>
      </c>
      <c r="H19" s="24"/>
      <c r="I19" s="24"/>
      <c r="J19" s="24"/>
      <c r="K19" s="24"/>
      <c r="L19" s="24"/>
      <c r="M19" s="24"/>
      <c r="N19" s="24"/>
    </row>
    <row r="20" ht="14.5" spans="2:14">
      <c r="B20" s="22">
        <v>3.2</v>
      </c>
      <c r="C20" s="23" t="s">
        <v>19</v>
      </c>
      <c r="D20" s="21"/>
      <c r="E20" s="24"/>
      <c r="F20" s="25">
        <v>0</v>
      </c>
      <c r="G20" s="26">
        <v>0</v>
      </c>
      <c r="H20" s="24"/>
      <c r="I20" s="24"/>
      <c r="J20" s="24"/>
      <c r="K20" s="24"/>
      <c r="L20" s="24"/>
      <c r="M20" s="24"/>
      <c r="N20" s="24"/>
    </row>
    <row r="21" ht="14.5" spans="2:14">
      <c r="B21" s="22">
        <v>3.3</v>
      </c>
      <c r="C21" s="23" t="s">
        <v>20</v>
      </c>
      <c r="D21" s="21"/>
      <c r="E21" s="24"/>
      <c r="F21" s="25">
        <v>0</v>
      </c>
      <c r="G21" s="26">
        <v>0</v>
      </c>
      <c r="H21" s="24"/>
      <c r="I21" s="24"/>
      <c r="J21" s="24"/>
      <c r="K21" s="24"/>
      <c r="L21" s="24"/>
      <c r="M21" s="24"/>
      <c r="N21" s="24"/>
    </row>
    <row r="22" customHeight="1" spans="2:14">
      <c r="B22" s="22">
        <v>3.4</v>
      </c>
      <c r="C22" s="23" t="s">
        <v>21</v>
      </c>
      <c r="D22" s="21"/>
      <c r="E22" s="24"/>
      <c r="F22" s="25">
        <v>0</v>
      </c>
      <c r="G22" s="26">
        <v>0</v>
      </c>
      <c r="H22" s="24"/>
      <c r="I22" s="24"/>
      <c r="J22" s="24"/>
      <c r="K22" s="24"/>
      <c r="L22" s="24"/>
      <c r="M22" s="24"/>
      <c r="N22" s="24"/>
    </row>
    <row r="23" customHeight="1" spans="2:14">
      <c r="B23" s="22">
        <v>3.5</v>
      </c>
      <c r="C23" s="23" t="s">
        <v>22</v>
      </c>
      <c r="D23" s="21"/>
      <c r="E23" s="24"/>
      <c r="F23" s="25">
        <v>0</v>
      </c>
      <c r="G23" s="26">
        <v>0</v>
      </c>
      <c r="H23" s="24"/>
      <c r="I23" s="24"/>
      <c r="J23" s="24"/>
      <c r="K23" s="24"/>
      <c r="L23" s="24"/>
      <c r="M23" s="24"/>
      <c r="N23" s="24"/>
    </row>
    <row r="24" customHeight="1" spans="2:14">
      <c r="B24" s="19">
        <v>4</v>
      </c>
      <c r="C24" s="27" t="s">
        <v>23</v>
      </c>
      <c r="D24" s="21"/>
      <c r="E24" s="21"/>
      <c r="F24" s="21">
        <f>SUM(F25:F27)</f>
        <v>0</v>
      </c>
      <c r="G24" s="21">
        <f>SUM(G25:G27)</f>
        <v>0</v>
      </c>
      <c r="H24" s="21"/>
      <c r="I24" s="21"/>
      <c r="J24" s="21"/>
      <c r="K24" s="21"/>
      <c r="L24" s="21"/>
      <c r="M24" s="21"/>
      <c r="N24" s="21"/>
    </row>
    <row r="25" ht="14.5" spans="2:14">
      <c r="B25" s="22">
        <v>4.1</v>
      </c>
      <c r="C25" s="23" t="s">
        <v>24</v>
      </c>
      <c r="D25" s="21"/>
      <c r="E25" s="28"/>
      <c r="F25" s="25">
        <v>0</v>
      </c>
      <c r="G25" s="29">
        <v>0</v>
      </c>
      <c r="H25" s="28"/>
      <c r="I25" s="28"/>
      <c r="J25" s="28"/>
      <c r="K25" s="28"/>
      <c r="L25" s="28"/>
      <c r="M25" s="28"/>
      <c r="N25" s="28"/>
    </row>
    <row r="26" customHeight="1" spans="2:14">
      <c r="B26" s="22">
        <v>4.2</v>
      </c>
      <c r="C26" s="23" t="s">
        <v>25</v>
      </c>
      <c r="D26" s="21"/>
      <c r="E26" s="28"/>
      <c r="F26" s="25">
        <v>0</v>
      </c>
      <c r="G26" s="29">
        <v>0</v>
      </c>
      <c r="H26" s="28"/>
      <c r="I26" s="28"/>
      <c r="J26" s="28"/>
      <c r="K26" s="28"/>
      <c r="L26" s="28"/>
      <c r="M26" s="28"/>
      <c r="N26" s="28"/>
    </row>
    <row r="27" customHeight="1" spans="2:14">
      <c r="B27" s="22">
        <v>4.3</v>
      </c>
      <c r="C27" s="23" t="s">
        <v>26</v>
      </c>
      <c r="D27" s="21"/>
      <c r="E27" s="30"/>
      <c r="F27" s="25">
        <v>0</v>
      </c>
      <c r="G27" s="29">
        <v>0</v>
      </c>
      <c r="H27" s="30"/>
      <c r="I27" s="30"/>
      <c r="J27" s="30"/>
      <c r="K27" s="30"/>
      <c r="L27" s="30"/>
      <c r="M27" s="30"/>
      <c r="N27" s="30"/>
    </row>
    <row r="28" customHeight="1" spans="2:14">
      <c r="B28" s="19"/>
      <c r="C28" s="23"/>
      <c r="D28" s="23"/>
      <c r="E28" s="23"/>
      <c r="F28" s="30"/>
      <c r="G28" s="30"/>
      <c r="H28" s="19"/>
      <c r="I28" s="22"/>
      <c r="J28" s="23"/>
      <c r="K28" s="23"/>
      <c r="L28" s="23"/>
      <c r="M28" s="30"/>
      <c r="N28" s="30"/>
    </row>
    <row r="29" customHeight="1" spans="2:14">
      <c r="B29" s="12"/>
      <c r="C29" s="31"/>
      <c r="D29" s="31"/>
      <c r="E29" s="31"/>
      <c r="F29" s="32"/>
      <c r="G29" s="32"/>
      <c r="H29" s="12"/>
      <c r="I29" s="62"/>
      <c r="J29" s="31"/>
      <c r="K29" s="63"/>
      <c r="L29" s="64"/>
      <c r="M29" s="65"/>
      <c r="N29" s="66"/>
    </row>
    <row r="30" customHeight="1" spans="2:14">
      <c r="B30" s="12"/>
      <c r="C30" s="33" t="s">
        <v>27</v>
      </c>
      <c r="D30" s="34" t="s">
        <v>28</v>
      </c>
      <c r="E30" s="34"/>
      <c r="F30" s="34"/>
      <c r="G30" s="34"/>
      <c r="H30" s="34"/>
      <c r="I30" s="34"/>
      <c r="J30" s="34"/>
      <c r="K30" s="63"/>
      <c r="L30" s="64"/>
      <c r="M30" s="65"/>
      <c r="N30" s="66"/>
    </row>
    <row r="31" customHeight="1" spans="2:14">
      <c r="B31" s="12"/>
      <c r="C31" s="35"/>
      <c r="D31" s="34"/>
      <c r="E31" s="34"/>
      <c r="F31" s="34"/>
      <c r="G31" s="34"/>
      <c r="H31" s="34"/>
      <c r="I31" s="34"/>
      <c r="J31" s="34"/>
      <c r="K31" s="63"/>
      <c r="L31" s="64"/>
      <c r="M31" s="65"/>
      <c r="N31" s="66"/>
    </row>
    <row r="32" ht="21" spans="2:14">
      <c r="B32" s="12"/>
      <c r="C32" s="36" t="s">
        <v>29</v>
      </c>
      <c r="D32" s="37" t="s">
        <v>30</v>
      </c>
      <c r="E32" s="37" t="s">
        <v>31</v>
      </c>
      <c r="F32" s="38" t="s">
        <v>7</v>
      </c>
      <c r="G32" s="39" t="s">
        <v>32</v>
      </c>
      <c r="H32" s="39" t="s">
        <v>33</v>
      </c>
      <c r="I32" s="39" t="s">
        <v>34</v>
      </c>
      <c r="J32" s="39" t="s">
        <v>35</v>
      </c>
      <c r="K32" s="63"/>
      <c r="L32" s="64"/>
      <c r="M32" s="65"/>
      <c r="N32" s="66"/>
    </row>
    <row r="33" ht="14.5" spans="2:14">
      <c r="B33" s="12">
        <v>5</v>
      </c>
      <c r="C33" s="36" t="s">
        <v>36</v>
      </c>
      <c r="D33" s="36">
        <f>+SUM(D34:D40)</f>
        <v>0</v>
      </c>
      <c r="E33" s="36">
        <f t="shared" ref="E33:J33" si="0">+SUM(E34:E40)</f>
        <v>0</v>
      </c>
      <c r="F33" s="36">
        <f t="shared" si="0"/>
        <v>0</v>
      </c>
      <c r="G33" s="36">
        <f t="shared" si="0"/>
        <v>0</v>
      </c>
      <c r="H33" s="36">
        <f t="shared" si="0"/>
        <v>0</v>
      </c>
      <c r="I33" s="36">
        <f t="shared" si="0"/>
        <v>0</v>
      </c>
      <c r="J33" s="36">
        <f t="shared" si="0"/>
        <v>0</v>
      </c>
      <c r="K33" s="63"/>
      <c r="L33" s="64"/>
      <c r="M33" s="65"/>
      <c r="N33" s="66"/>
    </row>
    <row r="34" customHeight="1" spans="2:14">
      <c r="B34" s="12">
        <v>5.1</v>
      </c>
      <c r="C34" s="31" t="s">
        <v>37</v>
      </c>
      <c r="D34" s="31">
        <f t="shared" ref="D34:J34" si="1">+ABS(D48)+ABS(D49)+ABS(D50)+ABS(D51)+ABS(D52)+ABS(D53)+ABS(D54)+ABS(D55)+ABS(D56)</f>
        <v>0</v>
      </c>
      <c r="E34" s="31">
        <f t="shared" si="1"/>
        <v>0</v>
      </c>
      <c r="F34" s="40">
        <f t="shared" si="1"/>
        <v>0</v>
      </c>
      <c r="G34" s="40">
        <f t="shared" si="1"/>
        <v>0</v>
      </c>
      <c r="H34" s="40">
        <f t="shared" si="1"/>
        <v>0</v>
      </c>
      <c r="I34" s="31">
        <f t="shared" si="1"/>
        <v>0</v>
      </c>
      <c r="J34" s="31">
        <f t="shared" si="1"/>
        <v>0</v>
      </c>
      <c r="K34" s="63"/>
      <c r="L34" s="64"/>
      <c r="M34" s="65"/>
      <c r="N34" s="66"/>
    </row>
    <row r="35" customHeight="1" spans="2:14">
      <c r="B35" s="12">
        <v>5.2</v>
      </c>
      <c r="C35" s="31" t="s">
        <v>38</v>
      </c>
      <c r="D35" s="31">
        <f>SUM(D62:D69)</f>
        <v>0</v>
      </c>
      <c r="E35" s="31">
        <f t="shared" ref="E35:J35" si="2">SUM(E62:E69)</f>
        <v>0</v>
      </c>
      <c r="F35" s="31">
        <f t="shared" si="2"/>
        <v>0</v>
      </c>
      <c r="G35" s="31">
        <f t="shared" si="2"/>
        <v>0</v>
      </c>
      <c r="H35" s="31">
        <f t="shared" si="2"/>
        <v>0</v>
      </c>
      <c r="I35" s="31">
        <f t="shared" si="2"/>
        <v>0</v>
      </c>
      <c r="J35" s="31">
        <f t="shared" si="2"/>
        <v>0</v>
      </c>
      <c r="K35" s="63"/>
      <c r="L35" s="64"/>
      <c r="M35" s="65"/>
      <c r="N35" s="66"/>
    </row>
    <row r="36" customHeight="1" spans="2:14">
      <c r="B36" s="12">
        <v>5.3</v>
      </c>
      <c r="C36" s="31" t="s">
        <v>39</v>
      </c>
      <c r="D36" s="31">
        <f>+D75+D76</f>
        <v>0</v>
      </c>
      <c r="E36" s="31">
        <f t="shared" ref="E36:J36" si="3">+E75+E76</f>
        <v>0</v>
      </c>
      <c r="F36" s="31">
        <f t="shared" si="3"/>
        <v>0</v>
      </c>
      <c r="G36" s="31">
        <f t="shared" si="3"/>
        <v>0</v>
      </c>
      <c r="H36" s="31">
        <f t="shared" si="3"/>
        <v>0</v>
      </c>
      <c r="I36" s="31">
        <f t="shared" si="3"/>
        <v>0</v>
      </c>
      <c r="J36" s="31">
        <f t="shared" si="3"/>
        <v>0</v>
      </c>
      <c r="K36" s="63"/>
      <c r="L36" s="64"/>
      <c r="M36" s="65"/>
      <c r="N36" s="66"/>
    </row>
    <row r="37" customHeight="1" spans="2:14">
      <c r="B37" s="12">
        <v>5.4</v>
      </c>
      <c r="C37" s="31" t="s">
        <v>40</v>
      </c>
      <c r="D37" s="31">
        <f>+D84</f>
        <v>0</v>
      </c>
      <c r="E37" s="31">
        <f t="shared" ref="E37:J37" si="4">+E84</f>
        <v>0</v>
      </c>
      <c r="F37" s="31">
        <f t="shared" si="4"/>
        <v>0</v>
      </c>
      <c r="G37" s="31">
        <f t="shared" si="4"/>
        <v>0</v>
      </c>
      <c r="H37" s="31">
        <f t="shared" si="4"/>
        <v>0</v>
      </c>
      <c r="I37" s="31">
        <f t="shared" si="4"/>
        <v>0</v>
      </c>
      <c r="J37" s="31">
        <f t="shared" si="4"/>
        <v>0</v>
      </c>
      <c r="K37" s="63"/>
      <c r="L37" s="64"/>
      <c r="M37" s="65"/>
      <c r="N37" s="66"/>
    </row>
    <row r="38" customHeight="1" spans="2:14">
      <c r="B38" s="12">
        <v>5.5</v>
      </c>
      <c r="C38" s="31" t="s">
        <v>41</v>
      </c>
      <c r="D38" s="31">
        <f>+D85</f>
        <v>0</v>
      </c>
      <c r="E38" s="31">
        <f t="shared" ref="E38:J38" si="5">+E85</f>
        <v>0</v>
      </c>
      <c r="F38" s="31">
        <f t="shared" si="5"/>
        <v>0</v>
      </c>
      <c r="G38" s="31">
        <f t="shared" si="5"/>
        <v>0</v>
      </c>
      <c r="H38" s="31">
        <f t="shared" si="5"/>
        <v>0</v>
      </c>
      <c r="I38" s="31">
        <f t="shared" si="5"/>
        <v>0</v>
      </c>
      <c r="J38" s="31">
        <f t="shared" si="5"/>
        <v>0</v>
      </c>
      <c r="K38" s="63"/>
      <c r="L38" s="64"/>
      <c r="M38" s="65"/>
      <c r="N38" s="66"/>
    </row>
    <row r="39" customHeight="1" spans="2:14">
      <c r="B39" s="12">
        <v>5.6</v>
      </c>
      <c r="C39" s="31" t="s">
        <v>42</v>
      </c>
      <c r="D39" s="31">
        <f>+SUM(D91:D110)</f>
        <v>0</v>
      </c>
      <c r="E39" s="31">
        <f t="shared" ref="E39:J39" si="6">+SUM(E91:E110)</f>
        <v>0</v>
      </c>
      <c r="F39" s="31">
        <f t="shared" si="6"/>
        <v>0</v>
      </c>
      <c r="G39" s="31">
        <f t="shared" si="6"/>
        <v>0</v>
      </c>
      <c r="H39" s="31">
        <f t="shared" si="6"/>
        <v>0</v>
      </c>
      <c r="I39" s="31">
        <f t="shared" si="6"/>
        <v>0</v>
      </c>
      <c r="J39" s="31">
        <f t="shared" si="6"/>
        <v>0</v>
      </c>
      <c r="K39" s="63"/>
      <c r="L39" s="64"/>
      <c r="M39" s="65"/>
      <c r="N39" s="66"/>
    </row>
    <row r="40" ht="14.5" spans="2:14">
      <c r="B40" s="12">
        <v>5.7</v>
      </c>
      <c r="C40" s="31" t="s">
        <v>43</v>
      </c>
      <c r="D40" s="31">
        <f>+SUM(D116:D124)</f>
        <v>0</v>
      </c>
      <c r="E40" s="31">
        <f t="shared" ref="E40:J40" si="7">+SUM(E116:E124)</f>
        <v>0</v>
      </c>
      <c r="F40" s="31">
        <f t="shared" si="7"/>
        <v>0</v>
      </c>
      <c r="G40" s="31">
        <f t="shared" si="7"/>
        <v>0</v>
      </c>
      <c r="H40" s="31">
        <f t="shared" si="7"/>
        <v>0</v>
      </c>
      <c r="I40" s="31">
        <f t="shared" si="7"/>
        <v>0</v>
      </c>
      <c r="J40" s="31">
        <f t="shared" si="7"/>
        <v>0</v>
      </c>
      <c r="K40" s="63"/>
      <c r="L40" s="64"/>
      <c r="M40" s="65"/>
      <c r="N40" s="66"/>
    </row>
    <row r="41" customHeight="1" spans="2:14">
      <c r="B41" s="12"/>
      <c r="C41" s="31"/>
      <c r="D41" s="31"/>
      <c r="E41" s="31"/>
      <c r="F41" s="32"/>
      <c r="G41" s="32"/>
      <c r="H41" s="12"/>
      <c r="I41" s="62"/>
      <c r="J41" s="31"/>
      <c r="K41" s="63"/>
      <c r="L41" s="64"/>
      <c r="M41" s="65"/>
      <c r="N41" s="66"/>
    </row>
    <row r="42" customHeight="1" spans="2:14">
      <c r="B42" s="12"/>
      <c r="C42" s="31"/>
      <c r="D42" s="31"/>
      <c r="E42" s="31"/>
      <c r="F42" s="32"/>
      <c r="G42" s="32"/>
      <c r="H42" s="12"/>
      <c r="I42" s="62"/>
      <c r="J42" s="31"/>
      <c r="K42" s="63"/>
      <c r="L42" s="64"/>
      <c r="M42" s="65"/>
      <c r="N42" s="66"/>
    </row>
    <row r="43" ht="34.5" customHeight="1" spans="2:14">
      <c r="B43" s="41"/>
      <c r="C43" s="32"/>
      <c r="D43" s="34" t="s">
        <v>28</v>
      </c>
      <c r="E43" s="34"/>
      <c r="F43" s="34"/>
      <c r="G43" s="34"/>
      <c r="H43" s="34"/>
      <c r="I43" s="34"/>
      <c r="J43" s="34"/>
      <c r="K43" s="67" t="s">
        <v>44</v>
      </c>
      <c r="L43" s="68"/>
      <c r="M43" s="68"/>
      <c r="N43" s="69"/>
    </row>
    <row r="44" customHeight="1" spans="2:14">
      <c r="B44" s="42"/>
      <c r="C44" s="42"/>
      <c r="D44" s="34"/>
      <c r="E44" s="34"/>
      <c r="F44" s="34"/>
      <c r="G44" s="34"/>
      <c r="H44" s="34"/>
      <c r="I44" s="34"/>
      <c r="J44" s="34"/>
      <c r="K44" s="70" t="s">
        <v>30</v>
      </c>
      <c r="L44" s="71"/>
      <c r="M44" s="70" t="s">
        <v>31</v>
      </c>
      <c r="N44" s="71"/>
    </row>
    <row r="45" ht="32.45" customHeight="1" spans="2:14">
      <c r="B45" s="43" t="s">
        <v>45</v>
      </c>
      <c r="C45" s="37" t="s">
        <v>46</v>
      </c>
      <c r="D45" s="37" t="s">
        <v>30</v>
      </c>
      <c r="E45" s="37" t="s">
        <v>31</v>
      </c>
      <c r="F45" s="38" t="s">
        <v>7</v>
      </c>
      <c r="G45" s="39" t="s">
        <v>32</v>
      </c>
      <c r="H45" s="39" t="s">
        <v>33</v>
      </c>
      <c r="I45" s="39" t="s">
        <v>34</v>
      </c>
      <c r="J45" s="39" t="s">
        <v>35</v>
      </c>
      <c r="K45" s="72" t="s">
        <v>47</v>
      </c>
      <c r="L45" s="73">
        <v>-0.1</v>
      </c>
      <c r="M45" s="72" t="s">
        <v>47</v>
      </c>
      <c r="N45" s="73">
        <v>-0.1</v>
      </c>
    </row>
    <row r="46" customHeight="1" spans="2:14">
      <c r="B46" s="12">
        <v>6</v>
      </c>
      <c r="C46" s="44" t="s">
        <v>48</v>
      </c>
      <c r="D46" s="44"/>
      <c r="E46" s="44"/>
      <c r="F46" s="16"/>
      <c r="G46" s="45"/>
      <c r="H46" s="45"/>
      <c r="I46" s="45"/>
      <c r="J46" s="45"/>
      <c r="K46" s="38"/>
      <c r="L46" s="38"/>
      <c r="M46" s="39"/>
      <c r="N46" s="39"/>
    </row>
    <row r="47" customHeight="1" spans="2:14">
      <c r="B47" s="46">
        <v>6.1</v>
      </c>
      <c r="C47" s="47" t="s">
        <v>49</v>
      </c>
      <c r="D47" s="48"/>
      <c r="E47" s="48"/>
      <c r="F47" s="48"/>
      <c r="G47" s="48"/>
      <c r="H47" s="48"/>
      <c r="I47" s="48"/>
      <c r="J47" s="48"/>
      <c r="K47" s="74"/>
      <c r="L47" s="74"/>
      <c r="M47" s="74"/>
      <c r="N47" s="74"/>
    </row>
    <row r="48" customHeight="1" spans="2:14">
      <c r="B48" s="49" t="s">
        <v>50</v>
      </c>
      <c r="C48" s="50" t="s">
        <v>51</v>
      </c>
      <c r="D48" s="51">
        <v>0</v>
      </c>
      <c r="E48" s="51">
        <v>0</v>
      </c>
      <c r="F48" s="52">
        <v>0</v>
      </c>
      <c r="G48" s="53">
        <v>0</v>
      </c>
      <c r="H48" s="53">
        <v>0</v>
      </c>
      <c r="I48" s="53">
        <v>0</v>
      </c>
      <c r="J48" s="53">
        <v>0</v>
      </c>
      <c r="K48" s="26">
        <v>0</v>
      </c>
      <c r="L48" s="26">
        <v>0</v>
      </c>
      <c r="M48" s="75">
        <v>0</v>
      </c>
      <c r="N48" s="75">
        <v>0</v>
      </c>
    </row>
    <row r="49" customHeight="1" spans="2:14">
      <c r="B49" s="49" t="s">
        <v>52</v>
      </c>
      <c r="C49" s="50" t="s">
        <v>53</v>
      </c>
      <c r="D49" s="51">
        <v>0</v>
      </c>
      <c r="E49" s="51">
        <v>0</v>
      </c>
      <c r="F49" s="52">
        <v>0</v>
      </c>
      <c r="G49" s="53">
        <v>0</v>
      </c>
      <c r="H49" s="53">
        <v>0</v>
      </c>
      <c r="I49" s="53">
        <v>0</v>
      </c>
      <c r="J49" s="53">
        <v>0</v>
      </c>
      <c r="K49" s="26">
        <v>0</v>
      </c>
      <c r="L49" s="26">
        <v>0</v>
      </c>
      <c r="M49" s="26">
        <v>0</v>
      </c>
      <c r="N49" s="26">
        <v>0</v>
      </c>
    </row>
    <row r="50" customHeight="1" spans="2:14">
      <c r="B50" s="49" t="s">
        <v>54</v>
      </c>
      <c r="C50" s="50" t="s">
        <v>55</v>
      </c>
      <c r="D50" s="51">
        <v>0</v>
      </c>
      <c r="E50" s="51">
        <v>0</v>
      </c>
      <c r="F50" s="52">
        <v>0</v>
      </c>
      <c r="G50" s="53">
        <v>0</v>
      </c>
      <c r="H50" s="53">
        <v>0</v>
      </c>
      <c r="I50" s="53">
        <v>0</v>
      </c>
      <c r="J50" s="53">
        <v>0</v>
      </c>
      <c r="K50" s="76">
        <v>0</v>
      </c>
      <c r="L50" s="76">
        <v>0</v>
      </c>
      <c r="M50" s="77">
        <v>0</v>
      </c>
      <c r="N50" s="77">
        <v>0</v>
      </c>
    </row>
    <row r="51" customHeight="1" spans="2:14">
      <c r="B51" s="49" t="s">
        <v>56</v>
      </c>
      <c r="C51" s="50" t="s">
        <v>57</v>
      </c>
      <c r="D51" s="51">
        <v>0</v>
      </c>
      <c r="E51" s="51">
        <v>0</v>
      </c>
      <c r="F51" s="52">
        <v>0</v>
      </c>
      <c r="G51" s="53">
        <v>0</v>
      </c>
      <c r="H51" s="53">
        <v>0</v>
      </c>
      <c r="I51" s="53">
        <v>0</v>
      </c>
      <c r="J51" s="53">
        <v>0</v>
      </c>
      <c r="K51" s="78">
        <v>0</v>
      </c>
      <c r="L51" s="78">
        <v>0</v>
      </c>
      <c r="M51" s="57">
        <v>0</v>
      </c>
      <c r="N51" s="57">
        <v>0</v>
      </c>
    </row>
    <row r="52" customHeight="1" spans="2:14">
      <c r="B52" s="49" t="s">
        <v>58</v>
      </c>
      <c r="C52" s="50" t="s">
        <v>59</v>
      </c>
      <c r="D52" s="51">
        <v>0</v>
      </c>
      <c r="E52" s="51">
        <v>0</v>
      </c>
      <c r="F52" s="52">
        <v>0</v>
      </c>
      <c r="G52" s="53">
        <v>0</v>
      </c>
      <c r="H52" s="53">
        <v>0</v>
      </c>
      <c r="I52" s="53">
        <v>0</v>
      </c>
      <c r="J52" s="53">
        <v>0</v>
      </c>
      <c r="K52" s="78">
        <v>0</v>
      </c>
      <c r="L52" s="78">
        <v>0</v>
      </c>
      <c r="M52" s="57">
        <v>0</v>
      </c>
      <c r="N52" s="57">
        <v>0</v>
      </c>
    </row>
    <row r="53" customHeight="1" spans="2:14">
      <c r="B53" s="49" t="s">
        <v>60</v>
      </c>
      <c r="C53" s="50" t="s">
        <v>61</v>
      </c>
      <c r="D53" s="51">
        <v>0</v>
      </c>
      <c r="E53" s="51">
        <v>0</v>
      </c>
      <c r="F53" s="52">
        <v>0</v>
      </c>
      <c r="G53" s="53">
        <v>0</v>
      </c>
      <c r="H53" s="53">
        <v>0</v>
      </c>
      <c r="I53" s="53">
        <v>0</v>
      </c>
      <c r="J53" s="53">
        <v>0</v>
      </c>
      <c r="K53" s="78">
        <v>0</v>
      </c>
      <c r="L53" s="78">
        <v>0</v>
      </c>
      <c r="M53" s="57">
        <v>0</v>
      </c>
      <c r="N53" s="57">
        <v>0</v>
      </c>
    </row>
    <row r="54" customHeight="1" spans="2:14">
      <c r="B54" s="49" t="s">
        <v>62</v>
      </c>
      <c r="C54" s="50" t="s">
        <v>63</v>
      </c>
      <c r="D54" s="51">
        <v>0</v>
      </c>
      <c r="E54" s="51">
        <v>0</v>
      </c>
      <c r="F54" s="52">
        <v>0</v>
      </c>
      <c r="G54" s="53">
        <v>0</v>
      </c>
      <c r="H54" s="53">
        <v>0</v>
      </c>
      <c r="I54" s="53">
        <v>0</v>
      </c>
      <c r="J54" s="53">
        <v>0</v>
      </c>
      <c r="K54" s="78">
        <v>0</v>
      </c>
      <c r="L54" s="78">
        <v>0</v>
      </c>
      <c r="M54" s="57">
        <v>0</v>
      </c>
      <c r="N54" s="57">
        <v>0</v>
      </c>
    </row>
    <row r="55" customHeight="1" spans="2:14">
      <c r="B55" s="49" t="s">
        <v>64</v>
      </c>
      <c r="C55" s="50" t="s">
        <v>65</v>
      </c>
      <c r="D55" s="51">
        <v>0</v>
      </c>
      <c r="E55" s="51">
        <v>0</v>
      </c>
      <c r="F55" s="52">
        <v>0</v>
      </c>
      <c r="G55" s="53">
        <v>0</v>
      </c>
      <c r="H55" s="53">
        <v>0</v>
      </c>
      <c r="I55" s="53">
        <v>0</v>
      </c>
      <c r="J55" s="53">
        <v>0</v>
      </c>
      <c r="K55" s="78">
        <v>0</v>
      </c>
      <c r="L55" s="78">
        <v>0</v>
      </c>
      <c r="M55" s="57">
        <v>0</v>
      </c>
      <c r="N55" s="57">
        <v>0</v>
      </c>
    </row>
    <row r="56" customHeight="1" spans="2:14">
      <c r="B56" s="54" t="s">
        <v>66</v>
      </c>
      <c r="C56" s="55" t="s">
        <v>67</v>
      </c>
      <c r="D56" s="56">
        <f>-SUM(D48:D55)</f>
        <v>0</v>
      </c>
      <c r="E56" s="56">
        <f t="shared" ref="E56:J56" si="8">-SUM(E48:E55)</f>
        <v>0</v>
      </c>
      <c r="F56" s="56">
        <f t="shared" si="8"/>
        <v>0</v>
      </c>
      <c r="G56" s="56">
        <f t="shared" si="8"/>
        <v>0</v>
      </c>
      <c r="H56" s="56">
        <f t="shared" si="8"/>
        <v>0</v>
      </c>
      <c r="I56" s="56">
        <f t="shared" si="8"/>
        <v>0</v>
      </c>
      <c r="J56" s="56">
        <f t="shared" si="8"/>
        <v>0</v>
      </c>
      <c r="K56" s="56"/>
      <c r="L56" s="56"/>
      <c r="M56" s="56"/>
      <c r="N56" s="56"/>
    </row>
    <row r="57" customHeight="1" spans="2:14">
      <c r="B57" s="12"/>
      <c r="C57" s="31"/>
      <c r="D57" s="31"/>
      <c r="E57" s="31"/>
      <c r="F57" s="32"/>
      <c r="G57" s="32"/>
      <c r="H57" s="12"/>
      <c r="I57" s="62"/>
      <c r="J57" s="31"/>
      <c r="K57" s="31"/>
      <c r="L57" s="31"/>
      <c r="M57" s="32"/>
      <c r="N57" s="32"/>
    </row>
    <row r="58" customHeight="1" spans="2:14">
      <c r="B58" s="12"/>
      <c r="C58" s="13"/>
      <c r="D58" s="34" t="s">
        <v>28</v>
      </c>
      <c r="E58" s="34"/>
      <c r="F58" s="34"/>
      <c r="G58" s="34"/>
      <c r="H58" s="34"/>
      <c r="I58" s="34"/>
      <c r="J58" s="34"/>
      <c r="K58" s="79" t="s">
        <v>68</v>
      </c>
      <c r="L58" s="80"/>
      <c r="M58" s="80"/>
      <c r="N58" s="81"/>
    </row>
    <row r="59" customHeight="1" spans="2:14">
      <c r="B59" s="12"/>
      <c r="C59" s="13"/>
      <c r="D59" s="34"/>
      <c r="E59" s="34"/>
      <c r="F59" s="34"/>
      <c r="G59" s="34"/>
      <c r="H59" s="34"/>
      <c r="I59" s="34"/>
      <c r="J59" s="34"/>
      <c r="K59" s="70" t="s">
        <v>30</v>
      </c>
      <c r="L59" s="71"/>
      <c r="M59" s="70" t="s">
        <v>31</v>
      </c>
      <c r="N59" s="71"/>
    </row>
    <row r="60" ht="35.1" customHeight="1" spans="2:14">
      <c r="B60" s="12"/>
      <c r="C60" s="13"/>
      <c r="D60" s="37" t="s">
        <v>30</v>
      </c>
      <c r="E60" s="37" t="s">
        <v>31</v>
      </c>
      <c r="F60" s="38" t="s">
        <v>7</v>
      </c>
      <c r="G60" s="39" t="s">
        <v>32</v>
      </c>
      <c r="H60" s="39" t="s">
        <v>33</v>
      </c>
      <c r="I60" s="39" t="s">
        <v>34</v>
      </c>
      <c r="J60" s="39" t="s">
        <v>35</v>
      </c>
      <c r="K60" s="37" t="s">
        <v>69</v>
      </c>
      <c r="L60" s="37" t="s">
        <v>70</v>
      </c>
      <c r="M60" s="37" t="s">
        <v>71</v>
      </c>
      <c r="N60" s="37" t="s">
        <v>70</v>
      </c>
    </row>
    <row r="61" customHeight="1" spans="2:14">
      <c r="B61" s="46">
        <v>6.2</v>
      </c>
      <c r="C61" s="47" t="s">
        <v>72</v>
      </c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</row>
    <row r="62" customHeight="1" spans="2:14">
      <c r="B62" s="54" t="s">
        <v>73</v>
      </c>
      <c r="C62" s="55" t="s">
        <v>74</v>
      </c>
      <c r="D62" s="57">
        <v>0</v>
      </c>
      <c r="E62" s="57">
        <v>0</v>
      </c>
      <c r="F62" s="57">
        <v>0</v>
      </c>
      <c r="G62" s="57">
        <v>0</v>
      </c>
      <c r="H62" s="57">
        <v>0</v>
      </c>
      <c r="I62" s="57">
        <v>0</v>
      </c>
      <c r="J62" s="57">
        <v>0</v>
      </c>
      <c r="K62" s="78">
        <v>0</v>
      </c>
      <c r="L62" s="78">
        <v>0</v>
      </c>
      <c r="M62" s="57">
        <v>0</v>
      </c>
      <c r="N62" s="57">
        <v>0</v>
      </c>
    </row>
    <row r="63" customHeight="1" spans="2:14">
      <c r="B63" s="54" t="s">
        <v>75</v>
      </c>
      <c r="C63" s="55" t="s">
        <v>76</v>
      </c>
      <c r="D63" s="57">
        <v>0</v>
      </c>
      <c r="E63" s="57">
        <v>0</v>
      </c>
      <c r="F63" s="57">
        <v>0</v>
      </c>
      <c r="G63" s="57">
        <v>0</v>
      </c>
      <c r="H63" s="57">
        <v>0</v>
      </c>
      <c r="I63" s="57">
        <v>0</v>
      </c>
      <c r="J63" s="57">
        <v>0</v>
      </c>
      <c r="K63" s="78">
        <v>0</v>
      </c>
      <c r="L63" s="78">
        <v>0</v>
      </c>
      <c r="M63" s="57">
        <v>0</v>
      </c>
      <c r="N63" s="57">
        <v>0</v>
      </c>
    </row>
    <row r="64" customHeight="1" spans="2:14">
      <c r="B64" s="54" t="s">
        <v>77</v>
      </c>
      <c r="C64" s="55" t="s">
        <v>78</v>
      </c>
      <c r="D64" s="57">
        <v>0</v>
      </c>
      <c r="E64" s="57">
        <v>0</v>
      </c>
      <c r="F64" s="57">
        <v>0</v>
      </c>
      <c r="G64" s="57">
        <v>0</v>
      </c>
      <c r="H64" s="57">
        <v>0</v>
      </c>
      <c r="I64" s="57">
        <v>0</v>
      </c>
      <c r="J64" s="57">
        <v>0</v>
      </c>
      <c r="K64" s="78">
        <v>0</v>
      </c>
      <c r="L64" s="78">
        <v>0</v>
      </c>
      <c r="M64" s="57">
        <v>0</v>
      </c>
      <c r="N64" s="57">
        <v>0</v>
      </c>
    </row>
    <row r="65" customHeight="1" spans="2:14">
      <c r="B65" s="54" t="s">
        <v>79</v>
      </c>
      <c r="C65" s="55" t="s">
        <v>80</v>
      </c>
      <c r="D65" s="57">
        <v>0</v>
      </c>
      <c r="E65" s="57">
        <v>0</v>
      </c>
      <c r="F65" s="57">
        <v>0</v>
      </c>
      <c r="G65" s="57">
        <v>0</v>
      </c>
      <c r="H65" s="57">
        <v>0</v>
      </c>
      <c r="I65" s="57">
        <v>0</v>
      </c>
      <c r="J65" s="57">
        <v>0</v>
      </c>
      <c r="K65" s="78">
        <v>0</v>
      </c>
      <c r="L65" s="78">
        <v>0</v>
      </c>
      <c r="M65" s="57">
        <v>0</v>
      </c>
      <c r="N65" s="57">
        <v>0</v>
      </c>
    </row>
    <row r="66" customHeight="1" spans="2:14">
      <c r="B66" s="54" t="s">
        <v>81</v>
      </c>
      <c r="C66" s="55" t="s">
        <v>82</v>
      </c>
      <c r="D66" s="57">
        <v>0</v>
      </c>
      <c r="E66" s="57">
        <v>0</v>
      </c>
      <c r="F66" s="57">
        <v>0</v>
      </c>
      <c r="G66" s="57">
        <v>0</v>
      </c>
      <c r="H66" s="57">
        <v>0</v>
      </c>
      <c r="I66" s="57">
        <v>0</v>
      </c>
      <c r="J66" s="57">
        <v>0</v>
      </c>
      <c r="K66" s="78">
        <v>0</v>
      </c>
      <c r="L66" s="78">
        <v>0</v>
      </c>
      <c r="M66" s="57">
        <v>0</v>
      </c>
      <c r="N66" s="57">
        <v>0</v>
      </c>
    </row>
    <row r="67" customHeight="1" spans="2:14">
      <c r="B67" s="54" t="s">
        <v>83</v>
      </c>
      <c r="C67" s="55" t="s">
        <v>84</v>
      </c>
      <c r="D67" s="57">
        <v>0</v>
      </c>
      <c r="E67" s="57">
        <v>0</v>
      </c>
      <c r="F67" s="57">
        <v>0</v>
      </c>
      <c r="G67" s="57">
        <v>0</v>
      </c>
      <c r="H67" s="57">
        <v>0</v>
      </c>
      <c r="I67" s="57">
        <v>0</v>
      </c>
      <c r="J67" s="57">
        <v>0</v>
      </c>
      <c r="K67" s="78">
        <v>0</v>
      </c>
      <c r="L67" s="78">
        <v>0</v>
      </c>
      <c r="M67" s="57">
        <v>0</v>
      </c>
      <c r="N67" s="57">
        <v>0</v>
      </c>
    </row>
    <row r="68" customHeight="1" spans="2:14">
      <c r="B68" s="54" t="s">
        <v>85</v>
      </c>
      <c r="C68" s="55" t="s">
        <v>86</v>
      </c>
      <c r="D68" s="57">
        <v>0</v>
      </c>
      <c r="E68" s="57">
        <v>0</v>
      </c>
      <c r="F68" s="57">
        <v>0</v>
      </c>
      <c r="G68" s="57">
        <v>0</v>
      </c>
      <c r="H68" s="57">
        <v>0</v>
      </c>
      <c r="I68" s="57">
        <v>0</v>
      </c>
      <c r="J68" s="57">
        <v>0</v>
      </c>
      <c r="K68" s="78">
        <v>0</v>
      </c>
      <c r="L68" s="78">
        <v>0</v>
      </c>
      <c r="M68" s="57">
        <v>0</v>
      </c>
      <c r="N68" s="57">
        <v>0</v>
      </c>
    </row>
    <row r="69" customHeight="1" spans="2:14">
      <c r="B69" s="54" t="s">
        <v>87</v>
      </c>
      <c r="C69" s="55" t="s">
        <v>88</v>
      </c>
      <c r="D69" s="57">
        <v>0</v>
      </c>
      <c r="E69" s="57">
        <v>0</v>
      </c>
      <c r="F69" s="57">
        <v>0</v>
      </c>
      <c r="G69" s="57">
        <v>0</v>
      </c>
      <c r="H69" s="57">
        <v>0</v>
      </c>
      <c r="I69" s="57">
        <v>0</v>
      </c>
      <c r="J69" s="57">
        <v>0</v>
      </c>
      <c r="K69" s="78">
        <v>0</v>
      </c>
      <c r="L69" s="78">
        <v>0</v>
      </c>
      <c r="M69" s="57">
        <v>0</v>
      </c>
      <c r="N69" s="57">
        <v>0</v>
      </c>
    </row>
    <row r="70" customHeight="1" spans="2:14">
      <c r="B70" s="12"/>
      <c r="C70" s="31"/>
      <c r="D70" s="31"/>
      <c r="E70" s="31"/>
      <c r="F70" s="32"/>
      <c r="G70" s="32"/>
      <c r="H70" s="12"/>
      <c r="I70" s="62"/>
      <c r="J70" s="31"/>
      <c r="K70" s="31"/>
      <c r="L70" s="31"/>
      <c r="M70" s="32"/>
      <c r="N70" s="32"/>
    </row>
    <row r="71" ht="24.75" customHeight="1" spans="2:14">
      <c r="B71" s="41"/>
      <c r="C71" s="32"/>
      <c r="D71" s="34" t="s">
        <v>28</v>
      </c>
      <c r="E71" s="34"/>
      <c r="F71" s="34"/>
      <c r="G71" s="34"/>
      <c r="H71" s="34"/>
      <c r="I71" s="34"/>
      <c r="J71" s="34"/>
      <c r="K71" s="67" t="s">
        <v>89</v>
      </c>
      <c r="L71" s="68"/>
      <c r="M71" s="68"/>
      <c r="N71" s="69"/>
    </row>
    <row r="72" customHeight="1" spans="2:14">
      <c r="B72" s="42"/>
      <c r="C72" s="42"/>
      <c r="D72" s="34"/>
      <c r="E72" s="34"/>
      <c r="F72" s="34"/>
      <c r="G72" s="34"/>
      <c r="H72" s="34"/>
      <c r="I72" s="34"/>
      <c r="J72" s="34"/>
      <c r="K72" s="70" t="s">
        <v>30</v>
      </c>
      <c r="L72" s="71"/>
      <c r="M72" s="70" t="s">
        <v>31</v>
      </c>
      <c r="N72" s="71"/>
    </row>
    <row r="73" ht="21" spans="2:14">
      <c r="B73" s="43" t="s">
        <v>45</v>
      </c>
      <c r="C73" s="37" t="s">
        <v>46</v>
      </c>
      <c r="D73" s="37" t="s">
        <v>30</v>
      </c>
      <c r="E73" s="37" t="s">
        <v>31</v>
      </c>
      <c r="F73" s="38" t="s">
        <v>7</v>
      </c>
      <c r="G73" s="39" t="s">
        <v>32</v>
      </c>
      <c r="H73" s="39" t="s">
        <v>33</v>
      </c>
      <c r="I73" s="39" t="s">
        <v>34</v>
      </c>
      <c r="J73" s="39" t="s">
        <v>35</v>
      </c>
      <c r="K73" s="72" t="s">
        <v>90</v>
      </c>
      <c r="L73" s="72" t="s">
        <v>91</v>
      </c>
      <c r="M73" s="72" t="s">
        <v>90</v>
      </c>
      <c r="N73" s="72" t="s">
        <v>91</v>
      </c>
    </row>
    <row r="74" customHeight="1" spans="2:14">
      <c r="B74" s="46">
        <v>6.3</v>
      </c>
      <c r="C74" s="47" t="s">
        <v>39</v>
      </c>
      <c r="D74" s="82">
        <f>+D75+D76</f>
        <v>0</v>
      </c>
      <c r="E74" s="82">
        <f t="shared" ref="E74:N74" si="9">+E75+E76</f>
        <v>0</v>
      </c>
      <c r="F74" s="82">
        <f t="shared" si="9"/>
        <v>0</v>
      </c>
      <c r="G74" s="82">
        <f t="shared" si="9"/>
        <v>0</v>
      </c>
      <c r="H74" s="82">
        <f t="shared" si="9"/>
        <v>0</v>
      </c>
      <c r="I74" s="82">
        <f t="shared" si="9"/>
        <v>0</v>
      </c>
      <c r="J74" s="82">
        <f t="shared" si="9"/>
        <v>0</v>
      </c>
      <c r="K74" s="82">
        <f t="shared" si="9"/>
        <v>0</v>
      </c>
      <c r="L74" s="82">
        <f t="shared" si="9"/>
        <v>0</v>
      </c>
      <c r="M74" s="82">
        <f t="shared" si="9"/>
        <v>0</v>
      </c>
      <c r="N74" s="82">
        <f t="shared" si="9"/>
        <v>0</v>
      </c>
    </row>
    <row r="75" customHeight="1" spans="2:14">
      <c r="B75" s="83" t="s">
        <v>92</v>
      </c>
      <c r="C75" s="84" t="s">
        <v>93</v>
      </c>
      <c r="D75" s="57">
        <v>0</v>
      </c>
      <c r="E75" s="57">
        <v>0</v>
      </c>
      <c r="F75" s="85">
        <v>0</v>
      </c>
      <c r="G75" s="78">
        <v>0</v>
      </c>
      <c r="H75" s="78">
        <v>0</v>
      </c>
      <c r="I75" s="78">
        <v>0</v>
      </c>
      <c r="J75" s="78">
        <v>0</v>
      </c>
      <c r="K75" s="78">
        <v>0</v>
      </c>
      <c r="L75" s="78">
        <v>0</v>
      </c>
      <c r="M75" s="57">
        <v>0</v>
      </c>
      <c r="N75" s="106">
        <v>0</v>
      </c>
    </row>
    <row r="76" customHeight="1" spans="2:14">
      <c r="B76" s="83" t="s">
        <v>94</v>
      </c>
      <c r="C76" s="84" t="s">
        <v>95</v>
      </c>
      <c r="D76" s="57">
        <v>0</v>
      </c>
      <c r="E76" s="57">
        <v>0</v>
      </c>
      <c r="F76" s="85">
        <v>0</v>
      </c>
      <c r="G76" s="78">
        <v>0</v>
      </c>
      <c r="H76" s="78">
        <v>0</v>
      </c>
      <c r="I76" s="78">
        <v>0</v>
      </c>
      <c r="J76" s="78">
        <v>0</v>
      </c>
      <c r="K76" s="78">
        <v>0</v>
      </c>
      <c r="L76" s="78">
        <v>0</v>
      </c>
      <c r="M76" s="57">
        <v>0</v>
      </c>
      <c r="N76" s="106">
        <v>0</v>
      </c>
    </row>
    <row r="77" customHeight="1" spans="2:14">
      <c r="B77" s="86"/>
      <c r="C77" s="87"/>
      <c r="D77" s="88"/>
      <c r="E77" s="88"/>
      <c r="F77" s="89"/>
      <c r="G77" s="90"/>
      <c r="H77" s="90"/>
      <c r="I77" s="90"/>
      <c r="J77" s="90"/>
      <c r="K77" s="90"/>
      <c r="L77" s="90"/>
      <c r="M77" s="88"/>
      <c r="N77" s="107"/>
    </row>
    <row r="78" ht="14.5" spans="2:14">
      <c r="B78" s="91">
        <v>6.4</v>
      </c>
      <c r="C78" s="84" t="s">
        <v>96</v>
      </c>
      <c r="D78" s="88"/>
      <c r="E78" s="88"/>
      <c r="F78" s="89"/>
      <c r="G78" s="90"/>
      <c r="H78" s="90"/>
      <c r="I78" s="90"/>
      <c r="J78" s="90"/>
      <c r="K78" s="90"/>
      <c r="L78" s="90"/>
      <c r="M78" s="88"/>
      <c r="N78" s="107"/>
    </row>
    <row r="79" customHeight="1" spans="2:14">
      <c r="B79" s="83" t="s">
        <v>97</v>
      </c>
      <c r="C79" s="84" t="s">
        <v>98</v>
      </c>
      <c r="D79" s="88"/>
      <c r="E79" s="88"/>
      <c r="F79" s="85">
        <v>0</v>
      </c>
      <c r="G79" s="78">
        <v>0</v>
      </c>
      <c r="H79" s="78">
        <v>0</v>
      </c>
      <c r="I79" s="78">
        <v>0</v>
      </c>
      <c r="J79" s="78">
        <v>0</v>
      </c>
      <c r="K79" s="78">
        <v>0</v>
      </c>
      <c r="L79" s="78">
        <v>0</v>
      </c>
      <c r="M79" s="57">
        <v>0</v>
      </c>
      <c r="N79" s="106">
        <v>0</v>
      </c>
    </row>
    <row r="80" customHeight="1" spans="2:14">
      <c r="B80" s="12"/>
      <c r="C80" s="31"/>
      <c r="D80" s="31"/>
      <c r="E80" s="31"/>
      <c r="F80" s="32"/>
      <c r="G80" s="32"/>
      <c r="H80" s="12"/>
      <c r="I80" s="62"/>
      <c r="J80" s="31"/>
      <c r="K80" s="31"/>
      <c r="L80" s="31"/>
      <c r="M80" s="32"/>
      <c r="N80" s="32"/>
    </row>
    <row r="81" ht="34.5" customHeight="1" spans="2:14">
      <c r="B81" s="41"/>
      <c r="C81" s="32"/>
      <c r="D81" s="34" t="s">
        <v>28</v>
      </c>
      <c r="E81" s="34"/>
      <c r="F81" s="34"/>
      <c r="G81" s="34"/>
      <c r="H81" s="34"/>
      <c r="I81" s="34"/>
      <c r="J81" s="34"/>
      <c r="K81" s="67" t="s">
        <v>99</v>
      </c>
      <c r="L81" s="68"/>
      <c r="M81" s="68"/>
      <c r="N81" s="69"/>
    </row>
    <row r="82" customHeight="1" spans="2:14">
      <c r="B82" s="42"/>
      <c r="C82" s="42"/>
      <c r="D82" s="34"/>
      <c r="E82" s="34"/>
      <c r="F82" s="34"/>
      <c r="G82" s="34"/>
      <c r="H82" s="34"/>
      <c r="I82" s="34"/>
      <c r="J82" s="34"/>
      <c r="K82" s="70" t="s">
        <v>30</v>
      </c>
      <c r="L82" s="71"/>
      <c r="M82" s="70" t="s">
        <v>31</v>
      </c>
      <c r="N82" s="71"/>
    </row>
    <row r="83" ht="21" spans="2:14">
      <c r="B83" s="43" t="s">
        <v>45</v>
      </c>
      <c r="C83" s="37" t="s">
        <v>46</v>
      </c>
      <c r="D83" s="37" t="s">
        <v>30</v>
      </c>
      <c r="E83" s="37" t="s">
        <v>31</v>
      </c>
      <c r="F83" s="38" t="s">
        <v>7</v>
      </c>
      <c r="G83" s="39" t="s">
        <v>32</v>
      </c>
      <c r="H83" s="39" t="s">
        <v>33</v>
      </c>
      <c r="I83" s="39" t="s">
        <v>34</v>
      </c>
      <c r="J83" s="39" t="s">
        <v>35</v>
      </c>
      <c r="K83" s="72" t="s">
        <v>47</v>
      </c>
      <c r="L83" s="73">
        <v>-0.1</v>
      </c>
      <c r="M83" s="72" t="s">
        <v>47</v>
      </c>
      <c r="N83" s="73">
        <v>-0.1</v>
      </c>
    </row>
    <row r="84" customHeight="1" spans="2:14">
      <c r="B84" s="92">
        <v>6.5</v>
      </c>
      <c r="C84" s="20" t="s">
        <v>40</v>
      </c>
      <c r="D84" s="57">
        <v>0</v>
      </c>
      <c r="E84" s="57">
        <v>0</v>
      </c>
      <c r="F84" s="85">
        <v>0</v>
      </c>
      <c r="G84" s="78">
        <v>0</v>
      </c>
      <c r="H84" s="78">
        <v>0</v>
      </c>
      <c r="I84" s="78">
        <v>0</v>
      </c>
      <c r="J84" s="78">
        <v>0</v>
      </c>
      <c r="K84" s="78">
        <v>0</v>
      </c>
      <c r="L84" s="78">
        <v>0</v>
      </c>
      <c r="M84" s="57">
        <v>0</v>
      </c>
      <c r="N84" s="106">
        <v>0</v>
      </c>
    </row>
    <row r="85" customHeight="1" spans="2:14">
      <c r="B85" s="92">
        <v>6.6</v>
      </c>
      <c r="C85" s="20" t="s">
        <v>41</v>
      </c>
      <c r="D85" s="57">
        <v>0</v>
      </c>
      <c r="E85" s="57">
        <v>0</v>
      </c>
      <c r="F85" s="85">
        <v>0</v>
      </c>
      <c r="G85" s="78">
        <v>0</v>
      </c>
      <c r="H85" s="78">
        <v>0</v>
      </c>
      <c r="I85" s="78">
        <v>0</v>
      </c>
      <c r="J85" s="78">
        <v>0</v>
      </c>
      <c r="K85" s="78">
        <v>0</v>
      </c>
      <c r="L85" s="78">
        <v>0</v>
      </c>
      <c r="M85" s="57">
        <v>0</v>
      </c>
      <c r="N85" s="106">
        <v>0</v>
      </c>
    </row>
    <row r="86" customHeight="1" spans="2:14">
      <c r="B86" s="12"/>
      <c r="C86" s="31"/>
      <c r="D86" s="31"/>
      <c r="E86" s="31"/>
      <c r="F86" s="32"/>
      <c r="G86" s="32"/>
      <c r="H86" s="12"/>
      <c r="I86" s="62"/>
      <c r="J86" s="31"/>
      <c r="K86" s="31"/>
      <c r="L86" s="31"/>
      <c r="M86" s="32"/>
      <c r="N86" s="32"/>
    </row>
    <row r="87" ht="21" spans="2:14">
      <c r="B87" s="12"/>
      <c r="C87" s="47"/>
      <c r="D87" s="39" t="s">
        <v>100</v>
      </c>
      <c r="E87" s="93"/>
      <c r="F87" s="13"/>
      <c r="G87" s="13"/>
      <c r="H87" s="13"/>
      <c r="I87" s="13"/>
      <c r="J87" s="13"/>
      <c r="K87" s="13"/>
      <c r="L87" s="13"/>
      <c r="M87" s="39" t="s">
        <v>101</v>
      </c>
      <c r="N87" s="39" t="s">
        <v>101</v>
      </c>
    </row>
    <row r="88" ht="21" spans="2:14">
      <c r="B88" s="12"/>
      <c r="C88" s="47"/>
      <c r="D88" s="94" t="s">
        <v>102</v>
      </c>
      <c r="E88" s="94" t="s">
        <v>103</v>
      </c>
      <c r="F88" s="38" t="s">
        <v>7</v>
      </c>
      <c r="G88" s="39" t="s">
        <v>32</v>
      </c>
      <c r="H88" s="39" t="s">
        <v>33</v>
      </c>
      <c r="I88" s="39" t="s">
        <v>34</v>
      </c>
      <c r="J88" s="39" t="s">
        <v>35</v>
      </c>
      <c r="K88" s="13"/>
      <c r="L88" s="13"/>
      <c r="M88" s="39" t="s">
        <v>102</v>
      </c>
      <c r="N88" s="39" t="s">
        <v>103</v>
      </c>
    </row>
    <row r="89" ht="14.5" spans="2:14">
      <c r="B89" s="46"/>
      <c r="C89" s="47" t="s">
        <v>104</v>
      </c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</row>
    <row r="90" ht="14.5" spans="2:14">
      <c r="B90" s="46">
        <v>6.7</v>
      </c>
      <c r="C90" s="47" t="s">
        <v>42</v>
      </c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</row>
    <row r="91" customHeight="1" spans="2:14">
      <c r="B91" s="54" t="s">
        <v>105</v>
      </c>
      <c r="C91" s="55" t="s">
        <v>106</v>
      </c>
      <c r="D91" s="57">
        <v>0</v>
      </c>
      <c r="E91" s="57">
        <v>0</v>
      </c>
      <c r="F91" s="85">
        <v>0</v>
      </c>
      <c r="G91" s="78">
        <v>0</v>
      </c>
      <c r="H91" s="78">
        <v>0</v>
      </c>
      <c r="I91" s="78">
        <v>0</v>
      </c>
      <c r="J91" s="78">
        <v>0</v>
      </c>
      <c r="K91" s="108"/>
      <c r="L91" s="108"/>
      <c r="M91" s="57">
        <v>0</v>
      </c>
      <c r="N91" s="57">
        <v>0</v>
      </c>
    </row>
    <row r="92" customHeight="1" spans="2:14">
      <c r="B92" s="54" t="s">
        <v>107</v>
      </c>
      <c r="C92" s="55" t="s">
        <v>108</v>
      </c>
      <c r="D92" s="57">
        <v>0</v>
      </c>
      <c r="E92" s="57">
        <v>0</v>
      </c>
      <c r="F92" s="85">
        <v>0</v>
      </c>
      <c r="G92" s="78">
        <v>0</v>
      </c>
      <c r="H92" s="78">
        <v>0</v>
      </c>
      <c r="I92" s="78">
        <v>0</v>
      </c>
      <c r="J92" s="78">
        <v>0</v>
      </c>
      <c r="K92" s="108"/>
      <c r="L92" s="108"/>
      <c r="M92" s="57">
        <v>0</v>
      </c>
      <c r="N92" s="57">
        <v>0</v>
      </c>
    </row>
    <row r="93" ht="14.5" spans="2:14">
      <c r="B93" s="54" t="s">
        <v>109</v>
      </c>
      <c r="C93" s="55" t="s">
        <v>110</v>
      </c>
      <c r="D93" s="57">
        <v>0</v>
      </c>
      <c r="E93" s="57">
        <v>0</v>
      </c>
      <c r="F93" s="85">
        <v>0</v>
      </c>
      <c r="G93" s="78">
        <v>0</v>
      </c>
      <c r="H93" s="78">
        <v>0</v>
      </c>
      <c r="I93" s="78">
        <v>0</v>
      </c>
      <c r="J93" s="78">
        <v>0</v>
      </c>
      <c r="K93" s="108"/>
      <c r="L93" s="108"/>
      <c r="M93" s="57">
        <v>0</v>
      </c>
      <c r="N93" s="57">
        <v>0</v>
      </c>
    </row>
    <row r="94" customHeight="1" spans="2:14">
      <c r="B94" s="54" t="s">
        <v>111</v>
      </c>
      <c r="C94" s="55" t="s">
        <v>112</v>
      </c>
      <c r="D94" s="57">
        <v>0</v>
      </c>
      <c r="E94" s="57">
        <v>0</v>
      </c>
      <c r="F94" s="85">
        <v>0</v>
      </c>
      <c r="G94" s="78">
        <v>0</v>
      </c>
      <c r="H94" s="78">
        <v>0</v>
      </c>
      <c r="I94" s="78">
        <v>0</v>
      </c>
      <c r="J94" s="78">
        <v>0</v>
      </c>
      <c r="K94" s="108"/>
      <c r="L94" s="108"/>
      <c r="M94" s="57">
        <v>0</v>
      </c>
      <c r="N94" s="57">
        <v>0</v>
      </c>
    </row>
    <row r="95" customHeight="1" spans="2:14">
      <c r="B95" s="54" t="s">
        <v>113</v>
      </c>
      <c r="C95" s="55" t="s">
        <v>114</v>
      </c>
      <c r="D95" s="57">
        <v>0</v>
      </c>
      <c r="E95" s="57">
        <v>0</v>
      </c>
      <c r="F95" s="85">
        <v>0</v>
      </c>
      <c r="G95" s="78">
        <v>0</v>
      </c>
      <c r="H95" s="78">
        <v>0</v>
      </c>
      <c r="I95" s="78">
        <v>0</v>
      </c>
      <c r="J95" s="78">
        <v>0</v>
      </c>
      <c r="K95" s="108"/>
      <c r="L95" s="108"/>
      <c r="M95" s="57">
        <v>0</v>
      </c>
      <c r="N95" s="57">
        <v>0</v>
      </c>
    </row>
    <row r="96" customHeight="1" spans="2:14">
      <c r="B96" s="54" t="s">
        <v>115</v>
      </c>
      <c r="C96" s="55" t="s">
        <v>116</v>
      </c>
      <c r="D96" s="57">
        <v>0</v>
      </c>
      <c r="E96" s="57">
        <v>0</v>
      </c>
      <c r="F96" s="85">
        <v>0</v>
      </c>
      <c r="G96" s="78">
        <v>0</v>
      </c>
      <c r="H96" s="78">
        <v>0</v>
      </c>
      <c r="I96" s="78">
        <v>0</v>
      </c>
      <c r="J96" s="78">
        <v>0</v>
      </c>
      <c r="K96" s="108"/>
      <c r="L96" s="108"/>
      <c r="M96" s="57">
        <v>0</v>
      </c>
      <c r="N96" s="57">
        <v>0</v>
      </c>
    </row>
    <row r="97" customHeight="1" spans="2:14">
      <c r="B97" s="54" t="s">
        <v>117</v>
      </c>
      <c r="C97" s="55" t="s">
        <v>118</v>
      </c>
      <c r="D97" s="57">
        <v>0</v>
      </c>
      <c r="E97" s="57">
        <v>0</v>
      </c>
      <c r="F97" s="85">
        <v>0</v>
      </c>
      <c r="G97" s="78">
        <v>0</v>
      </c>
      <c r="H97" s="78">
        <v>0</v>
      </c>
      <c r="I97" s="78">
        <v>0</v>
      </c>
      <c r="J97" s="78">
        <v>0</v>
      </c>
      <c r="K97" s="108"/>
      <c r="L97" s="108"/>
      <c r="M97" s="57">
        <v>0</v>
      </c>
      <c r="N97" s="57">
        <v>0</v>
      </c>
    </row>
    <row r="98" customHeight="1" spans="2:14">
      <c r="B98" s="54" t="s">
        <v>119</v>
      </c>
      <c r="C98" s="55" t="s">
        <v>120</v>
      </c>
      <c r="D98" s="57">
        <v>0</v>
      </c>
      <c r="E98" s="57">
        <v>0</v>
      </c>
      <c r="F98" s="85">
        <v>0</v>
      </c>
      <c r="G98" s="78">
        <v>0</v>
      </c>
      <c r="H98" s="78">
        <v>0</v>
      </c>
      <c r="I98" s="78">
        <v>0</v>
      </c>
      <c r="J98" s="78">
        <v>0</v>
      </c>
      <c r="K98" s="108"/>
      <c r="L98" s="108"/>
      <c r="M98" s="57">
        <v>0</v>
      </c>
      <c r="N98" s="57">
        <v>0</v>
      </c>
    </row>
    <row r="99" customHeight="1" spans="2:14">
      <c r="B99" s="54" t="s">
        <v>121</v>
      </c>
      <c r="C99" s="55" t="s">
        <v>122</v>
      </c>
      <c r="D99" s="57">
        <v>0</v>
      </c>
      <c r="E99" s="57">
        <v>0</v>
      </c>
      <c r="F99" s="85">
        <v>0</v>
      </c>
      <c r="G99" s="78">
        <v>0</v>
      </c>
      <c r="H99" s="78">
        <v>0</v>
      </c>
      <c r="I99" s="78">
        <v>0</v>
      </c>
      <c r="J99" s="78">
        <v>0</v>
      </c>
      <c r="K99" s="108"/>
      <c r="L99" s="108"/>
      <c r="M99" s="57">
        <v>0</v>
      </c>
      <c r="N99" s="57">
        <v>0</v>
      </c>
    </row>
    <row r="100" customHeight="1" spans="2:14">
      <c r="B100" s="54" t="s">
        <v>123</v>
      </c>
      <c r="C100" s="55" t="s">
        <v>124</v>
      </c>
      <c r="D100" s="57">
        <v>0</v>
      </c>
      <c r="E100" s="57">
        <v>0</v>
      </c>
      <c r="F100" s="85">
        <v>0</v>
      </c>
      <c r="G100" s="78">
        <v>0</v>
      </c>
      <c r="H100" s="78">
        <v>0</v>
      </c>
      <c r="I100" s="78">
        <v>0</v>
      </c>
      <c r="J100" s="78">
        <v>0</v>
      </c>
      <c r="K100" s="108"/>
      <c r="L100" s="108"/>
      <c r="M100" s="57">
        <v>0</v>
      </c>
      <c r="N100" s="57">
        <v>0</v>
      </c>
    </row>
    <row r="101" customHeight="1" spans="2:14">
      <c r="B101" s="83">
        <v>6.8</v>
      </c>
      <c r="C101" s="84" t="s">
        <v>125</v>
      </c>
      <c r="D101" s="20"/>
      <c r="E101" s="20"/>
      <c r="F101" s="20"/>
      <c r="G101" s="20"/>
      <c r="H101" s="20"/>
      <c r="I101" s="20"/>
      <c r="J101" s="20"/>
      <c r="K101" s="20"/>
      <c r="L101" s="20"/>
      <c r="M101" s="55"/>
      <c r="N101" s="55"/>
    </row>
    <row r="102" customHeight="1" spans="2:14">
      <c r="B102" s="95" t="s">
        <v>126</v>
      </c>
      <c r="C102" s="96" t="s">
        <v>127</v>
      </c>
      <c r="D102" s="57">
        <v>0</v>
      </c>
      <c r="E102" s="57">
        <v>0</v>
      </c>
      <c r="F102" s="85">
        <v>0</v>
      </c>
      <c r="G102" s="78">
        <v>0</v>
      </c>
      <c r="H102" s="78">
        <v>0</v>
      </c>
      <c r="I102" s="78">
        <v>0</v>
      </c>
      <c r="J102" s="78">
        <v>0</v>
      </c>
      <c r="K102" s="108"/>
      <c r="L102" s="108"/>
      <c r="M102" s="57">
        <v>0</v>
      </c>
      <c r="N102" s="57">
        <v>0</v>
      </c>
    </row>
    <row r="103" customHeight="1" spans="2:14">
      <c r="B103" s="95" t="s">
        <v>128</v>
      </c>
      <c r="C103" s="96" t="s">
        <v>127</v>
      </c>
      <c r="D103" s="57">
        <v>0</v>
      </c>
      <c r="E103" s="57">
        <v>0</v>
      </c>
      <c r="F103" s="85">
        <v>0</v>
      </c>
      <c r="G103" s="78">
        <v>0</v>
      </c>
      <c r="H103" s="78">
        <v>0</v>
      </c>
      <c r="I103" s="78">
        <v>0</v>
      </c>
      <c r="J103" s="78">
        <v>0</v>
      </c>
      <c r="K103" s="108"/>
      <c r="L103" s="108"/>
      <c r="M103" s="57">
        <v>0</v>
      </c>
      <c r="N103" s="57">
        <v>0</v>
      </c>
    </row>
    <row r="104" customHeight="1" spans="2:14">
      <c r="B104" s="95" t="s">
        <v>129</v>
      </c>
      <c r="C104" s="96" t="s">
        <v>127</v>
      </c>
      <c r="D104" s="57">
        <v>0</v>
      </c>
      <c r="E104" s="57">
        <v>0</v>
      </c>
      <c r="F104" s="85">
        <v>0</v>
      </c>
      <c r="G104" s="78">
        <v>0</v>
      </c>
      <c r="H104" s="78">
        <v>0</v>
      </c>
      <c r="I104" s="78">
        <v>0</v>
      </c>
      <c r="J104" s="78">
        <v>0</v>
      </c>
      <c r="K104" s="108"/>
      <c r="L104" s="108"/>
      <c r="M104" s="57">
        <v>0</v>
      </c>
      <c r="N104" s="57">
        <v>0</v>
      </c>
    </row>
    <row r="105" customHeight="1" spans="2:14">
      <c r="B105" s="95" t="s">
        <v>130</v>
      </c>
      <c r="C105" s="96" t="s">
        <v>127</v>
      </c>
      <c r="D105" s="57">
        <v>0</v>
      </c>
      <c r="E105" s="57">
        <v>0</v>
      </c>
      <c r="F105" s="85">
        <v>0</v>
      </c>
      <c r="G105" s="78">
        <v>0</v>
      </c>
      <c r="H105" s="78">
        <v>0</v>
      </c>
      <c r="I105" s="78">
        <v>0</v>
      </c>
      <c r="J105" s="78">
        <v>0</v>
      </c>
      <c r="K105" s="108"/>
      <c r="L105" s="108"/>
      <c r="M105" s="57">
        <v>0</v>
      </c>
      <c r="N105" s="57">
        <v>0</v>
      </c>
    </row>
    <row r="106" customHeight="1" spans="2:14">
      <c r="B106" s="95" t="s">
        <v>131</v>
      </c>
      <c r="C106" s="96" t="s">
        <v>127</v>
      </c>
      <c r="D106" s="57">
        <v>0</v>
      </c>
      <c r="E106" s="57">
        <v>0</v>
      </c>
      <c r="F106" s="85">
        <v>0</v>
      </c>
      <c r="G106" s="78">
        <v>0</v>
      </c>
      <c r="H106" s="78">
        <v>0</v>
      </c>
      <c r="I106" s="78">
        <v>0</v>
      </c>
      <c r="J106" s="78">
        <v>0</v>
      </c>
      <c r="K106" s="108"/>
      <c r="L106" s="108"/>
      <c r="M106" s="57">
        <v>0</v>
      </c>
      <c r="N106" s="57">
        <v>0</v>
      </c>
    </row>
    <row r="107" customHeight="1" spans="2:14">
      <c r="B107" s="95" t="s">
        <v>132</v>
      </c>
      <c r="C107" s="96" t="s">
        <v>127</v>
      </c>
      <c r="D107" s="57">
        <v>0</v>
      </c>
      <c r="E107" s="57">
        <v>0</v>
      </c>
      <c r="F107" s="85">
        <v>0</v>
      </c>
      <c r="G107" s="78">
        <v>0</v>
      </c>
      <c r="H107" s="78">
        <v>0</v>
      </c>
      <c r="I107" s="78">
        <v>0</v>
      </c>
      <c r="J107" s="78">
        <v>0</v>
      </c>
      <c r="K107" s="108"/>
      <c r="L107" s="108"/>
      <c r="M107" s="57">
        <v>0</v>
      </c>
      <c r="N107" s="57">
        <v>0</v>
      </c>
    </row>
    <row r="108" customHeight="1" spans="2:14">
      <c r="B108" s="95" t="s">
        <v>133</v>
      </c>
      <c r="C108" s="96" t="s">
        <v>127</v>
      </c>
      <c r="D108" s="57">
        <v>0</v>
      </c>
      <c r="E108" s="57">
        <v>0</v>
      </c>
      <c r="F108" s="85">
        <v>0</v>
      </c>
      <c r="G108" s="78">
        <v>0</v>
      </c>
      <c r="H108" s="78">
        <v>0</v>
      </c>
      <c r="I108" s="78">
        <v>0</v>
      </c>
      <c r="J108" s="78">
        <v>0</v>
      </c>
      <c r="K108" s="108"/>
      <c r="L108" s="108"/>
      <c r="M108" s="57">
        <v>0</v>
      </c>
      <c r="N108" s="57">
        <v>0</v>
      </c>
    </row>
    <row r="109" customHeight="1" spans="2:14">
      <c r="B109" s="95" t="s">
        <v>134</v>
      </c>
      <c r="C109" s="96" t="s">
        <v>127</v>
      </c>
      <c r="D109" s="57">
        <v>0</v>
      </c>
      <c r="E109" s="57">
        <v>0</v>
      </c>
      <c r="F109" s="85">
        <v>0</v>
      </c>
      <c r="G109" s="78">
        <v>0</v>
      </c>
      <c r="H109" s="78">
        <v>0</v>
      </c>
      <c r="I109" s="78">
        <v>0</v>
      </c>
      <c r="J109" s="78">
        <v>0</v>
      </c>
      <c r="K109" s="108"/>
      <c r="L109" s="108"/>
      <c r="M109" s="57">
        <v>0</v>
      </c>
      <c r="N109" s="57">
        <v>0</v>
      </c>
    </row>
    <row r="110" customHeight="1" spans="2:14">
      <c r="B110" s="95" t="s">
        <v>135</v>
      </c>
      <c r="C110" s="96" t="s">
        <v>127</v>
      </c>
      <c r="D110" s="57">
        <v>0</v>
      </c>
      <c r="E110" s="57">
        <v>0</v>
      </c>
      <c r="F110" s="85">
        <v>0</v>
      </c>
      <c r="G110" s="78">
        <v>0</v>
      </c>
      <c r="H110" s="78">
        <v>0</v>
      </c>
      <c r="I110" s="78">
        <v>0</v>
      </c>
      <c r="J110" s="78">
        <v>0</v>
      </c>
      <c r="K110" s="108"/>
      <c r="L110" s="108"/>
      <c r="M110" s="57">
        <v>0</v>
      </c>
      <c r="N110" s="57">
        <v>0</v>
      </c>
    </row>
    <row r="111" customHeight="1" spans="2:14">
      <c r="B111" s="19"/>
      <c r="C111" s="84"/>
      <c r="D111" s="55"/>
      <c r="E111" s="55"/>
      <c r="F111" s="21"/>
      <c r="G111" s="24"/>
      <c r="H111" s="24"/>
      <c r="I111" s="24"/>
      <c r="J111" s="24"/>
      <c r="K111" s="24"/>
      <c r="L111" s="24"/>
      <c r="M111" s="55"/>
      <c r="N111" s="55"/>
    </row>
    <row r="112" ht="34.5" customHeight="1" spans="2:14">
      <c r="B112" s="97"/>
      <c r="C112" s="30"/>
      <c r="D112" s="98" t="s">
        <v>28</v>
      </c>
      <c r="E112" s="98"/>
      <c r="F112" s="98"/>
      <c r="G112" s="98"/>
      <c r="H112" s="98"/>
      <c r="I112" s="98"/>
      <c r="J112" s="98"/>
      <c r="K112" s="109" t="s">
        <v>99</v>
      </c>
      <c r="L112" s="110"/>
      <c r="M112" s="110"/>
      <c r="N112" s="111"/>
    </row>
    <row r="113" customHeight="1" spans="2:14">
      <c r="B113" s="99"/>
      <c r="C113" s="99"/>
      <c r="D113" s="98"/>
      <c r="E113" s="98"/>
      <c r="F113" s="98"/>
      <c r="G113" s="98"/>
      <c r="H113" s="98"/>
      <c r="I113" s="98"/>
      <c r="J113" s="98"/>
      <c r="K113" s="112" t="s">
        <v>30</v>
      </c>
      <c r="L113" s="113"/>
      <c r="M113" s="112" t="s">
        <v>31</v>
      </c>
      <c r="N113" s="113"/>
    </row>
    <row r="114" ht="21" spans="2:14">
      <c r="B114" s="100" t="s">
        <v>45</v>
      </c>
      <c r="C114" s="101" t="s">
        <v>46</v>
      </c>
      <c r="D114" s="101" t="s">
        <v>30</v>
      </c>
      <c r="E114" s="101" t="s">
        <v>31</v>
      </c>
      <c r="F114" s="102" t="s">
        <v>7</v>
      </c>
      <c r="G114" s="103" t="s">
        <v>32</v>
      </c>
      <c r="H114" s="103" t="s">
        <v>33</v>
      </c>
      <c r="I114" s="103" t="s">
        <v>34</v>
      </c>
      <c r="J114" s="103" t="s">
        <v>35</v>
      </c>
      <c r="K114" s="114" t="s">
        <v>47</v>
      </c>
      <c r="L114" s="115">
        <v>-0.1</v>
      </c>
      <c r="M114" s="114" t="s">
        <v>47</v>
      </c>
      <c r="N114" s="115">
        <v>-0.1</v>
      </c>
    </row>
    <row r="115" ht="22.9" customHeight="1" spans="2:14">
      <c r="B115" s="92">
        <v>6.9</v>
      </c>
      <c r="C115" s="20" t="s">
        <v>136</v>
      </c>
      <c r="D115" s="20"/>
      <c r="E115" s="20"/>
      <c r="F115" s="20"/>
      <c r="G115" s="20"/>
      <c r="H115" s="20"/>
      <c r="I115" s="20"/>
      <c r="J115" s="20"/>
      <c r="K115" s="20"/>
      <c r="L115" s="20"/>
      <c r="M115" s="55"/>
      <c r="N115" s="55"/>
    </row>
    <row r="116" customHeight="1" spans="2:14">
      <c r="B116" s="95" t="s">
        <v>137</v>
      </c>
      <c r="C116" s="96" t="s">
        <v>127</v>
      </c>
      <c r="D116" s="57">
        <v>0</v>
      </c>
      <c r="E116" s="57">
        <v>0</v>
      </c>
      <c r="F116" s="85">
        <v>0</v>
      </c>
      <c r="G116" s="78">
        <v>0</v>
      </c>
      <c r="H116" s="78">
        <v>0</v>
      </c>
      <c r="I116" s="78">
        <v>0</v>
      </c>
      <c r="J116" s="78">
        <v>0</v>
      </c>
      <c r="K116" s="78">
        <v>0</v>
      </c>
      <c r="L116" s="78">
        <v>0</v>
      </c>
      <c r="M116" s="56">
        <f t="shared" ref="M116:M124" si="10">K116-L116</f>
        <v>0</v>
      </c>
      <c r="N116" s="106">
        <v>0</v>
      </c>
    </row>
    <row r="117" customHeight="1" spans="2:14">
      <c r="B117" s="95" t="s">
        <v>138</v>
      </c>
      <c r="C117" s="96" t="s">
        <v>127</v>
      </c>
      <c r="D117" s="57">
        <v>0</v>
      </c>
      <c r="E117" s="57">
        <v>0</v>
      </c>
      <c r="F117" s="85">
        <v>0</v>
      </c>
      <c r="G117" s="78">
        <v>0</v>
      </c>
      <c r="H117" s="78">
        <v>0</v>
      </c>
      <c r="I117" s="78">
        <v>0</v>
      </c>
      <c r="J117" s="78">
        <v>0</v>
      </c>
      <c r="K117" s="78">
        <v>0</v>
      </c>
      <c r="L117" s="78">
        <v>0</v>
      </c>
      <c r="M117" s="56">
        <f t="shared" si="10"/>
        <v>0</v>
      </c>
      <c r="N117" s="106">
        <v>0</v>
      </c>
    </row>
    <row r="118" customHeight="1" spans="2:14">
      <c r="B118" s="95" t="s">
        <v>139</v>
      </c>
      <c r="C118" s="96" t="s">
        <v>127</v>
      </c>
      <c r="D118" s="57">
        <v>0</v>
      </c>
      <c r="E118" s="57">
        <v>0</v>
      </c>
      <c r="F118" s="85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0</v>
      </c>
      <c r="M118" s="56">
        <f t="shared" si="10"/>
        <v>0</v>
      </c>
      <c r="N118" s="106">
        <v>0</v>
      </c>
    </row>
    <row r="119" customHeight="1" spans="2:14">
      <c r="B119" s="95" t="s">
        <v>140</v>
      </c>
      <c r="C119" s="96" t="s">
        <v>127</v>
      </c>
      <c r="D119" s="57">
        <v>0</v>
      </c>
      <c r="E119" s="57">
        <v>0</v>
      </c>
      <c r="F119" s="85">
        <v>0</v>
      </c>
      <c r="G119" s="78">
        <v>0</v>
      </c>
      <c r="H119" s="78">
        <v>0</v>
      </c>
      <c r="I119" s="78">
        <v>0</v>
      </c>
      <c r="J119" s="78">
        <v>0</v>
      </c>
      <c r="K119" s="78">
        <v>0</v>
      </c>
      <c r="L119" s="78">
        <v>0</v>
      </c>
      <c r="M119" s="56">
        <f t="shared" si="10"/>
        <v>0</v>
      </c>
      <c r="N119" s="106">
        <v>0</v>
      </c>
    </row>
    <row r="120" customHeight="1" spans="2:14">
      <c r="B120" s="95" t="s">
        <v>141</v>
      </c>
      <c r="C120" s="96" t="s">
        <v>127</v>
      </c>
      <c r="D120" s="57">
        <v>0</v>
      </c>
      <c r="E120" s="57">
        <v>0</v>
      </c>
      <c r="F120" s="85">
        <v>0</v>
      </c>
      <c r="G120" s="78">
        <v>0</v>
      </c>
      <c r="H120" s="78">
        <v>0</v>
      </c>
      <c r="I120" s="78">
        <v>0</v>
      </c>
      <c r="J120" s="78">
        <v>0</v>
      </c>
      <c r="K120" s="78">
        <v>0</v>
      </c>
      <c r="L120" s="78">
        <v>0</v>
      </c>
      <c r="M120" s="56">
        <f t="shared" si="10"/>
        <v>0</v>
      </c>
      <c r="N120" s="106">
        <v>0</v>
      </c>
    </row>
    <row r="121" customHeight="1" spans="2:14">
      <c r="B121" s="95" t="s">
        <v>142</v>
      </c>
      <c r="C121" s="96" t="s">
        <v>127</v>
      </c>
      <c r="D121" s="57">
        <v>0</v>
      </c>
      <c r="E121" s="57">
        <v>0</v>
      </c>
      <c r="F121" s="85">
        <v>0</v>
      </c>
      <c r="G121" s="78">
        <v>0</v>
      </c>
      <c r="H121" s="78">
        <v>0</v>
      </c>
      <c r="I121" s="78">
        <v>0</v>
      </c>
      <c r="J121" s="78">
        <v>0</v>
      </c>
      <c r="K121" s="78">
        <v>0</v>
      </c>
      <c r="L121" s="78">
        <v>0</v>
      </c>
      <c r="M121" s="56">
        <f t="shared" si="10"/>
        <v>0</v>
      </c>
      <c r="N121" s="106">
        <v>0</v>
      </c>
    </row>
    <row r="122" customHeight="1" spans="2:14">
      <c r="B122" s="95" t="s">
        <v>143</v>
      </c>
      <c r="C122" s="96" t="s">
        <v>127</v>
      </c>
      <c r="D122" s="57">
        <v>0</v>
      </c>
      <c r="E122" s="57">
        <v>0</v>
      </c>
      <c r="F122" s="85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56">
        <f t="shared" si="10"/>
        <v>0</v>
      </c>
      <c r="N122" s="106">
        <v>0</v>
      </c>
    </row>
    <row r="123" customHeight="1" spans="2:14">
      <c r="B123" s="95" t="s">
        <v>144</v>
      </c>
      <c r="C123" s="96" t="s">
        <v>127</v>
      </c>
      <c r="D123" s="57">
        <v>0</v>
      </c>
      <c r="E123" s="57">
        <v>0</v>
      </c>
      <c r="F123" s="85">
        <v>0</v>
      </c>
      <c r="G123" s="78">
        <v>0</v>
      </c>
      <c r="H123" s="78">
        <v>0</v>
      </c>
      <c r="I123" s="78">
        <v>0</v>
      </c>
      <c r="J123" s="78">
        <v>0</v>
      </c>
      <c r="K123" s="78">
        <v>0</v>
      </c>
      <c r="L123" s="78">
        <v>0</v>
      </c>
      <c r="M123" s="56">
        <f t="shared" si="10"/>
        <v>0</v>
      </c>
      <c r="N123" s="106">
        <v>0</v>
      </c>
    </row>
    <row r="124" customHeight="1" spans="2:14">
      <c r="B124" s="95" t="s">
        <v>145</v>
      </c>
      <c r="C124" s="96" t="s">
        <v>127</v>
      </c>
      <c r="D124" s="57">
        <v>0</v>
      </c>
      <c r="E124" s="57">
        <v>0</v>
      </c>
      <c r="F124" s="85">
        <v>0</v>
      </c>
      <c r="G124" s="78">
        <v>0</v>
      </c>
      <c r="H124" s="78">
        <v>0</v>
      </c>
      <c r="I124" s="78">
        <v>0</v>
      </c>
      <c r="J124" s="78">
        <v>0</v>
      </c>
      <c r="K124" s="78">
        <v>0</v>
      </c>
      <c r="L124" s="78">
        <v>0</v>
      </c>
      <c r="M124" s="56">
        <f t="shared" si="10"/>
        <v>0</v>
      </c>
      <c r="N124" s="106">
        <v>0</v>
      </c>
    </row>
    <row r="125" customHeight="1" spans="2:14">
      <c r="B125" s="19"/>
      <c r="C125" s="84"/>
      <c r="D125" s="55"/>
      <c r="E125" s="55"/>
      <c r="F125" s="21"/>
      <c r="G125" s="24"/>
      <c r="H125" s="24"/>
      <c r="I125" s="24"/>
      <c r="J125" s="24"/>
      <c r="K125" s="24"/>
      <c r="L125" s="24"/>
      <c r="M125" s="55"/>
      <c r="N125" s="55"/>
    </row>
    <row r="126" customHeight="1" spans="2:14">
      <c r="B126" s="19"/>
      <c r="C126" s="104" t="s">
        <v>146</v>
      </c>
      <c r="D126" s="23"/>
      <c r="E126" s="27"/>
      <c r="F126" s="21"/>
      <c r="G126" s="28"/>
      <c r="H126" s="19"/>
      <c r="I126" s="22"/>
      <c r="J126" s="22"/>
      <c r="K126" s="27"/>
      <c r="L126" s="27"/>
      <c r="M126" s="21"/>
      <c r="N126" s="21"/>
    </row>
    <row r="127" customHeight="1" spans="2:14">
      <c r="B127" s="19"/>
      <c r="C127" s="105" t="s">
        <v>147</v>
      </c>
      <c r="D127" s="23"/>
      <c r="E127" s="27"/>
      <c r="F127" s="21"/>
      <c r="G127" s="28"/>
      <c r="H127" s="19"/>
      <c r="I127" s="116"/>
      <c r="J127" s="117" t="s">
        <v>148</v>
      </c>
      <c r="K127" s="118"/>
      <c r="L127" s="118"/>
      <c r="M127" s="118"/>
      <c r="N127" s="119"/>
    </row>
    <row r="128" ht="21" spans="2:14">
      <c r="B128" s="19"/>
      <c r="C128" s="19" t="s">
        <v>149</v>
      </c>
      <c r="D128" s="23"/>
      <c r="E128" s="19"/>
      <c r="F128" s="102" t="s">
        <v>7</v>
      </c>
      <c r="G128" s="103" t="s">
        <v>32</v>
      </c>
      <c r="H128" s="19"/>
      <c r="I128" s="116"/>
      <c r="J128" s="19" t="s">
        <v>149</v>
      </c>
      <c r="K128" s="19"/>
      <c r="L128" s="19"/>
      <c r="M128" s="102" t="s">
        <v>7</v>
      </c>
      <c r="N128" s="103" t="s">
        <v>32</v>
      </c>
    </row>
    <row r="129" customHeight="1" spans="2:14">
      <c r="B129" s="19">
        <v>1</v>
      </c>
      <c r="C129" s="96" t="s">
        <v>127</v>
      </c>
      <c r="D129" s="120"/>
      <c r="E129" s="120"/>
      <c r="F129" s="96">
        <v>0</v>
      </c>
      <c r="G129" s="96">
        <v>0</v>
      </c>
      <c r="H129" s="19"/>
      <c r="I129" s="19">
        <v>1</v>
      </c>
      <c r="J129" s="136" t="s">
        <v>127</v>
      </c>
      <c r="K129" s="19"/>
      <c r="L129" s="19"/>
      <c r="M129" s="96">
        <v>0</v>
      </c>
      <c r="N129" s="96">
        <v>0</v>
      </c>
    </row>
    <row r="130" customHeight="1" spans="2:14">
      <c r="B130" s="19">
        <v>2</v>
      </c>
      <c r="C130" s="96" t="s">
        <v>127</v>
      </c>
      <c r="D130" s="120"/>
      <c r="E130" s="120"/>
      <c r="F130" s="96">
        <v>0</v>
      </c>
      <c r="G130" s="96">
        <v>0</v>
      </c>
      <c r="H130" s="19"/>
      <c r="I130" s="19">
        <v>2</v>
      </c>
      <c r="J130" s="136" t="s">
        <v>127</v>
      </c>
      <c r="K130" s="19"/>
      <c r="L130" s="19"/>
      <c r="M130" s="96">
        <v>0</v>
      </c>
      <c r="N130" s="96">
        <v>0</v>
      </c>
    </row>
    <row r="131" customHeight="1" spans="2:14">
      <c r="B131" s="19">
        <v>3</v>
      </c>
      <c r="C131" s="96" t="s">
        <v>127</v>
      </c>
      <c r="D131" s="120"/>
      <c r="E131" s="120"/>
      <c r="F131" s="96">
        <v>0</v>
      </c>
      <c r="G131" s="96">
        <v>0</v>
      </c>
      <c r="H131" s="19"/>
      <c r="I131" s="19">
        <v>3</v>
      </c>
      <c r="J131" s="136" t="s">
        <v>127</v>
      </c>
      <c r="K131" s="19"/>
      <c r="L131" s="19"/>
      <c r="M131" s="96">
        <v>0</v>
      </c>
      <c r="N131" s="96">
        <v>0</v>
      </c>
    </row>
    <row r="132" customHeight="1" spans="2:14">
      <c r="B132" s="19">
        <v>4</v>
      </c>
      <c r="C132" s="96" t="s">
        <v>127</v>
      </c>
      <c r="D132" s="120"/>
      <c r="E132" s="120"/>
      <c r="F132" s="96">
        <v>0</v>
      </c>
      <c r="G132" s="96">
        <v>0</v>
      </c>
      <c r="H132" s="19"/>
      <c r="I132" s="19">
        <v>4</v>
      </c>
      <c r="J132" s="136" t="s">
        <v>127</v>
      </c>
      <c r="K132" s="19"/>
      <c r="L132" s="19"/>
      <c r="M132" s="96">
        <v>0</v>
      </c>
      <c r="N132" s="96">
        <v>0</v>
      </c>
    </row>
    <row r="133" customHeight="1" spans="2:14">
      <c r="B133" s="19">
        <v>5</v>
      </c>
      <c r="C133" s="96" t="s">
        <v>127</v>
      </c>
      <c r="D133" s="120"/>
      <c r="E133" s="120"/>
      <c r="F133" s="96">
        <v>0</v>
      </c>
      <c r="G133" s="96">
        <v>0</v>
      </c>
      <c r="H133" s="19"/>
      <c r="I133" s="19">
        <v>5</v>
      </c>
      <c r="J133" s="136" t="s">
        <v>127</v>
      </c>
      <c r="K133" s="19"/>
      <c r="L133" s="19"/>
      <c r="M133" s="96">
        <v>0</v>
      </c>
      <c r="N133" s="96">
        <v>0</v>
      </c>
    </row>
    <row r="134" customHeight="1" spans="2:14">
      <c r="B134" s="19">
        <v>6</v>
      </c>
      <c r="C134" s="96" t="s">
        <v>127</v>
      </c>
      <c r="D134" s="120"/>
      <c r="E134" s="120"/>
      <c r="F134" s="96">
        <v>0</v>
      </c>
      <c r="G134" s="96">
        <v>0</v>
      </c>
      <c r="H134" s="19"/>
      <c r="I134" s="19">
        <v>6</v>
      </c>
      <c r="J134" s="136" t="s">
        <v>127</v>
      </c>
      <c r="K134" s="19"/>
      <c r="L134" s="19"/>
      <c r="M134" s="96">
        <v>0</v>
      </c>
      <c r="N134" s="96">
        <v>0</v>
      </c>
    </row>
    <row r="135" customHeight="1" spans="2:14">
      <c r="B135" s="19">
        <v>7</v>
      </c>
      <c r="C135" s="96" t="s">
        <v>127</v>
      </c>
      <c r="D135" s="120"/>
      <c r="E135" s="120"/>
      <c r="F135" s="96">
        <v>0</v>
      </c>
      <c r="G135" s="96">
        <v>0</v>
      </c>
      <c r="H135" s="19"/>
      <c r="I135" s="19">
        <v>7</v>
      </c>
      <c r="J135" s="136" t="s">
        <v>127</v>
      </c>
      <c r="K135" s="19"/>
      <c r="L135" s="19"/>
      <c r="M135" s="96">
        <v>0</v>
      </c>
      <c r="N135" s="96">
        <v>0</v>
      </c>
    </row>
    <row r="136" customHeight="1" spans="2:14">
      <c r="B136" s="19">
        <v>8</v>
      </c>
      <c r="C136" s="96" t="s">
        <v>127</v>
      </c>
      <c r="D136" s="120"/>
      <c r="E136" s="120"/>
      <c r="F136" s="96">
        <v>0</v>
      </c>
      <c r="G136" s="96">
        <v>0</v>
      </c>
      <c r="H136" s="19"/>
      <c r="I136" s="19">
        <v>8</v>
      </c>
      <c r="J136" s="136" t="s">
        <v>127</v>
      </c>
      <c r="K136" s="19"/>
      <c r="L136" s="19"/>
      <c r="M136" s="96">
        <v>0</v>
      </c>
      <c r="N136" s="96">
        <v>0</v>
      </c>
    </row>
    <row r="137" customHeight="1" spans="2:14">
      <c r="B137" s="19">
        <v>9</v>
      </c>
      <c r="C137" s="96" t="s">
        <v>127</v>
      </c>
      <c r="D137" s="120"/>
      <c r="E137" s="120"/>
      <c r="F137" s="96">
        <v>0</v>
      </c>
      <c r="G137" s="96">
        <v>0</v>
      </c>
      <c r="H137" s="19"/>
      <c r="I137" s="19">
        <v>9</v>
      </c>
      <c r="J137" s="136" t="s">
        <v>127</v>
      </c>
      <c r="K137" s="19"/>
      <c r="L137" s="19"/>
      <c r="M137" s="96">
        <v>0</v>
      </c>
      <c r="N137" s="96">
        <v>0</v>
      </c>
    </row>
    <row r="138" customHeight="1" spans="2:14">
      <c r="B138" s="19">
        <v>10</v>
      </c>
      <c r="C138" s="96" t="s">
        <v>127</v>
      </c>
      <c r="D138" s="120"/>
      <c r="E138" s="120"/>
      <c r="F138" s="96">
        <v>0</v>
      </c>
      <c r="G138" s="96">
        <v>0</v>
      </c>
      <c r="H138" s="19"/>
      <c r="I138" s="19">
        <v>10</v>
      </c>
      <c r="J138" s="136" t="s">
        <v>127</v>
      </c>
      <c r="K138" s="19"/>
      <c r="L138" s="19"/>
      <c r="M138" s="96">
        <v>0</v>
      </c>
      <c r="N138" s="96">
        <v>0</v>
      </c>
    </row>
    <row r="139" customHeight="1" spans="2:14">
      <c r="B139" s="19">
        <v>11</v>
      </c>
      <c r="C139" s="96" t="s">
        <v>127</v>
      </c>
      <c r="D139" s="120"/>
      <c r="E139" s="120"/>
      <c r="F139" s="96">
        <v>0</v>
      </c>
      <c r="G139" s="96">
        <v>0</v>
      </c>
      <c r="H139" s="19"/>
      <c r="I139" s="19">
        <v>11</v>
      </c>
      <c r="J139" s="136" t="s">
        <v>127</v>
      </c>
      <c r="K139" s="19"/>
      <c r="L139" s="19"/>
      <c r="M139" s="96">
        <v>0</v>
      </c>
      <c r="N139" s="96">
        <v>0</v>
      </c>
    </row>
    <row r="140" customHeight="1" spans="2:14">
      <c r="B140" s="19">
        <v>12</v>
      </c>
      <c r="C140" s="96" t="s">
        <v>127</v>
      </c>
      <c r="D140" s="120"/>
      <c r="E140" s="120"/>
      <c r="F140" s="96">
        <v>0</v>
      </c>
      <c r="G140" s="96">
        <v>0</v>
      </c>
      <c r="H140" s="19"/>
      <c r="I140" s="19">
        <v>12</v>
      </c>
      <c r="J140" s="136" t="s">
        <v>127</v>
      </c>
      <c r="K140" s="19"/>
      <c r="L140" s="19"/>
      <c r="M140" s="96">
        <v>0</v>
      </c>
      <c r="N140" s="96">
        <v>0</v>
      </c>
    </row>
    <row r="141" customHeight="1" spans="2:14">
      <c r="B141" s="19">
        <v>13</v>
      </c>
      <c r="C141" s="96" t="s">
        <v>127</v>
      </c>
      <c r="D141" s="120"/>
      <c r="E141" s="120"/>
      <c r="F141" s="96">
        <v>0</v>
      </c>
      <c r="G141" s="96">
        <v>0</v>
      </c>
      <c r="H141" s="19"/>
      <c r="I141" s="19">
        <v>13</v>
      </c>
      <c r="J141" s="136" t="s">
        <v>127</v>
      </c>
      <c r="K141" s="19"/>
      <c r="L141" s="19"/>
      <c r="M141" s="96">
        <v>0</v>
      </c>
      <c r="N141" s="96">
        <v>0</v>
      </c>
    </row>
    <row r="142" customHeight="1" spans="2:14">
      <c r="B142" s="19">
        <v>14</v>
      </c>
      <c r="C142" s="96" t="s">
        <v>127</v>
      </c>
      <c r="D142" s="120"/>
      <c r="E142" s="120"/>
      <c r="F142" s="96">
        <v>0</v>
      </c>
      <c r="G142" s="96">
        <v>0</v>
      </c>
      <c r="H142" s="19"/>
      <c r="I142" s="19">
        <v>14</v>
      </c>
      <c r="J142" s="136" t="s">
        <v>127</v>
      </c>
      <c r="K142" s="19"/>
      <c r="L142" s="19"/>
      <c r="M142" s="96">
        <v>0</v>
      </c>
      <c r="N142" s="96">
        <v>0</v>
      </c>
    </row>
    <row r="143" customHeight="1" spans="2:14">
      <c r="B143" s="19">
        <v>15</v>
      </c>
      <c r="C143" s="96" t="s">
        <v>127</v>
      </c>
      <c r="D143" s="120"/>
      <c r="E143" s="120"/>
      <c r="F143" s="96">
        <v>0</v>
      </c>
      <c r="G143" s="96">
        <v>0</v>
      </c>
      <c r="H143" s="19"/>
      <c r="I143" s="19">
        <v>15</v>
      </c>
      <c r="J143" s="136" t="s">
        <v>127</v>
      </c>
      <c r="K143" s="19"/>
      <c r="L143" s="19"/>
      <c r="M143" s="96">
        <v>0</v>
      </c>
      <c r="N143" s="96">
        <v>0</v>
      </c>
    </row>
    <row r="144" customHeight="1" spans="2:14">
      <c r="B144" s="19"/>
      <c r="C144" s="120"/>
      <c r="D144" s="120"/>
      <c r="E144" s="120"/>
      <c r="F144" s="120"/>
      <c r="G144" s="120"/>
      <c r="H144" s="19"/>
      <c r="I144" s="19"/>
      <c r="J144" s="137"/>
      <c r="K144" s="138"/>
      <c r="L144" s="139"/>
      <c r="M144" s="120"/>
      <c r="N144" s="120"/>
    </row>
    <row r="145" customHeight="1" spans="2:14">
      <c r="B145" s="19"/>
      <c r="C145" s="19" t="s">
        <v>150</v>
      </c>
      <c r="D145" s="120"/>
      <c r="E145" s="120"/>
      <c r="F145" s="19"/>
      <c r="G145" s="19"/>
      <c r="H145" s="19"/>
      <c r="I145" s="116"/>
      <c r="J145" s="117" t="s">
        <v>151</v>
      </c>
      <c r="K145" s="118"/>
      <c r="L145" s="118"/>
      <c r="M145" s="119"/>
      <c r="N145" s="19"/>
    </row>
    <row r="146" ht="35.1" customHeight="1" spans="2:14">
      <c r="B146" s="19"/>
      <c r="C146" s="19" t="s">
        <v>149</v>
      </c>
      <c r="D146" s="19"/>
      <c r="E146" s="19"/>
      <c r="F146" s="102" t="s">
        <v>7</v>
      </c>
      <c r="G146" s="103" t="s">
        <v>32</v>
      </c>
      <c r="H146" s="19"/>
      <c r="I146" s="116"/>
      <c r="J146" s="19" t="s">
        <v>149</v>
      </c>
      <c r="K146" s="19"/>
      <c r="L146" s="19"/>
      <c r="M146" s="102" t="s">
        <v>7</v>
      </c>
      <c r="N146" s="103" t="s">
        <v>32</v>
      </c>
    </row>
    <row r="147" customHeight="1" spans="2:14">
      <c r="B147" s="19">
        <v>1</v>
      </c>
      <c r="C147" s="96" t="s">
        <v>127</v>
      </c>
      <c r="D147" s="19"/>
      <c r="E147" s="19"/>
      <c r="F147" s="96">
        <v>0</v>
      </c>
      <c r="G147" s="96">
        <v>0</v>
      </c>
      <c r="H147" s="19"/>
      <c r="I147" s="19">
        <v>1</v>
      </c>
      <c r="J147" s="136" t="s">
        <v>127</v>
      </c>
      <c r="K147" s="19"/>
      <c r="L147" s="19"/>
      <c r="M147" s="96">
        <v>0</v>
      </c>
      <c r="N147" s="96">
        <v>0</v>
      </c>
    </row>
    <row r="148" customHeight="1" spans="2:14">
      <c r="B148" s="19">
        <v>2</v>
      </c>
      <c r="C148" s="96" t="s">
        <v>127</v>
      </c>
      <c r="D148" s="19"/>
      <c r="E148" s="19"/>
      <c r="F148" s="96">
        <v>0</v>
      </c>
      <c r="G148" s="96">
        <v>0</v>
      </c>
      <c r="H148" s="19"/>
      <c r="I148" s="19">
        <v>2</v>
      </c>
      <c r="J148" s="136" t="s">
        <v>127</v>
      </c>
      <c r="K148" s="19"/>
      <c r="L148" s="19"/>
      <c r="M148" s="96">
        <v>0</v>
      </c>
      <c r="N148" s="96">
        <v>0</v>
      </c>
    </row>
    <row r="149" customHeight="1" spans="2:14">
      <c r="B149" s="19">
        <v>3</v>
      </c>
      <c r="C149" s="96" t="s">
        <v>127</v>
      </c>
      <c r="D149" s="19"/>
      <c r="E149" s="19"/>
      <c r="F149" s="96">
        <v>0</v>
      </c>
      <c r="G149" s="96">
        <v>0</v>
      </c>
      <c r="H149" s="19"/>
      <c r="I149" s="19">
        <v>3</v>
      </c>
      <c r="J149" s="136" t="s">
        <v>127</v>
      </c>
      <c r="K149" s="19"/>
      <c r="L149" s="19"/>
      <c r="M149" s="96">
        <v>0</v>
      </c>
      <c r="N149" s="96">
        <v>0</v>
      </c>
    </row>
    <row r="150" customHeight="1" spans="2:14">
      <c r="B150" s="19">
        <v>4</v>
      </c>
      <c r="C150" s="96" t="s">
        <v>127</v>
      </c>
      <c r="D150" s="19"/>
      <c r="E150" s="19"/>
      <c r="F150" s="96">
        <v>0</v>
      </c>
      <c r="G150" s="96">
        <v>0</v>
      </c>
      <c r="H150" s="19"/>
      <c r="I150" s="19">
        <v>4</v>
      </c>
      <c r="J150" s="136" t="s">
        <v>127</v>
      </c>
      <c r="K150" s="19"/>
      <c r="L150" s="19"/>
      <c r="M150" s="96">
        <v>0</v>
      </c>
      <c r="N150" s="96">
        <v>0</v>
      </c>
    </row>
    <row r="151" customHeight="1" spans="2:14">
      <c r="B151" s="19">
        <v>5</v>
      </c>
      <c r="C151" s="96" t="s">
        <v>127</v>
      </c>
      <c r="D151" s="19"/>
      <c r="E151" s="19"/>
      <c r="F151" s="96">
        <v>0</v>
      </c>
      <c r="G151" s="96">
        <v>0</v>
      </c>
      <c r="H151" s="19"/>
      <c r="I151" s="19">
        <v>5</v>
      </c>
      <c r="J151" s="136" t="s">
        <v>127</v>
      </c>
      <c r="K151" s="19"/>
      <c r="L151" s="19"/>
      <c r="M151" s="96">
        <v>0</v>
      </c>
      <c r="N151" s="96">
        <v>0</v>
      </c>
    </row>
    <row r="152" customHeight="1" spans="2:14">
      <c r="B152" s="19">
        <v>6</v>
      </c>
      <c r="C152" s="96" t="s">
        <v>127</v>
      </c>
      <c r="D152" s="19"/>
      <c r="E152" s="19"/>
      <c r="F152" s="96">
        <v>0</v>
      </c>
      <c r="G152" s="96">
        <v>0</v>
      </c>
      <c r="H152" s="19"/>
      <c r="I152" s="19">
        <v>6</v>
      </c>
      <c r="J152" s="136" t="s">
        <v>127</v>
      </c>
      <c r="K152" s="19"/>
      <c r="L152" s="19"/>
      <c r="M152" s="96">
        <v>0</v>
      </c>
      <c r="N152" s="96">
        <v>0</v>
      </c>
    </row>
    <row r="153" customHeight="1" spans="2:14">
      <c r="B153" s="19">
        <v>7</v>
      </c>
      <c r="C153" s="96" t="s">
        <v>127</v>
      </c>
      <c r="D153" s="19"/>
      <c r="E153" s="19"/>
      <c r="F153" s="96">
        <v>0</v>
      </c>
      <c r="G153" s="96">
        <v>0</v>
      </c>
      <c r="H153" s="19"/>
      <c r="I153" s="19">
        <v>7</v>
      </c>
      <c r="J153" s="136" t="s">
        <v>127</v>
      </c>
      <c r="K153" s="19"/>
      <c r="L153" s="19"/>
      <c r="M153" s="96">
        <v>0</v>
      </c>
      <c r="N153" s="96">
        <v>0</v>
      </c>
    </row>
    <row r="154" customHeight="1" spans="2:14">
      <c r="B154" s="19">
        <v>8</v>
      </c>
      <c r="C154" s="96" t="s">
        <v>127</v>
      </c>
      <c r="D154" s="19"/>
      <c r="E154" s="19"/>
      <c r="F154" s="96">
        <v>0</v>
      </c>
      <c r="G154" s="96">
        <v>0</v>
      </c>
      <c r="H154" s="19"/>
      <c r="I154" s="19">
        <v>8</v>
      </c>
      <c r="J154" s="136" t="s">
        <v>127</v>
      </c>
      <c r="K154" s="19"/>
      <c r="L154" s="19"/>
      <c r="M154" s="96">
        <v>0</v>
      </c>
      <c r="N154" s="96">
        <v>0</v>
      </c>
    </row>
    <row r="155" customHeight="1" spans="2:14">
      <c r="B155" s="19">
        <v>9</v>
      </c>
      <c r="C155" s="96" t="s">
        <v>127</v>
      </c>
      <c r="D155" s="19"/>
      <c r="E155" s="19"/>
      <c r="F155" s="96">
        <v>0</v>
      </c>
      <c r="G155" s="96">
        <v>0</v>
      </c>
      <c r="H155" s="19"/>
      <c r="I155" s="19">
        <v>9</v>
      </c>
      <c r="J155" s="136" t="s">
        <v>127</v>
      </c>
      <c r="K155" s="19"/>
      <c r="L155" s="19"/>
      <c r="M155" s="96">
        <v>0</v>
      </c>
      <c r="N155" s="96">
        <v>0</v>
      </c>
    </row>
    <row r="156" customHeight="1" spans="2:14">
      <c r="B156" s="19">
        <v>10</v>
      </c>
      <c r="C156" s="96" t="s">
        <v>127</v>
      </c>
      <c r="D156" s="19"/>
      <c r="E156" s="19"/>
      <c r="F156" s="96">
        <v>0</v>
      </c>
      <c r="G156" s="96">
        <v>0</v>
      </c>
      <c r="H156" s="19"/>
      <c r="I156" s="19">
        <v>10</v>
      </c>
      <c r="J156" s="136" t="s">
        <v>127</v>
      </c>
      <c r="K156" s="19"/>
      <c r="L156" s="19"/>
      <c r="M156" s="96">
        <v>0</v>
      </c>
      <c r="N156" s="96">
        <v>0</v>
      </c>
    </row>
    <row r="157" customHeight="1" spans="2:14">
      <c r="B157" s="19">
        <v>11</v>
      </c>
      <c r="C157" s="96" t="s">
        <v>127</v>
      </c>
      <c r="D157" s="19"/>
      <c r="E157" s="19"/>
      <c r="F157" s="96">
        <v>0</v>
      </c>
      <c r="G157" s="96">
        <v>0</v>
      </c>
      <c r="H157" s="19"/>
      <c r="I157" s="19">
        <v>11</v>
      </c>
      <c r="J157" s="136" t="s">
        <v>127</v>
      </c>
      <c r="K157" s="19"/>
      <c r="L157" s="19"/>
      <c r="M157" s="96">
        <v>0</v>
      </c>
      <c r="N157" s="96">
        <v>0</v>
      </c>
    </row>
    <row r="158" customHeight="1" spans="2:14">
      <c r="B158" s="19">
        <v>12</v>
      </c>
      <c r="C158" s="96" t="s">
        <v>127</v>
      </c>
      <c r="D158" s="19"/>
      <c r="E158" s="19"/>
      <c r="F158" s="96">
        <v>0</v>
      </c>
      <c r="G158" s="96">
        <v>0</v>
      </c>
      <c r="H158" s="19"/>
      <c r="I158" s="19">
        <v>12</v>
      </c>
      <c r="J158" s="136" t="s">
        <v>127</v>
      </c>
      <c r="K158" s="19"/>
      <c r="L158" s="19"/>
      <c r="M158" s="96">
        <v>0</v>
      </c>
      <c r="N158" s="96">
        <v>0</v>
      </c>
    </row>
    <row r="159" customHeight="1" spans="2:14">
      <c r="B159" s="19">
        <v>13</v>
      </c>
      <c r="C159" s="96" t="s">
        <v>127</v>
      </c>
      <c r="D159" s="19"/>
      <c r="E159" s="19"/>
      <c r="F159" s="96">
        <v>0</v>
      </c>
      <c r="G159" s="96">
        <v>0</v>
      </c>
      <c r="H159" s="19"/>
      <c r="I159" s="19">
        <v>13</v>
      </c>
      <c r="J159" s="136" t="s">
        <v>127</v>
      </c>
      <c r="K159" s="19"/>
      <c r="L159" s="19"/>
      <c r="M159" s="96">
        <v>0</v>
      </c>
      <c r="N159" s="96">
        <v>0</v>
      </c>
    </row>
    <row r="160" customHeight="1" spans="2:14">
      <c r="B160" s="19">
        <v>14</v>
      </c>
      <c r="C160" s="96" t="s">
        <v>127</v>
      </c>
      <c r="D160" s="19"/>
      <c r="E160" s="19"/>
      <c r="F160" s="96">
        <v>0</v>
      </c>
      <c r="G160" s="96">
        <v>0</v>
      </c>
      <c r="H160" s="19"/>
      <c r="I160" s="19">
        <v>14</v>
      </c>
      <c r="J160" s="136" t="s">
        <v>127</v>
      </c>
      <c r="K160" s="19"/>
      <c r="L160" s="19"/>
      <c r="M160" s="96">
        <v>0</v>
      </c>
      <c r="N160" s="96">
        <v>0</v>
      </c>
    </row>
    <row r="161" customHeight="1" spans="2:14">
      <c r="B161" s="19">
        <v>15</v>
      </c>
      <c r="C161" s="96" t="s">
        <v>127</v>
      </c>
      <c r="D161" s="19"/>
      <c r="E161" s="19"/>
      <c r="F161" s="96">
        <v>0</v>
      </c>
      <c r="G161" s="96">
        <v>0</v>
      </c>
      <c r="H161" s="19"/>
      <c r="I161" s="19">
        <v>15</v>
      </c>
      <c r="J161" s="136" t="s">
        <v>127</v>
      </c>
      <c r="K161" s="19"/>
      <c r="L161" s="19"/>
      <c r="M161" s="96">
        <v>0</v>
      </c>
      <c r="N161" s="96">
        <v>0</v>
      </c>
    </row>
    <row r="162" customHeight="1" spans="2:14">
      <c r="B162" s="121"/>
      <c r="C162" s="122"/>
      <c r="D162" s="121"/>
      <c r="E162" s="121"/>
      <c r="F162" s="122"/>
      <c r="G162" s="122"/>
      <c r="H162" s="121"/>
      <c r="I162" s="121"/>
      <c r="J162" s="121"/>
      <c r="K162" s="140"/>
      <c r="L162" s="141"/>
      <c r="M162" s="142"/>
      <c r="N162" s="143"/>
    </row>
    <row r="163" customHeight="1" spans="2:14">
      <c r="B163" s="123"/>
      <c r="C163" s="124" t="s">
        <v>152</v>
      </c>
      <c r="D163" s="125"/>
      <c r="E163" s="126"/>
      <c r="F163" s="126"/>
      <c r="G163" s="126"/>
      <c r="H163" s="126"/>
      <c r="I163" s="126"/>
      <c r="J163" s="126"/>
      <c r="K163" s="126"/>
      <c r="L163" s="126"/>
      <c r="M163" s="126"/>
      <c r="N163" s="144"/>
    </row>
    <row r="164" customHeight="1" spans="2:14">
      <c r="B164" s="123"/>
      <c r="C164" s="127" t="s">
        <v>153</v>
      </c>
      <c r="D164" s="128"/>
      <c r="E164" s="129"/>
      <c r="F164" s="129"/>
      <c r="G164" s="129"/>
      <c r="H164" s="129"/>
      <c r="I164" s="129"/>
      <c r="J164" s="129"/>
      <c r="K164" s="129"/>
      <c r="L164" s="129"/>
      <c r="M164" s="129"/>
      <c r="N164" s="145"/>
    </row>
    <row r="165" customHeight="1" spans="2:14">
      <c r="B165" s="123"/>
      <c r="C165" s="127" t="s">
        <v>154</v>
      </c>
      <c r="D165" s="128"/>
      <c r="E165" s="129"/>
      <c r="F165" s="129"/>
      <c r="G165" s="129"/>
      <c r="H165" s="129"/>
      <c r="I165" s="129"/>
      <c r="J165" s="129"/>
      <c r="K165" s="129"/>
      <c r="L165" s="129"/>
      <c r="M165" s="129"/>
      <c r="N165" s="145"/>
    </row>
    <row r="166" customHeight="1" spans="2:14">
      <c r="B166" s="130"/>
      <c r="C166" s="131" t="s">
        <v>155</v>
      </c>
      <c r="D166" s="132"/>
      <c r="E166" s="133"/>
      <c r="F166" s="133"/>
      <c r="G166" s="133"/>
      <c r="H166" s="133"/>
      <c r="I166" s="133"/>
      <c r="J166" s="133"/>
      <c r="K166" s="133"/>
      <c r="L166" s="133"/>
      <c r="M166" s="133"/>
      <c r="N166" s="146"/>
    </row>
    <row r="167" customHeight="1" spans="2:14">
      <c r="B167" s="134"/>
      <c r="C167" s="135"/>
      <c r="D167" s="135"/>
      <c r="E167" s="135"/>
      <c r="F167" s="135"/>
      <c r="G167" s="135"/>
      <c r="H167" s="135"/>
      <c r="I167" s="135"/>
      <c r="J167" s="135"/>
      <c r="K167" s="135"/>
      <c r="L167" s="135"/>
      <c r="M167" s="135"/>
      <c r="N167" s="135"/>
    </row>
  </sheetData>
  <sheetProtection password="DE1B" sheet="1"/>
  <mergeCells count="38">
    <mergeCell ref="B2:N2"/>
    <mergeCell ref="B7:N7"/>
    <mergeCell ref="D8:E8"/>
    <mergeCell ref="F8:G8"/>
    <mergeCell ref="K43:N43"/>
    <mergeCell ref="K44:L44"/>
    <mergeCell ref="M44:N44"/>
    <mergeCell ref="K58:N58"/>
    <mergeCell ref="K59:L59"/>
    <mergeCell ref="M59:N59"/>
    <mergeCell ref="K71:N71"/>
    <mergeCell ref="K72:L72"/>
    <mergeCell ref="M72:N72"/>
    <mergeCell ref="K81:N81"/>
    <mergeCell ref="K82:L82"/>
    <mergeCell ref="M82:N82"/>
    <mergeCell ref="D87:E87"/>
    <mergeCell ref="K112:N112"/>
    <mergeCell ref="K113:L113"/>
    <mergeCell ref="M113:N113"/>
    <mergeCell ref="J127:N127"/>
    <mergeCell ref="J128:L128"/>
    <mergeCell ref="J144:L144"/>
    <mergeCell ref="J145:M145"/>
    <mergeCell ref="J146:L146"/>
    <mergeCell ref="C163:N163"/>
    <mergeCell ref="C164:N164"/>
    <mergeCell ref="C165:N165"/>
    <mergeCell ref="C166:N166"/>
    <mergeCell ref="B163:B166"/>
    <mergeCell ref="C30:C31"/>
    <mergeCell ref="D112:J113"/>
    <mergeCell ref="D81:J82"/>
    <mergeCell ref="D71:J72"/>
    <mergeCell ref="D58:J59"/>
    <mergeCell ref="D3:N6"/>
    <mergeCell ref="D30:J31"/>
    <mergeCell ref="D43:J44"/>
  </mergeCells>
  <dataValidations count="2">
    <dataValidation type="whole" operator="between" allowBlank="1" showInputMessage="1" showErrorMessage="1" error="Please insert a valid data!" sqref="F147:G162 F10:G27 F129:G143 M129:N143 D115:N124 D74:N79 D89:N110 M147:N162 D48:N56 D61:N69 D84:N85">
      <formula1>-1000000000000</formula1>
      <formula2>1000000000000</formula2>
    </dataValidation>
    <dataValidation allowBlank="1" showInputMessage="1" showErrorMessage="1" error="Please insert a valid data!" sqref="D87:N88"/>
  </dataValidations>
  <pageMargins left="0.23" right="0.17" top="0.354329615048119" bottom="0.27" header="0.196848206474191" footer="0.15748031496063"/>
  <pageSetup paperSize="9" fitToHeight="0" orientation="landscape" horizontalDpi="600" verticalDpi="6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BRF 3- MEM ACCT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Alain Jean Bernard De Saint-Ours</dc:creator>
  <cp:lastModifiedBy>user</cp:lastModifiedBy>
  <dcterms:created xsi:type="dcterms:W3CDTF">2013-03-16T06:55:25Z</dcterms:created>
  <cp:lastPrinted>2015-03-26T06:59:49Z</cp:lastPrinted>
  <dcterms:modified xsi:type="dcterms:W3CDTF">2024-02-22T05:47:27Z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9C859B2C85F6490FB4C566601DC2695C_13</vt:lpwstr>
  </property>
  <property fmtid="{D5CDD505-2E9C-101B-9397-08002B2CF9AE}" pid="3" name="KSOProductBuildVer">
    <vt:lpwstr>1033-12.2.0.13431</vt:lpwstr>
  </property>
</Properties>
</file>