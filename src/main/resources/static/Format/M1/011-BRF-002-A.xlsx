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2- LIAB" sheetId="1" r:id="rId1"/>
  </sheets>
  <definedNames>
    <definedName name="_xlnm.Print_Area" localSheetId="0">'BRF 2- LIAB'!$B$2:$M$114</definedName>
  </definedNames>
  <calcPr calcId="144525"/>
</workbook>
</file>

<file path=xl/sharedStrings.xml><?xml version="1.0" encoding="utf-8"?>
<sst xmlns="http://schemas.openxmlformats.org/spreadsheetml/2006/main" count="151" uniqueCount="129">
  <si>
    <t xml:space="preserve">                                       BANKING AND MONETARY STATISTICS-  LIABILITIES &amp; CAPITAL- BRF 2 (AED IN 000)</t>
  </si>
  <si>
    <t>ID:</t>
  </si>
  <si>
    <t>2-2-2-0</t>
  </si>
  <si>
    <t>BANK</t>
  </si>
  <si>
    <t>Bank of Baroda</t>
  </si>
  <si>
    <t>As On</t>
  </si>
  <si>
    <t>UAE OPERATIONS</t>
  </si>
  <si>
    <t xml:space="preserve">         RESIDENT</t>
  </si>
  <si>
    <t xml:space="preserve"> NON-RESIDENT</t>
  </si>
  <si>
    <t>TOTAL</t>
  </si>
  <si>
    <t>AED</t>
  </si>
  <si>
    <t>FCY</t>
  </si>
  <si>
    <t>No</t>
  </si>
  <si>
    <t>LIABILITIES</t>
  </si>
  <si>
    <t>Nos</t>
  </si>
  <si>
    <t>Amount</t>
  </si>
  <si>
    <t>GOVERNMENT SECTOR</t>
  </si>
  <si>
    <t>Demand</t>
  </si>
  <si>
    <t>Savings</t>
  </si>
  <si>
    <t>Time including CDs/ structured products</t>
  </si>
  <si>
    <t>Commercial prepayments (Margin deposits)</t>
  </si>
  <si>
    <t>GREs (Govt ownership of more than 50%)</t>
  </si>
  <si>
    <t xml:space="preserve">PRIVATE SECTOR </t>
  </si>
  <si>
    <t>Corporate</t>
  </si>
  <si>
    <t>16.1.1</t>
  </si>
  <si>
    <t>16.1.2</t>
  </si>
  <si>
    <t>16.1.3</t>
  </si>
  <si>
    <t>16.1.4</t>
  </si>
  <si>
    <t>Individuals</t>
  </si>
  <si>
    <t>16.2.1</t>
  </si>
  <si>
    <t>16.2.2</t>
  </si>
  <si>
    <t>16.2.3</t>
  </si>
  <si>
    <t>16.2.4</t>
  </si>
  <si>
    <t>NON BANKING FINANCIAL INSTITUTIONS</t>
  </si>
  <si>
    <t>Money at call and short notice</t>
  </si>
  <si>
    <t>Time</t>
  </si>
  <si>
    <t>Borrowings under repurchase agreement</t>
  </si>
  <si>
    <t>REFINANCING</t>
  </si>
  <si>
    <t>Under various housing loan schemes of Federal and Emirate Governments</t>
  </si>
  <si>
    <t>BANKERS DRAFT/ CASHIER ORDER</t>
  </si>
  <si>
    <t>DUE TO CENTRAL BANK</t>
  </si>
  <si>
    <t>Against CD</t>
  </si>
  <si>
    <t>Against other securities</t>
  </si>
  <si>
    <t>Other Balances</t>
  </si>
  <si>
    <t>DUE TO HEAD OFFICE/ OWN BRANCHES/BANKING SUBSIDIARIES(GROSS)</t>
  </si>
  <si>
    <t>Due to Head Office/Branches of foreign banks</t>
  </si>
  <si>
    <t>Due to overseas branches of national banks</t>
  </si>
  <si>
    <t>BALANCES DUE TO OTHER  BANKS (Gross)</t>
  </si>
  <si>
    <t>Money at call and short notice, borrowing on demand and remaining balances</t>
  </si>
  <si>
    <t>Interbank borrowings</t>
  </si>
  <si>
    <t xml:space="preserve">Other term borrowings </t>
  </si>
  <si>
    <t>TERM BORROWINGS</t>
  </si>
  <si>
    <t>Capital Market Funding (BRF 36 section A)</t>
  </si>
  <si>
    <t>Other term borrowings (BRF 36 section B)</t>
  </si>
  <si>
    <t>NET INTER-BRANCH TRANSACTIONS (EXCL 21.1 AND 21.2)</t>
  </si>
  <si>
    <t>PROVISIONS &amp; INTEREST IN SUSPENSE*</t>
  </si>
  <si>
    <t>Specific provision for loans &amp; advances (IFRS 9 Stage 3)</t>
  </si>
  <si>
    <t xml:space="preserve">Collective Provisions </t>
  </si>
  <si>
    <t>25.2.1</t>
  </si>
  <si>
    <t>Collective impairment expected</t>
  </si>
  <si>
    <t>25.2.2</t>
  </si>
  <si>
    <t xml:space="preserve">Other unallocated  provisions for impaired assets (Stage 2 unallocated cases) </t>
  </si>
  <si>
    <t>25.2.3</t>
  </si>
  <si>
    <t>General Provision as per Circular 28/2010 (Stage 1 +Stage2 excl. 25.2.2.)</t>
  </si>
  <si>
    <t>Interest in suspense</t>
  </si>
  <si>
    <t>Provision for investments &amp; impairment of non-financial assets</t>
  </si>
  <si>
    <t>Staff benefits (pension, ESB etc)</t>
  </si>
  <si>
    <t>Other Provisions</t>
  </si>
  <si>
    <t>OTHER LIABILITIES</t>
  </si>
  <si>
    <t>Interest payable on deposits/ other liabilities</t>
  </si>
  <si>
    <t>Income tax liability</t>
  </si>
  <si>
    <t xml:space="preserve">Accounts payable and sundry creditors </t>
  </si>
  <si>
    <t>Income (interest &amp; fees) received in advance</t>
  </si>
  <si>
    <t>Interest free deposits from H.O. for provision</t>
  </si>
  <si>
    <t>Loans from H.O towards excess in Large Exposures</t>
  </si>
  <si>
    <t>Subordinated borrowings/ deposits</t>
  </si>
  <si>
    <t>Acceptances</t>
  </si>
  <si>
    <t>All other borrowings</t>
  </si>
  <si>
    <t>NEGATIVE FAIR VALUE OF DERIVATIVES</t>
  </si>
  <si>
    <t>Market value Forward contracts (including FX swaps)</t>
  </si>
  <si>
    <t>Market value FX options</t>
  </si>
  <si>
    <t>Market value interest rate derivatives (swaps, options, FRAs, etc..)</t>
  </si>
  <si>
    <t>Market value Financial Futures</t>
  </si>
  <si>
    <t>Market value Credit derivatives</t>
  </si>
  <si>
    <t>Market value Equity derivatives</t>
  </si>
  <si>
    <t>Market value Commodity derivatives</t>
  </si>
  <si>
    <t>CAPITAL &amp; RESERVES</t>
  </si>
  <si>
    <t>Paid-up Capital</t>
  </si>
  <si>
    <t>28.1.1</t>
  </si>
  <si>
    <t>Share capital</t>
  </si>
  <si>
    <t>28.1.2</t>
  </si>
  <si>
    <t xml:space="preserve">Treasury shares held </t>
  </si>
  <si>
    <t>Reserve Funds</t>
  </si>
  <si>
    <t>28.2.1</t>
  </si>
  <si>
    <t>Statutory/ legal reserves</t>
  </si>
  <si>
    <t>28.2.2</t>
  </si>
  <si>
    <t>Asset Revaluation Reserve</t>
  </si>
  <si>
    <t>28.2.3</t>
  </si>
  <si>
    <t xml:space="preserve">Accumulated other comprehensive income </t>
  </si>
  <si>
    <t>28.2.4</t>
  </si>
  <si>
    <r>
      <t>Other reserves (</t>
    </r>
    <r>
      <rPr>
        <sz val="8"/>
        <color indexed="10"/>
        <rFont val="Arial"/>
        <family val="2"/>
        <charset val="0"/>
      </rPr>
      <t>incl. IFRS 9 reserves</t>
    </r>
    <r>
      <rPr>
        <sz val="8"/>
        <color indexed="8"/>
        <rFont val="Arial"/>
        <family val="2"/>
        <charset val="0"/>
      </rPr>
      <t>)</t>
    </r>
  </si>
  <si>
    <t>28.2.5</t>
  </si>
  <si>
    <t xml:space="preserve">Retained earnings </t>
  </si>
  <si>
    <t>28.2.6</t>
  </si>
  <si>
    <t>Current year's profit/ (loss) (BRF-4)</t>
  </si>
  <si>
    <t>Instruments such as Perpetual Notes</t>
  </si>
  <si>
    <t>TOTAL LIABILITIES, CAPITAL &amp; RESERVES</t>
  </si>
  <si>
    <t xml:space="preserve"> *MOVEMENT IN PROVISIONS AND INTEREST IN SUSPENSE</t>
  </si>
  <si>
    <t>Specific Provision</t>
  </si>
  <si>
    <t>Collective Provisions</t>
  </si>
  <si>
    <t>Interest/ Profit in suspense</t>
  </si>
  <si>
    <t>Total</t>
  </si>
  <si>
    <t xml:space="preserve">Collective impairment expected </t>
  </si>
  <si>
    <t xml:space="preserve">Other unallocated  provisions for impaired assets </t>
  </si>
  <si>
    <t>General Provision as per Circular 28/2010</t>
  </si>
  <si>
    <t>Balance as at 31st Dec of previous year</t>
  </si>
  <si>
    <t>Add:  Amount provided (Income Statt)</t>
  </si>
  <si>
    <t>Less:  Amount written off</t>
  </si>
  <si>
    <t>Less:  Written back to Income Statt</t>
  </si>
  <si>
    <t>Balance on the reporting date</t>
  </si>
  <si>
    <t>MEMORANDUM ACCOUNT</t>
  </si>
  <si>
    <t>Break down of IFRS 9 Impairment Reserve included in other reserves 28.2.4</t>
  </si>
  <si>
    <t>Impairment Reserve : Specific</t>
  </si>
  <si>
    <t>Impairment Reserve : General</t>
  </si>
  <si>
    <t xml:space="preserve">Total Impairment Reserve (IFRS 9) </t>
  </si>
  <si>
    <t>Note:  All the figures should be reported on cumulative basis</t>
  </si>
  <si>
    <t xml:space="preserve">  1  To be reported as per IFRS  </t>
  </si>
  <si>
    <t>2. To be reported as General Provision in accordance with Central Bank Circular No 28/2010</t>
  </si>
  <si>
    <t>Form No: BSD/BRF 2- LIAB/ NOV 18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</si>
</sst>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##"/>
  </numFmts>
  <fonts count="31">
    <font>
      <sz val="11"/>
      <color theme="1"/>
      <name val="Calibri"/>
      <family val="2"/>
      <charset val="0"/>
      <scheme val="minor"/>
    </font>
    <font>
      <b/>
      <sz val="10"/>
      <name val="Arial"/>
      <family val="2"/>
      <charset val="0"/>
    </font>
    <font>
      <b/>
      <sz val="9"/>
      <color indexed="8"/>
      <name val="Arial"/>
      <family val="2"/>
      <charset val="0"/>
    </font>
    <font>
      <b/>
      <sz val="8"/>
      <name val="Arial"/>
      <family val="2"/>
      <charset val="0"/>
    </font>
    <font>
      <sz val="8"/>
      <color theme="1"/>
      <name val="Calibri"/>
      <family val="2"/>
      <charset val="0"/>
      <scheme val="minor"/>
    </font>
    <font>
      <b/>
      <sz val="9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indexed="9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1"/>
      <color indexed="8"/>
      <name val="Calibri"/>
      <family val="2"/>
      <charset val="0"/>
    </font>
    <font>
      <sz val="8"/>
      <color indexed="10"/>
      <name val="Arial"/>
      <family val="2"/>
      <charset val="0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9" borderId="12" applyNumberFormat="0" applyAlignment="0" applyProtection="0"/>
    <xf numFmtId="0" fontId="19" fillId="10" borderId="13" applyNumberFormat="0" applyAlignment="0" applyProtection="0"/>
    <xf numFmtId="0" fontId="20" fillId="10" borderId="12" applyNumberFormat="0" applyAlignment="0" applyProtection="0"/>
    <xf numFmtId="0" fontId="21" fillId="11" borderId="14" applyNumberFormat="0" applyAlignment="0" applyProtection="0"/>
    <xf numFmtId="0" fontId="22" fillId="0" borderId="15" applyNumberFormat="0" applyFill="0" applyAlignment="0" applyProtection="0"/>
    <xf numFmtId="0" fontId="23" fillId="0" borderId="16" applyNumberFormat="0" applyFill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6" fillId="14" borderId="0" applyNumberFormat="0" applyBorder="0" applyAlignment="0" applyProtection="0"/>
    <xf numFmtId="0" fontId="27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27" fillId="38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</cellStyleXfs>
  <cellXfs count="59">
    <xf numFmtId="0" fontId="0" fillId="0" borderId="0" xfId="0"/>
    <xf numFmtId="0" fontId="1" fillId="2" borderId="1" xfId="52" applyFont="1" applyFill="1" applyBorder="1" applyAlignment="1">
      <alignment horizontal="center"/>
    </xf>
    <xf numFmtId="0" fontId="2" fillId="2" borderId="1" xfId="49" applyFont="1" applyFill="1" applyBorder="1" applyAlignment="1" applyProtection="1">
      <alignment horizontal="left" vertical="top"/>
    </xf>
    <xf numFmtId="15" fontId="3" fillId="0" borderId="2" xfId="50" applyNumberFormat="1" applyFont="1" applyFill="1" applyBorder="1" applyAlignment="1" applyProtection="1"/>
    <xf numFmtId="15" fontId="3" fillId="0" borderId="3" xfId="50" applyNumberFormat="1" applyFont="1" applyFill="1" applyBorder="1" applyAlignment="1" applyProtection="1"/>
    <xf numFmtId="0" fontId="4" fillId="0" borderId="1" xfId="0" applyFont="1" applyBorder="1" applyAlignment="1"/>
    <xf numFmtId="15" fontId="5" fillId="2" borderId="1" xfId="50" applyNumberFormat="1" applyFont="1" applyFill="1" applyBorder="1" applyAlignment="1" applyProtection="1">
      <alignment horizontal="left" vertical="top"/>
    </xf>
    <xf numFmtId="0" fontId="5" fillId="2" borderId="1" xfId="50" applyFont="1" applyFill="1" applyBorder="1" applyAlignment="1" applyProtection="1">
      <alignment horizontal="left" vertical="top"/>
    </xf>
    <xf numFmtId="0" fontId="6" fillId="3" borderId="4" xfId="0" applyFont="1" applyFill="1" applyBorder="1" applyAlignment="1">
      <alignment horizontal="left" wrapText="1"/>
    </xf>
    <xf numFmtId="0" fontId="7" fillId="3" borderId="0" xfId="0" applyFont="1" applyFill="1" applyBorder="1"/>
    <xf numFmtId="0" fontId="6" fillId="4" borderId="4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left" wrapText="1"/>
    </xf>
    <xf numFmtId="3" fontId="6" fillId="2" borderId="4" xfId="0" applyNumberFormat="1" applyFont="1" applyFill="1" applyBorder="1" applyAlignment="1">
      <alignment horizontal="right" wrapText="1"/>
    </xf>
    <xf numFmtId="1" fontId="3" fillId="2" borderId="1" xfId="50" applyNumberFormat="1" applyFont="1" applyFill="1" applyBorder="1" applyAlignment="1">
      <alignment horizontal="right" wrapText="1"/>
    </xf>
    <xf numFmtId="176" fontId="6" fillId="3" borderId="4" xfId="0" applyNumberFormat="1" applyFont="1" applyFill="1" applyBorder="1" applyAlignment="1">
      <alignment horizontal="right" wrapText="1"/>
    </xf>
    <xf numFmtId="1" fontId="8" fillId="0" borderId="1" xfId="51" applyNumberFormat="1" applyFont="1" applyFill="1" applyBorder="1" applyAlignment="1" applyProtection="1">
      <alignment horizontal="right" wrapText="1"/>
      <protection locked="0"/>
    </xf>
    <xf numFmtId="3" fontId="6" fillId="3" borderId="4" xfId="0" applyNumberFormat="1" applyFont="1" applyFill="1" applyBorder="1" applyAlignment="1">
      <alignment horizontal="right" wrapText="1"/>
    </xf>
    <xf numFmtId="1" fontId="8" fillId="0" borderId="1" xfId="51" applyNumberFormat="1" applyFont="1" applyFill="1" applyBorder="1" applyAlignment="1" applyProtection="1">
      <alignment wrapText="1"/>
      <protection locked="0"/>
    </xf>
    <xf numFmtId="1" fontId="8" fillId="2" borderId="1" xfId="51" applyNumberFormat="1" applyFont="1" applyFill="1" applyBorder="1" applyAlignment="1">
      <alignment wrapText="1"/>
    </xf>
    <xf numFmtId="1" fontId="3" fillId="0" borderId="1" xfId="50" applyNumberFormat="1" applyFont="1" applyFill="1" applyBorder="1" applyAlignment="1" applyProtection="1">
      <alignment wrapText="1"/>
      <protection locked="0"/>
    </xf>
    <xf numFmtId="1" fontId="3" fillId="2" borderId="1" xfId="50" applyNumberFormat="1" applyFont="1" applyFill="1" applyBorder="1" applyAlignment="1">
      <alignment wrapText="1"/>
    </xf>
    <xf numFmtId="1" fontId="3" fillId="0" borderId="1" xfId="53" applyNumberFormat="1" applyFont="1" applyFill="1" applyBorder="1" applyProtection="1">
      <protection locked="0"/>
    </xf>
    <xf numFmtId="1" fontId="3" fillId="0" borderId="1" xfId="50" applyNumberFormat="1" applyFont="1" applyFill="1" applyBorder="1" applyAlignment="1" applyProtection="1">
      <alignment horizontal="right" wrapText="1"/>
      <protection locked="0"/>
    </xf>
    <xf numFmtId="1" fontId="3" fillId="5" borderId="1" xfId="50" applyNumberFormat="1" applyFont="1" applyFill="1" applyBorder="1" applyAlignment="1" applyProtection="1">
      <alignment horizontal="right" wrapText="1"/>
    </xf>
    <xf numFmtId="1" fontId="3" fillId="2" borderId="1" xfId="50" applyNumberFormat="1" applyFont="1" applyFill="1" applyBorder="1" applyAlignment="1">
      <alignment horizontal="right"/>
    </xf>
    <xf numFmtId="1" fontId="3" fillId="2" borderId="1" xfId="53" applyNumberFormat="1" applyFont="1" applyFill="1" applyBorder="1" applyAlignment="1">
      <alignment horizontal="right"/>
    </xf>
    <xf numFmtId="1" fontId="3" fillId="2" borderId="1" xfId="53" applyNumberFormat="1" applyFont="1" applyFill="1" applyBorder="1"/>
    <xf numFmtId="1" fontId="8" fillId="2" borderId="1" xfId="53" applyNumberFormat="1" applyFont="1" applyFill="1" applyBorder="1"/>
    <xf numFmtId="0" fontId="6" fillId="5" borderId="4" xfId="0" applyFont="1" applyFill="1" applyBorder="1" applyAlignment="1">
      <alignment horizontal="left" wrapText="1"/>
    </xf>
    <xf numFmtId="0" fontId="9" fillId="3" borderId="4" xfId="0" applyFont="1" applyFill="1" applyBorder="1" applyAlignment="1">
      <alignment horizontal="left" wrapText="1"/>
    </xf>
    <xf numFmtId="0" fontId="9" fillId="5" borderId="4" xfId="0" applyFont="1" applyFill="1" applyBorder="1" applyAlignment="1">
      <alignment horizontal="left" wrapText="1"/>
    </xf>
    <xf numFmtId="3" fontId="9" fillId="3" borderId="4" xfId="0" applyNumberFormat="1" applyFont="1" applyFill="1" applyBorder="1" applyAlignment="1">
      <alignment horizontal="right" wrapText="1"/>
    </xf>
    <xf numFmtId="1" fontId="3" fillId="2" borderId="1" xfId="49" applyNumberFormat="1" applyFont="1" applyFill="1" applyBorder="1"/>
    <xf numFmtId="1" fontId="3" fillId="0" borderId="1" xfId="49" applyNumberFormat="1" applyFont="1" applyFill="1" applyBorder="1" applyProtection="1">
      <protection locked="0"/>
    </xf>
    <xf numFmtId="1" fontId="8" fillId="0" borderId="1" xfId="53" applyNumberFormat="1" applyFont="1" applyFill="1" applyBorder="1" applyProtection="1">
      <protection locked="0"/>
    </xf>
    <xf numFmtId="1" fontId="8" fillId="2" borderId="1" xfId="51" applyNumberFormat="1" applyFont="1" applyFill="1" applyBorder="1" applyAlignment="1">
      <alignment shrinkToFit="1"/>
    </xf>
    <xf numFmtId="1" fontId="8" fillId="0" borderId="1" xfId="53" applyNumberFormat="1" applyFont="1" applyBorder="1" applyAlignment="1" applyProtection="1">
      <alignment horizontal="right"/>
      <protection locked="0"/>
    </xf>
    <xf numFmtId="1" fontId="8" fillId="2" borderId="1" xfId="53" applyNumberFormat="1" applyFont="1" applyFill="1" applyBorder="1" applyAlignment="1">
      <alignment horizontal="right"/>
    </xf>
    <xf numFmtId="1" fontId="6" fillId="2" borderId="1" xfId="51" applyNumberFormat="1" applyFont="1" applyFill="1" applyBorder="1" applyAlignment="1">
      <alignment wrapText="1"/>
    </xf>
    <xf numFmtId="1" fontId="9" fillId="2" borderId="1" xfId="50" applyNumberFormat="1" applyFont="1" applyFill="1" applyBorder="1" applyAlignment="1">
      <alignment horizontal="right" wrapText="1"/>
    </xf>
    <xf numFmtId="1" fontId="8" fillId="2" borderId="1" xfId="51" applyNumberFormat="1" applyFont="1" applyFill="1" applyBorder="1" applyAlignment="1"/>
    <xf numFmtId="1" fontId="3" fillId="2" borderId="1" xfId="49" applyNumberFormat="1" applyFont="1" applyFill="1" applyBorder="1" applyAlignment="1">
      <alignment horizontal="right"/>
    </xf>
    <xf numFmtId="1" fontId="3" fillId="0" borderId="1" xfId="49" applyNumberFormat="1" applyFont="1" applyBorder="1" applyAlignment="1" applyProtection="1">
      <alignment horizontal="right"/>
      <protection locked="0"/>
    </xf>
    <xf numFmtId="1" fontId="9" fillId="0" borderId="1" xfId="49" applyNumberFormat="1" applyFont="1" applyBorder="1" applyAlignment="1" applyProtection="1">
      <alignment horizontal="right"/>
      <protection locked="0"/>
    </xf>
    <xf numFmtId="1" fontId="9" fillId="2" borderId="1" xfId="49" applyNumberFormat="1" applyFont="1" applyFill="1" applyBorder="1" applyAlignment="1">
      <alignment horizontal="right"/>
    </xf>
    <xf numFmtId="1" fontId="8" fillId="2" borderId="1" xfId="50" applyNumberFormat="1" applyFont="1" applyFill="1" applyBorder="1" applyAlignment="1">
      <alignment wrapText="1"/>
    </xf>
    <xf numFmtId="1" fontId="8" fillId="2" borderId="1" xfId="54" applyNumberFormat="1" applyFont="1" applyFill="1" applyBorder="1"/>
    <xf numFmtId="0" fontId="9" fillId="2" borderId="4" xfId="0" applyFont="1" applyFill="1" applyBorder="1" applyAlignment="1">
      <alignment horizontal="left" wrapText="1"/>
    </xf>
    <xf numFmtId="0" fontId="9" fillId="6" borderId="1" xfId="49" applyFont="1" applyFill="1" applyBorder="1" applyProtection="1">
      <protection locked="0"/>
    </xf>
    <xf numFmtId="0" fontId="9" fillId="7" borderId="1" xfId="49" applyFont="1" applyFill="1" applyBorder="1" applyProtection="1"/>
    <xf numFmtId="0" fontId="8" fillId="5" borderId="5" xfId="0" applyFont="1" applyFill="1" applyBorder="1" applyAlignment="1">
      <alignment horizontal="left" wrapText="1"/>
    </xf>
    <xf numFmtId="0" fontId="8" fillId="5" borderId="6" xfId="0" applyFont="1" applyFill="1" applyBorder="1" applyAlignment="1">
      <alignment horizontal="left" wrapText="1"/>
    </xf>
    <xf numFmtId="0" fontId="6" fillId="5" borderId="4" xfId="0" applyFont="1" applyFill="1" applyBorder="1" applyAlignment="1">
      <alignment horizontal="left"/>
    </xf>
    <xf numFmtId="3" fontId="6" fillId="5" borderId="4" xfId="0" applyNumberFormat="1" applyFont="1" applyFill="1" applyBorder="1" applyAlignment="1">
      <alignment horizontal="right" wrapText="1"/>
    </xf>
    <xf numFmtId="3" fontId="6" fillId="4" borderId="4" xfId="0" applyNumberFormat="1" applyFont="1" applyFill="1" applyBorder="1" applyAlignment="1">
      <alignment horizontal="right" wrapText="1"/>
    </xf>
    <xf numFmtId="3" fontId="6" fillId="5" borderId="4" xfId="0" applyNumberFormat="1" applyFont="1" applyFill="1" applyBorder="1" applyAlignment="1" applyProtection="1">
      <alignment horizontal="right" wrapText="1"/>
      <protection locked="0"/>
    </xf>
    <xf numFmtId="3" fontId="6" fillId="5" borderId="4" xfId="0" applyNumberFormat="1" applyFont="1" applyFill="1" applyBorder="1" applyAlignment="1" applyProtection="1">
      <alignment horizontal="right" wrapText="1"/>
    </xf>
    <xf numFmtId="0" fontId="6" fillId="4" borderId="4" xfId="0" applyFont="1" applyFill="1" applyBorder="1" applyAlignment="1">
      <alignment horizontal="left" wrapText="1"/>
    </xf>
    <xf numFmtId="0" fontId="8" fillId="5" borderId="7" xfId="0" applyFont="1" applyFill="1" applyBorder="1" applyAlignment="1">
      <alignment horizontal="left" wrapText="1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Normal 5" xfId="52"/>
    <cellStyle name="Normal_Sheet1" xfId="53"/>
    <cellStyle name="Normal_Sheet2" xfId="54"/>
  </cellStyles>
  <tableStyles count="0" defaultTableStyle="TableStyleMedium2" defaultPivotStyle="PivotStyleLight16"/>
  <colors>
    <mruColors>
      <color rgb="00FF0000"/>
      <color rgb="00A6A6A6"/>
      <color rgb="00F2F2F2"/>
      <color rgb="00FFFF00"/>
      <color rgb="00D9D9D9"/>
      <color rgb="00FFFFFF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M116"/>
  <sheetViews>
    <sheetView showGridLines="0" tabSelected="1" zoomScaleSheetLayoutView="60" workbookViewId="0">
      <selection activeCell="A7" sqref="A7"/>
    </sheetView>
  </sheetViews>
  <sheetFormatPr defaultColWidth="0" defaultRowHeight="15" zeroHeight="1"/>
  <cols>
    <col min="1" max="1" width="3.42727272727273" customWidth="1"/>
    <col min="2" max="2" width="9" customWidth="1"/>
    <col min="3" max="3" width="7.13636363636364" customWidth="1"/>
    <col min="4" max="4" width="41.4272727272727" customWidth="1"/>
    <col min="5" max="12" width="9.70909090909091" customWidth="1"/>
    <col min="13" max="13" width="10.7090909090909" customWidth="1"/>
    <col min="14" max="14" width="9.13636363636364" customWidth="1"/>
    <col min="15" max="16384" width="0" hidden="1"/>
  </cols>
  <sheetData>
    <row r="1" ht="14.5"/>
    <row r="2" ht="14.5" spans="2:13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Height="1" spans="2:13">
      <c r="B3" s="2" t="s">
        <v>1</v>
      </c>
      <c r="C3" s="3" t="s">
        <v>2</v>
      </c>
      <c r="D3" s="4"/>
      <c r="E3" s="5"/>
      <c r="F3" s="5"/>
      <c r="G3" s="5"/>
      <c r="H3" s="5"/>
      <c r="I3" s="5"/>
      <c r="J3" s="5"/>
      <c r="K3" s="5"/>
      <c r="L3" s="5"/>
      <c r="M3" s="5"/>
    </row>
    <row r="4" ht="14.5" spans="2:13">
      <c r="B4" s="6" t="s">
        <v>3</v>
      </c>
      <c r="C4" s="3" t="s">
        <v>4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ht="14.5" spans="2:13">
      <c r="B5" s="7" t="s">
        <v>5</v>
      </c>
      <c r="C5" s="3"/>
      <c r="D5" s="4"/>
      <c r="E5" s="5"/>
      <c r="F5" s="5"/>
      <c r="G5" s="5"/>
      <c r="H5" s="5"/>
      <c r="I5" s="5"/>
      <c r="J5" s="5"/>
      <c r="K5" s="5"/>
      <c r="L5" s="5"/>
      <c r="M5" s="5"/>
    </row>
    <row r="6" ht="14.5" spans="2:13">
      <c r="B6" s="8"/>
      <c r="C6" s="8"/>
      <c r="D6" s="9"/>
      <c r="E6" s="8"/>
      <c r="F6" s="8"/>
      <c r="G6" s="8"/>
      <c r="H6" s="8"/>
      <c r="I6" s="8"/>
      <c r="J6" s="8"/>
      <c r="K6" s="8"/>
      <c r="L6" s="8"/>
      <c r="M6" s="8"/>
    </row>
    <row r="7" ht="14.5" spans="2:13">
      <c r="B7" s="10" t="s">
        <v>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ht="14.5" spans="2:13">
      <c r="B8" s="10"/>
      <c r="C8" s="10"/>
      <c r="D8" s="10"/>
      <c r="E8" s="10" t="s">
        <v>7</v>
      </c>
      <c r="F8" s="10"/>
      <c r="G8" s="10"/>
      <c r="H8" s="10"/>
      <c r="I8" s="10" t="s">
        <v>8</v>
      </c>
      <c r="J8" s="10"/>
      <c r="K8" s="10"/>
      <c r="L8" s="10"/>
      <c r="M8" s="10" t="s">
        <v>9</v>
      </c>
    </row>
    <row r="9" ht="14.5" spans="2:13">
      <c r="B9" s="10"/>
      <c r="C9" s="10"/>
      <c r="D9" s="10"/>
      <c r="E9" s="10" t="s">
        <v>10</v>
      </c>
      <c r="F9" s="10"/>
      <c r="G9" s="10" t="s">
        <v>11</v>
      </c>
      <c r="H9" s="10"/>
      <c r="I9" s="10" t="s">
        <v>10</v>
      </c>
      <c r="J9" s="10"/>
      <c r="K9" s="10" t="s">
        <v>11</v>
      </c>
      <c r="L9" s="10"/>
      <c r="M9" s="10"/>
    </row>
    <row r="10" ht="14.5" spans="2:13">
      <c r="B10" s="11" t="s">
        <v>12</v>
      </c>
      <c r="C10" s="10"/>
      <c r="D10" s="11" t="s">
        <v>13</v>
      </c>
      <c r="E10" s="11" t="s">
        <v>14</v>
      </c>
      <c r="F10" s="11" t="s">
        <v>15</v>
      </c>
      <c r="G10" s="11" t="s">
        <v>14</v>
      </c>
      <c r="H10" s="11" t="s">
        <v>15</v>
      </c>
      <c r="I10" s="11" t="s">
        <v>14</v>
      </c>
      <c r="J10" s="11" t="s">
        <v>15</v>
      </c>
      <c r="K10" s="10" t="s">
        <v>14</v>
      </c>
      <c r="L10" s="11" t="s">
        <v>15</v>
      </c>
      <c r="M10" s="10"/>
    </row>
    <row r="11" ht="14.5" spans="2:13">
      <c r="B11" s="12">
        <v>14</v>
      </c>
      <c r="C11" s="11"/>
      <c r="D11" s="11" t="s">
        <v>16</v>
      </c>
      <c r="E11" s="13">
        <f>SUM(E12:E15)</f>
        <v>0</v>
      </c>
      <c r="F11" s="13">
        <f>SUM(F12:F15)</f>
        <v>0</v>
      </c>
      <c r="G11" s="13">
        <f t="shared" ref="G11:M11" si="0">SUM(G12:G15)</f>
        <v>0</v>
      </c>
      <c r="H11" s="13">
        <f t="shared" si="0"/>
        <v>0</v>
      </c>
      <c r="I11" s="13">
        <f t="shared" si="0"/>
        <v>0</v>
      </c>
      <c r="J11" s="13">
        <f t="shared" si="0"/>
        <v>0</v>
      </c>
      <c r="K11" s="13">
        <f t="shared" si="0"/>
        <v>0</v>
      </c>
      <c r="L11" s="13">
        <f t="shared" si="0"/>
        <v>0</v>
      </c>
      <c r="M11" s="13">
        <f t="shared" si="0"/>
        <v>0</v>
      </c>
    </row>
    <row r="12" ht="14.5" spans="2:13">
      <c r="B12" s="8"/>
      <c r="C12" s="14">
        <v>14.1</v>
      </c>
      <c r="D12" s="8" t="s">
        <v>17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3">
        <f>+F12+H12+J12+L12</f>
        <v>0</v>
      </c>
    </row>
    <row r="13" ht="14.5" spans="2:13">
      <c r="B13" s="8"/>
      <c r="C13" s="14">
        <v>14.2</v>
      </c>
      <c r="D13" s="8" t="s">
        <v>18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3">
        <f t="shared" ref="M13:M46" si="1">+F13+H13+J13+L13</f>
        <v>0</v>
      </c>
    </row>
    <row r="14" ht="14.5" spans="2:13">
      <c r="B14" s="8"/>
      <c r="C14" s="14">
        <v>14.3</v>
      </c>
      <c r="D14" s="8" t="s">
        <v>19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3">
        <f t="shared" si="1"/>
        <v>0</v>
      </c>
    </row>
    <row r="15" ht="14.5" spans="2:13">
      <c r="B15" s="8"/>
      <c r="C15" s="14">
        <v>14.4</v>
      </c>
      <c r="D15" s="8" t="s">
        <v>20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3">
        <f t="shared" si="1"/>
        <v>0</v>
      </c>
    </row>
    <row r="16" ht="14.5" spans="2:13">
      <c r="B16" s="12">
        <v>15</v>
      </c>
      <c r="C16" s="11"/>
      <c r="D16" s="11" t="s">
        <v>21</v>
      </c>
      <c r="E16" s="13">
        <f>SUM(E17:E20)</f>
        <v>0</v>
      </c>
      <c r="F16" s="13">
        <f t="shared" ref="F16:M16" si="2">SUM(F17:F20)</f>
        <v>0</v>
      </c>
      <c r="G16" s="13">
        <f t="shared" si="2"/>
        <v>0</v>
      </c>
      <c r="H16" s="13">
        <f t="shared" si="2"/>
        <v>0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0</v>
      </c>
    </row>
    <row r="17" ht="14.5" spans="2:13">
      <c r="B17" s="8"/>
      <c r="C17" s="14">
        <v>15.1</v>
      </c>
      <c r="D17" s="8" t="s">
        <v>17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3">
        <f t="shared" si="1"/>
        <v>0</v>
      </c>
    </row>
    <row r="18" ht="14.5" spans="2:13">
      <c r="B18" s="8"/>
      <c r="C18" s="14">
        <v>15.2</v>
      </c>
      <c r="D18" s="8" t="s">
        <v>18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3">
        <f t="shared" si="1"/>
        <v>0</v>
      </c>
    </row>
    <row r="19" ht="14.5" spans="2:13">
      <c r="B19" s="8"/>
      <c r="C19" s="14">
        <v>15.3</v>
      </c>
      <c r="D19" s="8" t="s">
        <v>19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3">
        <f t="shared" si="1"/>
        <v>0</v>
      </c>
    </row>
    <row r="20" ht="14.5" spans="2:13">
      <c r="B20" s="8"/>
      <c r="C20" s="14">
        <v>15.4</v>
      </c>
      <c r="D20" s="8" t="s">
        <v>20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3">
        <f t="shared" si="1"/>
        <v>0</v>
      </c>
    </row>
    <row r="21" ht="14.5" spans="2:13">
      <c r="B21" s="12">
        <v>16</v>
      </c>
      <c r="C21" s="11"/>
      <c r="D21" s="11" t="s">
        <v>22</v>
      </c>
      <c r="E21" s="13">
        <f>E22+E27</f>
        <v>0</v>
      </c>
      <c r="F21" s="13">
        <f t="shared" ref="F21:M21" si="3">F22+F27</f>
        <v>0</v>
      </c>
      <c r="G21" s="13">
        <f t="shared" si="3"/>
        <v>0</v>
      </c>
      <c r="H21" s="13">
        <f t="shared" si="3"/>
        <v>0</v>
      </c>
      <c r="I21" s="13">
        <f t="shared" si="3"/>
        <v>0</v>
      </c>
      <c r="J21" s="13">
        <f t="shared" si="3"/>
        <v>0</v>
      </c>
      <c r="K21" s="13">
        <f t="shared" si="3"/>
        <v>0</v>
      </c>
      <c r="L21" s="13">
        <f t="shared" si="3"/>
        <v>0</v>
      </c>
      <c r="M21" s="13">
        <f t="shared" si="3"/>
        <v>0</v>
      </c>
    </row>
    <row r="22" ht="14.5" spans="2:13">
      <c r="B22" s="8"/>
      <c r="C22" s="14">
        <v>16.1</v>
      </c>
      <c r="D22" s="8" t="s">
        <v>23</v>
      </c>
      <c r="E22" s="13">
        <f>SUM(E23:E26)</f>
        <v>0</v>
      </c>
      <c r="F22" s="13">
        <f t="shared" ref="F22:M22" si="4">SUM(F23:F26)</f>
        <v>0</v>
      </c>
      <c r="G22" s="13">
        <f t="shared" si="4"/>
        <v>0</v>
      </c>
      <c r="H22" s="13">
        <f t="shared" si="4"/>
        <v>0</v>
      </c>
      <c r="I22" s="13">
        <f t="shared" si="4"/>
        <v>0</v>
      </c>
      <c r="J22" s="13">
        <f t="shared" si="4"/>
        <v>0</v>
      </c>
      <c r="K22" s="13">
        <f t="shared" si="4"/>
        <v>0</v>
      </c>
      <c r="L22" s="13">
        <f t="shared" si="4"/>
        <v>0</v>
      </c>
      <c r="M22" s="13">
        <f t="shared" si="4"/>
        <v>0</v>
      </c>
    </row>
    <row r="23" ht="14.5" spans="2:13">
      <c r="B23" s="8"/>
      <c r="C23" s="16" t="s">
        <v>24</v>
      </c>
      <c r="D23" s="8" t="s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3">
        <f t="shared" si="1"/>
        <v>0</v>
      </c>
    </row>
    <row r="24" ht="14.5" spans="2:13">
      <c r="B24" s="8"/>
      <c r="C24" s="16" t="s">
        <v>25</v>
      </c>
      <c r="D24" s="8" t="s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3">
        <f t="shared" si="1"/>
        <v>0</v>
      </c>
    </row>
    <row r="25" ht="14.5" spans="2:13">
      <c r="B25" s="8"/>
      <c r="C25" s="16" t="s">
        <v>26</v>
      </c>
      <c r="D25" s="8" t="s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3">
        <f t="shared" si="1"/>
        <v>0</v>
      </c>
    </row>
    <row r="26" ht="14.5" spans="2:13">
      <c r="B26" s="8"/>
      <c r="C26" s="16" t="s">
        <v>27</v>
      </c>
      <c r="D26" s="8" t="s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3">
        <f t="shared" si="1"/>
        <v>0</v>
      </c>
    </row>
    <row r="27" ht="14.5" spans="2:13">
      <c r="B27" s="8"/>
      <c r="C27" s="14">
        <v>16.2</v>
      </c>
      <c r="D27" s="8" t="s">
        <v>28</v>
      </c>
      <c r="E27" s="13">
        <f>SUM(E28:E31)</f>
        <v>0</v>
      </c>
      <c r="F27" s="13">
        <f t="shared" ref="F27:M27" si="5">SUM(F28:F31)</f>
        <v>0</v>
      </c>
      <c r="G27" s="13">
        <f t="shared" si="5"/>
        <v>0</v>
      </c>
      <c r="H27" s="13">
        <f t="shared" si="5"/>
        <v>0</v>
      </c>
      <c r="I27" s="13">
        <f t="shared" si="5"/>
        <v>0</v>
      </c>
      <c r="J27" s="13">
        <f t="shared" si="5"/>
        <v>0</v>
      </c>
      <c r="K27" s="13">
        <f t="shared" si="5"/>
        <v>0</v>
      </c>
      <c r="L27" s="13">
        <f t="shared" si="5"/>
        <v>0</v>
      </c>
      <c r="M27" s="13">
        <f t="shared" si="5"/>
        <v>0</v>
      </c>
    </row>
    <row r="28" ht="14.5" spans="2:13">
      <c r="B28" s="8"/>
      <c r="C28" s="16" t="s">
        <v>29</v>
      </c>
      <c r="D28" s="8" t="s">
        <v>17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3">
        <f t="shared" si="1"/>
        <v>0</v>
      </c>
    </row>
    <row r="29" ht="14.5" spans="2:13">
      <c r="B29" s="8"/>
      <c r="C29" s="16" t="s">
        <v>30</v>
      </c>
      <c r="D29" s="8" t="s">
        <v>18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3">
        <f t="shared" si="1"/>
        <v>0</v>
      </c>
    </row>
    <row r="30" ht="14.5" spans="2:13">
      <c r="B30" s="8"/>
      <c r="C30" s="16" t="s">
        <v>31</v>
      </c>
      <c r="D30" s="8" t="s">
        <v>19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3">
        <f t="shared" si="1"/>
        <v>0</v>
      </c>
    </row>
    <row r="31" ht="14.5" spans="2:13">
      <c r="B31" s="8"/>
      <c r="C31" s="16" t="s">
        <v>32</v>
      </c>
      <c r="D31" s="8" t="s">
        <v>20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3">
        <f t="shared" si="1"/>
        <v>0</v>
      </c>
    </row>
    <row r="32" ht="14.5" spans="2:13">
      <c r="B32" s="12">
        <v>17</v>
      </c>
      <c r="C32" s="11"/>
      <c r="D32" s="11" t="s">
        <v>33</v>
      </c>
      <c r="E32" s="13">
        <f>SUM(E33:E36)</f>
        <v>0</v>
      </c>
      <c r="F32" s="13">
        <f t="shared" ref="F32:M32" si="6">SUM(F33:F36)</f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13">
        <f t="shared" si="6"/>
        <v>0</v>
      </c>
      <c r="M32" s="13">
        <f t="shared" si="6"/>
        <v>0</v>
      </c>
    </row>
    <row r="33" ht="14.5" spans="2:13">
      <c r="B33" s="8"/>
      <c r="C33" s="14">
        <v>17.1</v>
      </c>
      <c r="D33" s="8" t="s">
        <v>34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3">
        <f t="shared" si="1"/>
        <v>0</v>
      </c>
    </row>
    <row r="34" ht="14.5" spans="2:13">
      <c r="B34" s="8"/>
      <c r="C34" s="14">
        <v>17.2</v>
      </c>
      <c r="D34" s="8" t="s">
        <v>17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3">
        <f t="shared" si="1"/>
        <v>0</v>
      </c>
    </row>
    <row r="35" ht="14.5" spans="2:13">
      <c r="B35" s="8"/>
      <c r="C35" s="14">
        <v>17.3</v>
      </c>
      <c r="D35" s="8" t="s">
        <v>35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3">
        <f t="shared" si="1"/>
        <v>0</v>
      </c>
    </row>
    <row r="36" ht="14.5" spans="2:13">
      <c r="B36" s="8"/>
      <c r="C36" s="14">
        <v>17.4</v>
      </c>
      <c r="D36" s="8" t="s">
        <v>36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3">
        <f t="shared" si="1"/>
        <v>0</v>
      </c>
    </row>
    <row r="37" ht="14.5" spans="2:13">
      <c r="B37" s="12">
        <v>18</v>
      </c>
      <c r="C37" s="11"/>
      <c r="D37" s="11" t="s">
        <v>37</v>
      </c>
      <c r="E37" s="13">
        <f>+E38</f>
        <v>0</v>
      </c>
      <c r="F37" s="13">
        <f t="shared" ref="F37:M37" si="7">+F38</f>
        <v>0</v>
      </c>
      <c r="G37" s="13">
        <f t="shared" si="7"/>
        <v>0</v>
      </c>
      <c r="H37" s="13">
        <f t="shared" si="7"/>
        <v>0</v>
      </c>
      <c r="I37" s="13">
        <f t="shared" si="7"/>
        <v>0</v>
      </c>
      <c r="J37" s="13">
        <f t="shared" si="7"/>
        <v>0</v>
      </c>
      <c r="K37" s="13">
        <f t="shared" si="7"/>
        <v>0</v>
      </c>
      <c r="L37" s="13">
        <f t="shared" si="7"/>
        <v>0</v>
      </c>
      <c r="M37" s="13">
        <f t="shared" si="7"/>
        <v>0</v>
      </c>
    </row>
    <row r="38" ht="20" spans="2:13">
      <c r="B38" s="8"/>
      <c r="C38" s="14">
        <v>18.1</v>
      </c>
      <c r="D38" s="8" t="s">
        <v>38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3">
        <f t="shared" si="1"/>
        <v>0</v>
      </c>
    </row>
    <row r="39" ht="14.5" spans="2:13">
      <c r="B39" s="12">
        <v>19</v>
      </c>
      <c r="C39" s="11"/>
      <c r="D39" s="11" t="s">
        <v>39</v>
      </c>
      <c r="E39" s="18"/>
      <c r="F39" s="19">
        <v>0</v>
      </c>
      <c r="G39" s="20"/>
      <c r="H39" s="21">
        <v>0</v>
      </c>
      <c r="I39" s="26"/>
      <c r="J39" s="33">
        <v>0</v>
      </c>
      <c r="K39" s="20"/>
      <c r="L39" s="21">
        <v>0</v>
      </c>
      <c r="M39" s="13">
        <f t="shared" si="1"/>
        <v>0</v>
      </c>
    </row>
    <row r="40" ht="14.5" spans="2:13">
      <c r="B40" s="12">
        <v>20</v>
      </c>
      <c r="C40" s="11"/>
      <c r="D40" s="11" t="s">
        <v>40</v>
      </c>
      <c r="E40" s="18"/>
      <c r="F40" s="13">
        <f>SUM(F41:F43)</f>
        <v>0</v>
      </c>
      <c r="G40" s="13"/>
      <c r="H40" s="13">
        <f>SUM(H41:H43)</f>
        <v>0</v>
      </c>
      <c r="I40" s="13"/>
      <c r="J40" s="13">
        <f>SUM(J41:J43)</f>
        <v>0</v>
      </c>
      <c r="K40" s="13"/>
      <c r="L40" s="13">
        <f>SUM(L41:L43)</f>
        <v>0</v>
      </c>
      <c r="M40" s="13">
        <f>SUM(M41:M43)</f>
        <v>0</v>
      </c>
    </row>
    <row r="41" ht="14.5" spans="2:13">
      <c r="B41" s="8"/>
      <c r="C41" s="14">
        <v>20.1</v>
      </c>
      <c r="D41" s="8" t="s">
        <v>41</v>
      </c>
      <c r="E41" s="18"/>
      <c r="F41" s="22">
        <v>0</v>
      </c>
      <c r="G41" s="13"/>
      <c r="H41" s="22">
        <v>0</v>
      </c>
      <c r="I41" s="25"/>
      <c r="J41" s="22">
        <v>0</v>
      </c>
      <c r="K41" s="13"/>
      <c r="L41" s="22">
        <v>0</v>
      </c>
      <c r="M41" s="13">
        <f t="shared" si="1"/>
        <v>0</v>
      </c>
    </row>
    <row r="42" ht="14.5" spans="2:13">
      <c r="B42" s="8"/>
      <c r="C42" s="14">
        <v>20.2</v>
      </c>
      <c r="D42" s="8" t="s">
        <v>42</v>
      </c>
      <c r="E42" s="18"/>
      <c r="F42" s="22">
        <v>0</v>
      </c>
      <c r="G42" s="13"/>
      <c r="H42" s="22">
        <v>0</v>
      </c>
      <c r="I42" s="25"/>
      <c r="J42" s="22">
        <v>0</v>
      </c>
      <c r="K42" s="13"/>
      <c r="L42" s="22">
        <v>0</v>
      </c>
      <c r="M42" s="13">
        <f t="shared" si="1"/>
        <v>0</v>
      </c>
    </row>
    <row r="43" ht="14.5" spans="2:13">
      <c r="B43" s="8"/>
      <c r="C43" s="14">
        <v>20.3</v>
      </c>
      <c r="D43" s="8" t="s">
        <v>43</v>
      </c>
      <c r="E43" s="18"/>
      <c r="F43" s="22">
        <v>0</v>
      </c>
      <c r="G43" s="13"/>
      <c r="H43" s="22">
        <v>0</v>
      </c>
      <c r="I43" s="25"/>
      <c r="J43" s="22">
        <v>0</v>
      </c>
      <c r="K43" s="13"/>
      <c r="L43" s="22">
        <v>0</v>
      </c>
      <c r="M43" s="13">
        <f t="shared" si="1"/>
        <v>0</v>
      </c>
    </row>
    <row r="44" ht="20" spans="2:13">
      <c r="B44" s="12">
        <v>21</v>
      </c>
      <c r="C44" s="11"/>
      <c r="D44" s="11" t="s">
        <v>44</v>
      </c>
      <c r="E44" s="18"/>
      <c r="F44" s="13">
        <f>SUM(F45:F46)</f>
        <v>0</v>
      </c>
      <c r="G44" s="13"/>
      <c r="H44" s="13">
        <f>SUM(H45:H46)</f>
        <v>0</v>
      </c>
      <c r="I44" s="13"/>
      <c r="J44" s="13">
        <f>SUM(J45:J46)</f>
        <v>0</v>
      </c>
      <c r="K44" s="13"/>
      <c r="L44" s="13">
        <f>SUM(L45:L46)</f>
        <v>0</v>
      </c>
      <c r="M44" s="13">
        <f>SUM(M45:M46)</f>
        <v>0</v>
      </c>
    </row>
    <row r="45" ht="14.5" spans="2:13">
      <c r="B45" s="8"/>
      <c r="C45" s="14">
        <v>21.1</v>
      </c>
      <c r="D45" s="8" t="s">
        <v>45</v>
      </c>
      <c r="E45" s="18"/>
      <c r="F45" s="23">
        <f>0</f>
        <v>0</v>
      </c>
      <c r="G45" s="13"/>
      <c r="H45" s="23">
        <f>0</f>
        <v>0</v>
      </c>
      <c r="I45" s="25"/>
      <c r="J45" s="22">
        <v>0</v>
      </c>
      <c r="K45" s="13"/>
      <c r="L45" s="22">
        <v>0</v>
      </c>
      <c r="M45" s="13">
        <f t="shared" si="1"/>
        <v>0</v>
      </c>
    </row>
    <row r="46" ht="14.5" spans="2:13">
      <c r="B46" s="8"/>
      <c r="C46" s="14">
        <v>21.2</v>
      </c>
      <c r="D46" s="8" t="s">
        <v>46</v>
      </c>
      <c r="E46" s="18"/>
      <c r="F46" s="23">
        <f>0</f>
        <v>0</v>
      </c>
      <c r="G46" s="13"/>
      <c r="H46" s="23">
        <f>0</f>
        <v>0</v>
      </c>
      <c r="I46" s="25"/>
      <c r="J46" s="22">
        <v>0</v>
      </c>
      <c r="K46" s="13"/>
      <c r="L46" s="22">
        <v>0</v>
      </c>
      <c r="M46" s="13">
        <f t="shared" si="1"/>
        <v>0</v>
      </c>
    </row>
    <row r="47" ht="14.5" spans="2:13">
      <c r="B47" s="12">
        <v>22</v>
      </c>
      <c r="C47" s="11"/>
      <c r="D47" s="11" t="s">
        <v>47</v>
      </c>
      <c r="E47" s="18"/>
      <c r="F47" s="13">
        <f>SUM(F48:F51)</f>
        <v>0</v>
      </c>
      <c r="G47" s="13"/>
      <c r="H47" s="13">
        <f>SUM(H48:H51)</f>
        <v>0</v>
      </c>
      <c r="I47" s="13"/>
      <c r="J47" s="13">
        <f>SUM(J48:J51)</f>
        <v>0</v>
      </c>
      <c r="K47" s="13"/>
      <c r="L47" s="13">
        <f>SUM(L48:L51)</f>
        <v>0</v>
      </c>
      <c r="M47" s="13">
        <f>SUM(M48:M51)</f>
        <v>0</v>
      </c>
    </row>
    <row r="48" ht="20" spans="2:13">
      <c r="B48" s="8"/>
      <c r="C48" s="14">
        <v>22.1</v>
      </c>
      <c r="D48" s="8" t="s">
        <v>48</v>
      </c>
      <c r="E48" s="18"/>
      <c r="F48" s="15">
        <v>0</v>
      </c>
      <c r="G48" s="13"/>
      <c r="H48" s="15">
        <v>0</v>
      </c>
      <c r="I48" s="25"/>
      <c r="J48" s="15">
        <v>0</v>
      </c>
      <c r="K48" s="13"/>
      <c r="L48" s="15">
        <v>0</v>
      </c>
      <c r="M48" s="13">
        <f>+F48+H48+J48+L48</f>
        <v>0</v>
      </c>
    </row>
    <row r="49" ht="14.5" spans="2:13">
      <c r="B49" s="8"/>
      <c r="C49" s="14">
        <v>22.2</v>
      </c>
      <c r="D49" s="8" t="s">
        <v>49</v>
      </c>
      <c r="E49" s="18"/>
      <c r="F49" s="15">
        <v>0</v>
      </c>
      <c r="G49" s="24"/>
      <c r="H49" s="15">
        <v>0</v>
      </c>
      <c r="I49" s="25"/>
      <c r="J49" s="15">
        <v>0</v>
      </c>
      <c r="K49" s="13"/>
      <c r="L49" s="15">
        <v>0</v>
      </c>
      <c r="M49" s="13">
        <f>+F49+H49+J49+L49</f>
        <v>0</v>
      </c>
    </row>
    <row r="50" ht="14.5" spans="2:13">
      <c r="B50" s="8"/>
      <c r="C50" s="14">
        <v>22.3</v>
      </c>
      <c r="D50" s="8" t="s">
        <v>50</v>
      </c>
      <c r="E50" s="18"/>
      <c r="F50" s="15">
        <v>0</v>
      </c>
      <c r="G50" s="25"/>
      <c r="H50" s="15">
        <v>0</v>
      </c>
      <c r="I50" s="25"/>
      <c r="J50" s="15">
        <v>0</v>
      </c>
      <c r="K50" s="24"/>
      <c r="L50" s="15">
        <v>0</v>
      </c>
      <c r="M50" s="13">
        <f>+F50+H50+J50+L50</f>
        <v>0</v>
      </c>
    </row>
    <row r="51" ht="14.5" spans="2:13">
      <c r="B51" s="8"/>
      <c r="C51" s="14">
        <v>22.4</v>
      </c>
      <c r="D51" s="8" t="s">
        <v>36</v>
      </c>
      <c r="E51" s="18"/>
      <c r="F51" s="15">
        <v>0</v>
      </c>
      <c r="G51" s="25"/>
      <c r="H51" s="15">
        <v>0</v>
      </c>
      <c r="I51" s="25"/>
      <c r="J51" s="15">
        <v>0</v>
      </c>
      <c r="K51" s="25"/>
      <c r="L51" s="15">
        <v>0</v>
      </c>
      <c r="M51" s="13">
        <f>+F51+H51+J51+L51</f>
        <v>0</v>
      </c>
    </row>
    <row r="52" ht="14.5" spans="2:13">
      <c r="B52" s="12">
        <v>23</v>
      </c>
      <c r="C52" s="11"/>
      <c r="D52" s="11" t="s">
        <v>51</v>
      </c>
      <c r="E52" s="18"/>
      <c r="F52" s="13">
        <f>SUM(F53:F54)</f>
        <v>0</v>
      </c>
      <c r="G52" s="13"/>
      <c r="H52" s="13">
        <f>SUM(H53:H54)</f>
        <v>0</v>
      </c>
      <c r="I52" s="13"/>
      <c r="J52" s="13">
        <f>SUM(J53:J54)</f>
        <v>0</v>
      </c>
      <c r="K52" s="13"/>
      <c r="L52" s="13">
        <f>SUM(L53:L54)</f>
        <v>0</v>
      </c>
      <c r="M52" s="13">
        <f>SUM(M53:M54)</f>
        <v>0</v>
      </c>
    </row>
    <row r="53" ht="14.5" spans="2:13">
      <c r="B53" s="8"/>
      <c r="C53" s="14">
        <v>23.1</v>
      </c>
      <c r="D53" s="8" t="s">
        <v>52</v>
      </c>
      <c r="E53" s="18"/>
      <c r="F53" s="22">
        <v>0</v>
      </c>
      <c r="G53" s="26"/>
      <c r="H53" s="22">
        <v>0</v>
      </c>
      <c r="I53" s="26"/>
      <c r="J53" s="22">
        <v>0</v>
      </c>
      <c r="K53" s="26"/>
      <c r="L53" s="22">
        <v>0</v>
      </c>
      <c r="M53" s="13">
        <f>+F53+H53+J53+L53</f>
        <v>0</v>
      </c>
    </row>
    <row r="54" ht="14.5" spans="2:13">
      <c r="B54" s="8"/>
      <c r="C54" s="14">
        <v>23.2</v>
      </c>
      <c r="D54" s="8" t="s">
        <v>53</v>
      </c>
      <c r="E54" s="18"/>
      <c r="F54" s="22">
        <v>0</v>
      </c>
      <c r="G54" s="26"/>
      <c r="H54" s="22">
        <v>0</v>
      </c>
      <c r="I54" s="26"/>
      <c r="J54" s="22">
        <v>0</v>
      </c>
      <c r="K54" s="26"/>
      <c r="L54" s="22">
        <v>0</v>
      </c>
      <c r="M54" s="13">
        <f>+F54+H54+J54+L54</f>
        <v>0</v>
      </c>
    </row>
    <row r="55" ht="14.5" spans="2:13">
      <c r="B55" s="12">
        <v>24</v>
      </c>
      <c r="C55" s="11"/>
      <c r="D55" s="11" t="s">
        <v>54</v>
      </c>
      <c r="E55" s="27"/>
      <c r="F55" s="22">
        <v>0</v>
      </c>
      <c r="G55" s="26"/>
      <c r="H55" s="22">
        <v>0</v>
      </c>
      <c r="I55" s="26"/>
      <c r="J55" s="23">
        <f>0</f>
        <v>0</v>
      </c>
      <c r="K55" s="26"/>
      <c r="L55" s="23">
        <f>0</f>
        <v>0</v>
      </c>
      <c r="M55" s="13">
        <f>+F55+H55+J55+L55</f>
        <v>0</v>
      </c>
    </row>
    <row r="56" ht="14.5" spans="2:13">
      <c r="B56" s="12">
        <v>25</v>
      </c>
      <c r="C56" s="11"/>
      <c r="D56" s="11" t="s">
        <v>55</v>
      </c>
      <c r="E56" s="27"/>
      <c r="F56" s="13">
        <f>SUM(F57:F65)-F58</f>
        <v>0</v>
      </c>
      <c r="G56" s="13"/>
      <c r="H56" s="13">
        <f>SUM(H57:H65)-H58</f>
        <v>0</v>
      </c>
      <c r="I56" s="13"/>
      <c r="J56" s="13">
        <f>SUM(J57:J65)-J58</f>
        <v>0</v>
      </c>
      <c r="K56" s="13"/>
      <c r="L56" s="13">
        <f>SUM(L57:L65)-L58</f>
        <v>0</v>
      </c>
      <c r="M56" s="13">
        <f>SUM(M57:M65)-M58</f>
        <v>0</v>
      </c>
    </row>
    <row r="57" ht="14.5" spans="2:13">
      <c r="B57" s="8"/>
      <c r="C57" s="14">
        <v>25.1</v>
      </c>
      <c r="D57" s="28" t="s">
        <v>56</v>
      </c>
      <c r="E57" s="27"/>
      <c r="F57" s="21">
        <v>0</v>
      </c>
      <c r="G57" s="26"/>
      <c r="H57" s="21">
        <v>0</v>
      </c>
      <c r="I57" s="26"/>
      <c r="J57" s="21">
        <v>0</v>
      </c>
      <c r="K57" s="26"/>
      <c r="L57" s="21">
        <v>0</v>
      </c>
      <c r="M57" s="13">
        <f t="shared" ref="M57:M95" si="8">+F57+H57+J57+L57</f>
        <v>0</v>
      </c>
    </row>
    <row r="58" ht="14.5" spans="2:13">
      <c r="B58" s="8"/>
      <c r="C58" s="14">
        <v>25.2</v>
      </c>
      <c r="D58" s="8" t="s">
        <v>57</v>
      </c>
      <c r="E58" s="27"/>
      <c r="F58" s="13">
        <f>SUM(F59:F61)</f>
        <v>0</v>
      </c>
      <c r="G58" s="13"/>
      <c r="H58" s="13">
        <f>SUM(H59:H61)</f>
        <v>0</v>
      </c>
      <c r="I58" s="13"/>
      <c r="J58" s="13">
        <f>SUM(J59:J61)</f>
        <v>0</v>
      </c>
      <c r="K58" s="13"/>
      <c r="L58" s="13">
        <f>SUM(L59:L61)</f>
        <v>0</v>
      </c>
      <c r="M58" s="13">
        <f t="shared" si="8"/>
        <v>0</v>
      </c>
    </row>
    <row r="59" ht="14.5" spans="2:13">
      <c r="B59" s="8"/>
      <c r="C59" s="16" t="s">
        <v>58</v>
      </c>
      <c r="D59" s="29" t="s">
        <v>59</v>
      </c>
      <c r="E59" s="18"/>
      <c r="F59" s="15">
        <v>0</v>
      </c>
      <c r="G59" s="27"/>
      <c r="H59" s="15">
        <v>0</v>
      </c>
      <c r="I59" s="27"/>
      <c r="J59" s="15">
        <v>0</v>
      </c>
      <c r="K59" s="26"/>
      <c r="L59" s="15">
        <v>0</v>
      </c>
      <c r="M59" s="13">
        <f t="shared" si="8"/>
        <v>0</v>
      </c>
    </row>
    <row r="60" ht="20" spans="2:13">
      <c r="B60" s="8"/>
      <c r="C60" s="16" t="s">
        <v>60</v>
      </c>
      <c r="D60" s="30" t="s">
        <v>61</v>
      </c>
      <c r="E60" s="18"/>
      <c r="F60" s="15">
        <v>0</v>
      </c>
      <c r="G60" s="27"/>
      <c r="H60" s="15">
        <v>0</v>
      </c>
      <c r="I60" s="27"/>
      <c r="J60" s="15">
        <v>0</v>
      </c>
      <c r="K60" s="26"/>
      <c r="L60" s="15">
        <v>0</v>
      </c>
      <c r="M60" s="13">
        <f t="shared" si="8"/>
        <v>0</v>
      </c>
    </row>
    <row r="61" ht="20" spans="2:13">
      <c r="B61" s="8"/>
      <c r="C61" s="31" t="s">
        <v>62</v>
      </c>
      <c r="D61" s="30" t="s">
        <v>63</v>
      </c>
      <c r="E61" s="18"/>
      <c r="F61" s="15">
        <v>0</v>
      </c>
      <c r="G61" s="27"/>
      <c r="H61" s="15">
        <v>0</v>
      </c>
      <c r="I61" s="27"/>
      <c r="J61" s="15">
        <v>0</v>
      </c>
      <c r="K61" s="27"/>
      <c r="L61" s="15">
        <v>0</v>
      </c>
      <c r="M61" s="13">
        <f t="shared" si="8"/>
        <v>0</v>
      </c>
    </row>
    <row r="62" ht="14.5" spans="2:13">
      <c r="B62" s="8"/>
      <c r="C62" s="14">
        <v>25.3</v>
      </c>
      <c r="D62" s="8" t="s">
        <v>64</v>
      </c>
      <c r="E62" s="18"/>
      <c r="F62" s="15">
        <v>0</v>
      </c>
      <c r="G62" s="27"/>
      <c r="H62" s="15">
        <v>0</v>
      </c>
      <c r="I62" s="27"/>
      <c r="J62" s="15">
        <v>0</v>
      </c>
      <c r="K62" s="27"/>
      <c r="L62" s="15">
        <v>0</v>
      </c>
      <c r="M62" s="13">
        <f t="shared" si="8"/>
        <v>0</v>
      </c>
    </row>
    <row r="63" ht="14.5" spans="2:13">
      <c r="B63" s="8"/>
      <c r="C63" s="14">
        <v>25.4</v>
      </c>
      <c r="D63" s="8" t="s">
        <v>65</v>
      </c>
      <c r="E63" s="32"/>
      <c r="F63" s="15">
        <v>0</v>
      </c>
      <c r="G63" s="27"/>
      <c r="H63" s="15">
        <v>0</v>
      </c>
      <c r="I63" s="27"/>
      <c r="J63" s="15">
        <v>0</v>
      </c>
      <c r="K63" s="27"/>
      <c r="L63" s="15">
        <v>0</v>
      </c>
      <c r="M63" s="13">
        <f t="shared" si="8"/>
        <v>0</v>
      </c>
    </row>
    <row r="64" ht="14.5" spans="2:13">
      <c r="B64" s="8"/>
      <c r="C64" s="14">
        <v>25.5</v>
      </c>
      <c r="D64" s="8" t="s">
        <v>66</v>
      </c>
      <c r="E64" s="18"/>
      <c r="F64" s="15">
        <v>0</v>
      </c>
      <c r="G64" s="27"/>
      <c r="H64" s="15">
        <v>0</v>
      </c>
      <c r="I64" s="27"/>
      <c r="J64" s="34">
        <v>0</v>
      </c>
      <c r="K64" s="27"/>
      <c r="L64" s="34">
        <v>0</v>
      </c>
      <c r="M64" s="13">
        <f t="shared" si="8"/>
        <v>0</v>
      </c>
    </row>
    <row r="65" ht="14.5" spans="2:13">
      <c r="B65" s="8"/>
      <c r="C65" s="14">
        <v>25.6</v>
      </c>
      <c r="D65" s="8" t="s">
        <v>67</v>
      </c>
      <c r="E65" s="35"/>
      <c r="F65" s="15">
        <v>0</v>
      </c>
      <c r="G65" s="27"/>
      <c r="H65" s="15">
        <v>0</v>
      </c>
      <c r="I65" s="27"/>
      <c r="J65" s="34">
        <v>0</v>
      </c>
      <c r="K65" s="27"/>
      <c r="L65" s="34">
        <v>0</v>
      </c>
      <c r="M65" s="13">
        <f t="shared" si="8"/>
        <v>0</v>
      </c>
    </row>
    <row r="66" ht="14.5" spans="2:13">
      <c r="B66" s="12">
        <v>26</v>
      </c>
      <c r="C66" s="11"/>
      <c r="D66" s="11" t="s">
        <v>68</v>
      </c>
      <c r="E66" s="18"/>
      <c r="F66" s="13">
        <f>SUM(F67:F75)</f>
        <v>0</v>
      </c>
      <c r="G66" s="13"/>
      <c r="H66" s="13">
        <f>SUM(H67:H75)</f>
        <v>0</v>
      </c>
      <c r="I66" s="13"/>
      <c r="J66" s="13">
        <f>SUM(J67:J75)</f>
        <v>0</v>
      </c>
      <c r="K66" s="13"/>
      <c r="L66" s="13">
        <f>SUM(L67:L75)</f>
        <v>0</v>
      </c>
      <c r="M66" s="13">
        <f t="shared" si="8"/>
        <v>0</v>
      </c>
    </row>
    <row r="67" ht="14.5" spans="2:13">
      <c r="B67" s="8"/>
      <c r="C67" s="14">
        <v>26.1</v>
      </c>
      <c r="D67" s="8" t="s">
        <v>69</v>
      </c>
      <c r="E67" s="18"/>
      <c r="F67" s="36">
        <v>0</v>
      </c>
      <c r="G67" s="37"/>
      <c r="H67" s="36">
        <v>0</v>
      </c>
      <c r="I67" s="37"/>
      <c r="J67" s="36">
        <v>0</v>
      </c>
      <c r="K67" s="37"/>
      <c r="L67" s="36">
        <v>0</v>
      </c>
      <c r="M67" s="13">
        <f t="shared" si="8"/>
        <v>0</v>
      </c>
    </row>
    <row r="68" ht="14.5" spans="2:13">
      <c r="B68" s="8"/>
      <c r="C68" s="14">
        <v>26.2</v>
      </c>
      <c r="D68" s="8" t="s">
        <v>70</v>
      </c>
      <c r="E68" s="18"/>
      <c r="F68" s="36">
        <v>0</v>
      </c>
      <c r="G68" s="37"/>
      <c r="H68" s="36">
        <v>0</v>
      </c>
      <c r="I68" s="37"/>
      <c r="J68" s="36">
        <v>0</v>
      </c>
      <c r="K68" s="37"/>
      <c r="L68" s="36">
        <v>0</v>
      </c>
      <c r="M68" s="13">
        <f t="shared" si="8"/>
        <v>0</v>
      </c>
    </row>
    <row r="69" ht="14.5" spans="2:13">
      <c r="B69" s="8"/>
      <c r="C69" s="14">
        <v>26.3</v>
      </c>
      <c r="D69" s="8" t="s">
        <v>71</v>
      </c>
      <c r="E69" s="38"/>
      <c r="F69" s="36">
        <v>0</v>
      </c>
      <c r="G69" s="39"/>
      <c r="H69" s="36">
        <v>0</v>
      </c>
      <c r="I69" s="39"/>
      <c r="J69" s="36">
        <v>0</v>
      </c>
      <c r="K69" s="39"/>
      <c r="L69" s="36">
        <v>0</v>
      </c>
      <c r="M69" s="13">
        <f t="shared" si="8"/>
        <v>0</v>
      </c>
    </row>
    <row r="70" ht="14.5" spans="2:13">
      <c r="B70" s="8"/>
      <c r="C70" s="14">
        <v>26.4</v>
      </c>
      <c r="D70" s="8" t="s">
        <v>72</v>
      </c>
      <c r="E70" s="40"/>
      <c r="F70" s="15">
        <v>0</v>
      </c>
      <c r="G70" s="41"/>
      <c r="H70" s="15">
        <v>0</v>
      </c>
      <c r="I70" s="41"/>
      <c r="J70" s="15">
        <v>0</v>
      </c>
      <c r="K70" s="37"/>
      <c r="L70" s="15">
        <v>0</v>
      </c>
      <c r="M70" s="13">
        <f t="shared" si="8"/>
        <v>0</v>
      </c>
    </row>
    <row r="71" ht="14.5" spans="2:13">
      <c r="B71" s="8"/>
      <c r="C71" s="14">
        <v>26.5</v>
      </c>
      <c r="D71" s="8" t="s">
        <v>73</v>
      </c>
      <c r="E71" s="40"/>
      <c r="F71" s="15">
        <v>0</v>
      </c>
      <c r="G71" s="41"/>
      <c r="H71" s="15">
        <v>0</v>
      </c>
      <c r="I71" s="41"/>
      <c r="J71" s="15">
        <v>0</v>
      </c>
      <c r="K71" s="41"/>
      <c r="L71" s="15">
        <v>0</v>
      </c>
      <c r="M71" s="13">
        <f t="shared" si="8"/>
        <v>0</v>
      </c>
    </row>
    <row r="72" ht="14.5" spans="2:13">
      <c r="B72" s="8"/>
      <c r="C72" s="14">
        <v>26.6</v>
      </c>
      <c r="D72" s="8" t="s">
        <v>74</v>
      </c>
      <c r="E72" s="40"/>
      <c r="F72" s="42">
        <v>0</v>
      </c>
      <c r="G72" s="41"/>
      <c r="H72" s="42">
        <v>0</v>
      </c>
      <c r="I72" s="41"/>
      <c r="J72" s="42">
        <v>0</v>
      </c>
      <c r="K72" s="41"/>
      <c r="L72" s="42">
        <v>0</v>
      </c>
      <c r="M72" s="13">
        <f t="shared" si="8"/>
        <v>0</v>
      </c>
    </row>
    <row r="73" ht="14.5" spans="2:13">
      <c r="B73" s="8"/>
      <c r="C73" s="14">
        <v>26.7</v>
      </c>
      <c r="D73" s="8" t="s">
        <v>75</v>
      </c>
      <c r="E73" s="40"/>
      <c r="F73" s="42">
        <v>0</v>
      </c>
      <c r="G73" s="41"/>
      <c r="H73" s="42">
        <v>0</v>
      </c>
      <c r="I73" s="41"/>
      <c r="J73" s="42">
        <v>0</v>
      </c>
      <c r="K73" s="41"/>
      <c r="L73" s="42">
        <v>0</v>
      </c>
      <c r="M73" s="13">
        <f t="shared" si="8"/>
        <v>0</v>
      </c>
    </row>
    <row r="74" ht="14.5" spans="2:13">
      <c r="B74" s="8"/>
      <c r="C74" s="14">
        <v>26.8</v>
      </c>
      <c r="D74" s="8" t="s">
        <v>76</v>
      </c>
      <c r="E74" s="40"/>
      <c r="F74" s="42">
        <v>0</v>
      </c>
      <c r="G74" s="13"/>
      <c r="H74" s="42">
        <v>0</v>
      </c>
      <c r="I74" s="13"/>
      <c r="J74" s="42">
        <v>0</v>
      </c>
      <c r="K74" s="13"/>
      <c r="L74" s="42">
        <v>0</v>
      </c>
      <c r="M74" s="13">
        <f t="shared" si="8"/>
        <v>0</v>
      </c>
    </row>
    <row r="75" ht="14.5" spans="2:13">
      <c r="B75" s="8"/>
      <c r="C75" s="14">
        <v>26.9</v>
      </c>
      <c r="D75" s="8" t="s">
        <v>77</v>
      </c>
      <c r="E75" s="40"/>
      <c r="F75" s="43">
        <v>0</v>
      </c>
      <c r="G75" s="44"/>
      <c r="H75" s="43">
        <v>0</v>
      </c>
      <c r="I75" s="44"/>
      <c r="J75" s="43">
        <v>0</v>
      </c>
      <c r="K75" s="44"/>
      <c r="L75" s="43">
        <v>0</v>
      </c>
      <c r="M75" s="39">
        <f t="shared" si="8"/>
        <v>0</v>
      </c>
    </row>
    <row r="76" ht="14.5" spans="2:13">
      <c r="B76" s="12">
        <v>27</v>
      </c>
      <c r="C76" s="11"/>
      <c r="D76" s="11" t="s">
        <v>78</v>
      </c>
      <c r="E76" s="45"/>
      <c r="F76" s="13">
        <f>SUM(F77:F83)</f>
        <v>0</v>
      </c>
      <c r="G76" s="13"/>
      <c r="H76" s="13">
        <f>SUM(H77:H83)</f>
        <v>0</v>
      </c>
      <c r="I76" s="13"/>
      <c r="J76" s="13">
        <f>SUM(J77:J83)</f>
        <v>0</v>
      </c>
      <c r="K76" s="13"/>
      <c r="L76" s="13">
        <f>SUM(L77:L83)</f>
        <v>0</v>
      </c>
      <c r="M76" s="39">
        <f t="shared" si="8"/>
        <v>0</v>
      </c>
    </row>
    <row r="77" ht="14.5" spans="2:13">
      <c r="B77" s="8"/>
      <c r="C77" s="14">
        <v>27.1</v>
      </c>
      <c r="D77" s="8" t="s">
        <v>79</v>
      </c>
      <c r="E77" s="45"/>
      <c r="F77" s="15">
        <v>0</v>
      </c>
      <c r="G77" s="32"/>
      <c r="H77" s="15">
        <v>0</v>
      </c>
      <c r="I77" s="32"/>
      <c r="J77" s="15">
        <v>0</v>
      </c>
      <c r="K77" s="32"/>
      <c r="L77" s="15">
        <v>0</v>
      </c>
      <c r="M77" s="13">
        <f t="shared" si="8"/>
        <v>0</v>
      </c>
    </row>
    <row r="78" ht="14.5" spans="2:13">
      <c r="B78" s="8"/>
      <c r="C78" s="14">
        <v>27.2</v>
      </c>
      <c r="D78" s="8" t="s">
        <v>80</v>
      </c>
      <c r="E78" s="45"/>
      <c r="F78" s="15">
        <v>0</v>
      </c>
      <c r="G78" s="32"/>
      <c r="H78" s="15">
        <v>0</v>
      </c>
      <c r="I78" s="32"/>
      <c r="J78" s="15">
        <v>0</v>
      </c>
      <c r="K78" s="32"/>
      <c r="L78" s="15">
        <v>0</v>
      </c>
      <c r="M78" s="13">
        <f t="shared" si="8"/>
        <v>0</v>
      </c>
    </row>
    <row r="79" ht="20" spans="2:13">
      <c r="B79" s="8"/>
      <c r="C79" s="14">
        <v>27.3</v>
      </c>
      <c r="D79" s="8" t="s">
        <v>81</v>
      </c>
      <c r="E79" s="45"/>
      <c r="F79" s="15">
        <v>0</v>
      </c>
      <c r="G79" s="32"/>
      <c r="H79" s="15">
        <v>0</v>
      </c>
      <c r="I79" s="32"/>
      <c r="J79" s="15">
        <v>0</v>
      </c>
      <c r="K79" s="32"/>
      <c r="L79" s="15">
        <v>0</v>
      </c>
      <c r="M79" s="13">
        <f t="shared" si="8"/>
        <v>0</v>
      </c>
    </row>
    <row r="80" ht="14.5" spans="2:13">
      <c r="B80" s="8"/>
      <c r="C80" s="14">
        <v>27.4</v>
      </c>
      <c r="D80" s="8" t="s">
        <v>82</v>
      </c>
      <c r="E80" s="45"/>
      <c r="F80" s="15">
        <v>0</v>
      </c>
      <c r="G80" s="32"/>
      <c r="H80" s="15">
        <v>0</v>
      </c>
      <c r="I80" s="32"/>
      <c r="J80" s="15">
        <v>0</v>
      </c>
      <c r="K80" s="32"/>
      <c r="L80" s="15">
        <v>0</v>
      </c>
      <c r="M80" s="13">
        <f t="shared" si="8"/>
        <v>0</v>
      </c>
    </row>
    <row r="81" ht="14.5" spans="2:13">
      <c r="B81" s="8"/>
      <c r="C81" s="14">
        <v>27.5</v>
      </c>
      <c r="D81" s="8" t="s">
        <v>83</v>
      </c>
      <c r="E81" s="18"/>
      <c r="F81" s="22">
        <v>0</v>
      </c>
      <c r="G81" s="32"/>
      <c r="H81" s="22">
        <v>0</v>
      </c>
      <c r="I81" s="32"/>
      <c r="J81" s="22">
        <v>0</v>
      </c>
      <c r="K81" s="32"/>
      <c r="L81" s="22">
        <v>0</v>
      </c>
      <c r="M81" s="13">
        <f t="shared" si="8"/>
        <v>0</v>
      </c>
    </row>
    <row r="82" ht="14.5" spans="2:13">
      <c r="B82" s="8"/>
      <c r="C82" s="14">
        <v>27.6</v>
      </c>
      <c r="D82" s="8" t="s">
        <v>84</v>
      </c>
      <c r="E82" s="18"/>
      <c r="F82" s="22">
        <v>0</v>
      </c>
      <c r="G82" s="32"/>
      <c r="H82" s="22">
        <v>0</v>
      </c>
      <c r="I82" s="32"/>
      <c r="J82" s="22">
        <v>0</v>
      </c>
      <c r="K82" s="32"/>
      <c r="L82" s="22">
        <v>0</v>
      </c>
      <c r="M82" s="13">
        <f t="shared" si="8"/>
        <v>0</v>
      </c>
    </row>
    <row r="83" ht="14.5" spans="2:13">
      <c r="B83" s="8"/>
      <c r="C83" s="14">
        <v>27.7</v>
      </c>
      <c r="D83" s="8" t="s">
        <v>85</v>
      </c>
      <c r="E83" s="32"/>
      <c r="F83" s="22">
        <v>0</v>
      </c>
      <c r="G83" s="32"/>
      <c r="H83" s="22">
        <v>0</v>
      </c>
      <c r="I83" s="32"/>
      <c r="J83" s="22">
        <v>0</v>
      </c>
      <c r="K83" s="32"/>
      <c r="L83" s="22">
        <v>0</v>
      </c>
      <c r="M83" s="13">
        <f t="shared" si="8"/>
        <v>0</v>
      </c>
    </row>
    <row r="84" ht="14.5" spans="2:13">
      <c r="B84" s="12">
        <v>28</v>
      </c>
      <c r="C84" s="11"/>
      <c r="D84" s="11" t="s">
        <v>86</v>
      </c>
      <c r="E84" s="18"/>
      <c r="F84" s="13">
        <f>+F85+F88+F95</f>
        <v>0</v>
      </c>
      <c r="G84" s="13"/>
      <c r="H84" s="13">
        <f>+H85+H88+H95</f>
        <v>0</v>
      </c>
      <c r="I84" s="13"/>
      <c r="J84" s="13">
        <f>+J85+J88+J95</f>
        <v>0</v>
      </c>
      <c r="K84" s="13"/>
      <c r="L84" s="13">
        <f>+L85+L88+L95</f>
        <v>0</v>
      </c>
      <c r="M84" s="13">
        <f t="shared" si="8"/>
        <v>0</v>
      </c>
    </row>
    <row r="85" ht="14.5" spans="2:13">
      <c r="B85" s="8"/>
      <c r="C85" s="14">
        <v>28.1</v>
      </c>
      <c r="D85" s="8" t="s">
        <v>87</v>
      </c>
      <c r="E85" s="18"/>
      <c r="F85" s="13">
        <f>SUM(F86:F87)</f>
        <v>0</v>
      </c>
      <c r="G85" s="13"/>
      <c r="H85" s="13">
        <f>SUM(H86:H87)</f>
        <v>0</v>
      </c>
      <c r="I85" s="13"/>
      <c r="J85" s="13">
        <f>SUM(J86:J87)</f>
        <v>0</v>
      </c>
      <c r="K85" s="13"/>
      <c r="L85" s="13">
        <f>SUM(L86:L87)</f>
        <v>0</v>
      </c>
      <c r="M85" s="13">
        <f t="shared" si="8"/>
        <v>0</v>
      </c>
    </row>
    <row r="86" ht="14.5" spans="2:13">
      <c r="B86" s="8"/>
      <c r="C86" s="16" t="s">
        <v>88</v>
      </c>
      <c r="D86" s="8" t="s">
        <v>89</v>
      </c>
      <c r="E86" s="35"/>
      <c r="F86" s="42">
        <v>0</v>
      </c>
      <c r="G86" s="41"/>
      <c r="H86" s="42">
        <v>0</v>
      </c>
      <c r="I86" s="41"/>
      <c r="J86" s="42">
        <v>0</v>
      </c>
      <c r="K86" s="41"/>
      <c r="L86" s="42">
        <v>0</v>
      </c>
      <c r="M86" s="13">
        <f t="shared" si="8"/>
        <v>0</v>
      </c>
    </row>
    <row r="87" ht="14.5" spans="2:13">
      <c r="B87" s="8"/>
      <c r="C87" s="16" t="s">
        <v>90</v>
      </c>
      <c r="D87" s="8" t="s">
        <v>91</v>
      </c>
      <c r="E87" s="18"/>
      <c r="F87" s="42">
        <v>0</v>
      </c>
      <c r="G87" s="41"/>
      <c r="H87" s="42">
        <v>0</v>
      </c>
      <c r="I87" s="41"/>
      <c r="J87" s="42">
        <v>0</v>
      </c>
      <c r="K87" s="41"/>
      <c r="L87" s="42">
        <v>0</v>
      </c>
      <c r="M87" s="13">
        <f t="shared" si="8"/>
        <v>0</v>
      </c>
    </row>
    <row r="88" ht="14.5" spans="2:13">
      <c r="B88" s="8"/>
      <c r="C88" s="14">
        <v>28.2</v>
      </c>
      <c r="D88" s="8" t="s">
        <v>92</v>
      </c>
      <c r="E88" s="46"/>
      <c r="F88" s="13">
        <f>SUM(F89:F94)</f>
        <v>0</v>
      </c>
      <c r="G88" s="13"/>
      <c r="H88" s="13">
        <f>SUM(H89:H94)</f>
        <v>0</v>
      </c>
      <c r="I88" s="13"/>
      <c r="J88" s="13">
        <f>SUM(J89:J94)</f>
        <v>0</v>
      </c>
      <c r="K88" s="13"/>
      <c r="L88" s="13">
        <f>SUM(L89:L94)</f>
        <v>0</v>
      </c>
      <c r="M88" s="13">
        <f t="shared" si="8"/>
        <v>0</v>
      </c>
    </row>
    <row r="89" ht="14.5" spans="2:13">
      <c r="B89" s="8"/>
      <c r="C89" s="16" t="s">
        <v>93</v>
      </c>
      <c r="D89" s="8" t="s">
        <v>94</v>
      </c>
      <c r="E89" s="32"/>
      <c r="F89" s="15">
        <v>0</v>
      </c>
      <c r="G89" s="32"/>
      <c r="H89" s="15">
        <v>0</v>
      </c>
      <c r="I89" s="32"/>
      <c r="J89" s="15">
        <v>0</v>
      </c>
      <c r="K89" s="32"/>
      <c r="L89" s="15">
        <v>0</v>
      </c>
      <c r="M89" s="13">
        <f t="shared" si="8"/>
        <v>0</v>
      </c>
    </row>
    <row r="90" ht="14.5" spans="2:13">
      <c r="B90" s="8"/>
      <c r="C90" s="16" t="s">
        <v>95</v>
      </c>
      <c r="D90" s="8" t="s">
        <v>96</v>
      </c>
      <c r="E90" s="32"/>
      <c r="F90" s="15">
        <v>0</v>
      </c>
      <c r="G90" s="32"/>
      <c r="H90" s="15">
        <v>0</v>
      </c>
      <c r="I90" s="32"/>
      <c r="J90" s="15">
        <v>0</v>
      </c>
      <c r="K90" s="32"/>
      <c r="L90" s="15">
        <v>0</v>
      </c>
      <c r="M90" s="13">
        <f t="shared" si="8"/>
        <v>0</v>
      </c>
    </row>
    <row r="91" ht="14.5" spans="2:13">
      <c r="B91" s="8"/>
      <c r="C91" s="16" t="s">
        <v>97</v>
      </c>
      <c r="D91" s="8" t="s">
        <v>98</v>
      </c>
      <c r="E91" s="32"/>
      <c r="F91" s="15">
        <v>0</v>
      </c>
      <c r="G91" s="32"/>
      <c r="H91" s="15">
        <v>0</v>
      </c>
      <c r="I91" s="32"/>
      <c r="J91" s="15">
        <v>0</v>
      </c>
      <c r="K91" s="32"/>
      <c r="L91" s="15">
        <v>0</v>
      </c>
      <c r="M91" s="13">
        <f t="shared" si="8"/>
        <v>0</v>
      </c>
    </row>
    <row r="92" ht="14.5" spans="2:13">
      <c r="B92" s="8"/>
      <c r="C92" s="16" t="s">
        <v>99</v>
      </c>
      <c r="D92" s="28" t="s">
        <v>100</v>
      </c>
      <c r="E92" s="32"/>
      <c r="F92" s="15">
        <v>0</v>
      </c>
      <c r="G92" s="32"/>
      <c r="H92" s="15">
        <v>0</v>
      </c>
      <c r="I92" s="32"/>
      <c r="J92" s="15">
        <v>0</v>
      </c>
      <c r="K92" s="32"/>
      <c r="L92" s="15">
        <v>0</v>
      </c>
      <c r="M92" s="13">
        <f t="shared" si="8"/>
        <v>0</v>
      </c>
    </row>
    <row r="93" ht="14.5" spans="2:13">
      <c r="B93" s="8"/>
      <c r="C93" s="31" t="s">
        <v>101</v>
      </c>
      <c r="D93" s="8" t="s">
        <v>102</v>
      </c>
      <c r="E93" s="32"/>
      <c r="F93" s="22">
        <v>0</v>
      </c>
      <c r="G93" s="32"/>
      <c r="H93" s="22">
        <v>0</v>
      </c>
      <c r="I93" s="32"/>
      <c r="J93" s="22">
        <v>0</v>
      </c>
      <c r="K93" s="32"/>
      <c r="L93" s="22">
        <v>0</v>
      </c>
      <c r="M93" s="13">
        <f t="shared" si="8"/>
        <v>0</v>
      </c>
    </row>
    <row r="94" ht="14.5" spans="2:13">
      <c r="B94" s="8"/>
      <c r="C94" s="31" t="s">
        <v>103</v>
      </c>
      <c r="D94" s="8" t="s">
        <v>104</v>
      </c>
      <c r="E94" s="32"/>
      <c r="F94" s="22">
        <v>0</v>
      </c>
      <c r="G94" s="32"/>
      <c r="H94" s="22">
        <v>0</v>
      </c>
      <c r="I94" s="32"/>
      <c r="J94" s="22">
        <v>0</v>
      </c>
      <c r="K94" s="32"/>
      <c r="L94" s="22">
        <v>0</v>
      </c>
      <c r="M94" s="13">
        <f t="shared" si="8"/>
        <v>0</v>
      </c>
    </row>
    <row r="95" ht="14.5" spans="2:13">
      <c r="B95" s="8"/>
      <c r="C95" s="14">
        <v>28.3</v>
      </c>
      <c r="D95" s="8" t="s">
        <v>105</v>
      </c>
      <c r="E95" s="32"/>
      <c r="F95" s="22">
        <v>0</v>
      </c>
      <c r="G95" s="32"/>
      <c r="H95" s="22">
        <v>0</v>
      </c>
      <c r="I95" s="32"/>
      <c r="J95" s="22">
        <v>0</v>
      </c>
      <c r="K95" s="32"/>
      <c r="L95" s="22">
        <v>0</v>
      </c>
      <c r="M95" s="13">
        <f t="shared" si="8"/>
        <v>0</v>
      </c>
    </row>
    <row r="96" ht="14.5" spans="2:13">
      <c r="B96" s="12">
        <v>29</v>
      </c>
      <c r="C96" s="11"/>
      <c r="D96" s="11" t="s">
        <v>106</v>
      </c>
      <c r="E96" s="32"/>
      <c r="F96" s="13">
        <f>+F84+F76+F66+F56+F55+F52+F47+F44+F40+F39+F37+F32+F21+F16+F11</f>
        <v>0</v>
      </c>
      <c r="G96" s="13"/>
      <c r="H96" s="13">
        <f>+H84+H76+H66+H56+H55+H52+H47+H44+H40+H39+H37+H32+H21+H16+H11</f>
        <v>0</v>
      </c>
      <c r="I96" s="13"/>
      <c r="J96" s="13">
        <f>+J84+J76+J66+J56+J55+J52+J47+J44+J40+J39+J37+J32+J21+J16+J11</f>
        <v>0</v>
      </c>
      <c r="K96" s="13"/>
      <c r="L96" s="13">
        <f>+L84+L76+L66+L56+L55+L52+L47+L44+L40+L39+L37+L32+L21+L16+L11</f>
        <v>0</v>
      </c>
      <c r="M96" s="13">
        <f>+M84+M76+M66+M56+M55+M52+M47+M44+M40+M39+M37+M32+M21+M16+M11</f>
        <v>0</v>
      </c>
    </row>
    <row r="97" ht="14.5" spans="2:13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ht="14.5" spans="2:13">
      <c r="B98" s="8"/>
      <c r="C98" s="8"/>
      <c r="D98" s="8" t="s">
        <v>107</v>
      </c>
      <c r="E98" s="8"/>
      <c r="F98" s="8"/>
      <c r="G98" s="8"/>
      <c r="H98" s="8"/>
      <c r="I98" s="8"/>
      <c r="J98" s="8"/>
      <c r="K98" s="8"/>
      <c r="L98" s="8"/>
      <c r="M98" s="8"/>
    </row>
    <row r="99" ht="14.5" spans="2:13">
      <c r="B99" s="11"/>
      <c r="C99" s="11"/>
      <c r="D99" s="11"/>
      <c r="E99" s="10" t="s">
        <v>108</v>
      </c>
      <c r="F99" s="10" t="s">
        <v>109</v>
      </c>
      <c r="G99" s="10"/>
      <c r="H99" s="10"/>
      <c r="I99" s="10" t="s">
        <v>110</v>
      </c>
      <c r="J99" s="10" t="s">
        <v>111</v>
      </c>
      <c r="K99" s="10"/>
      <c r="L99" s="10"/>
      <c r="M99" s="10"/>
    </row>
    <row r="100" ht="50" spans="2:13">
      <c r="B100" s="11"/>
      <c r="C100" s="11"/>
      <c r="D100" s="11"/>
      <c r="E100" s="10"/>
      <c r="F100" s="47" t="s">
        <v>112</v>
      </c>
      <c r="G100" s="47" t="s">
        <v>113</v>
      </c>
      <c r="H100" s="47" t="s">
        <v>114</v>
      </c>
      <c r="I100" s="10"/>
      <c r="J100" s="10"/>
      <c r="K100" s="10"/>
      <c r="L100" s="10"/>
      <c r="M100" s="10"/>
    </row>
    <row r="101" ht="14.5" spans="2:13">
      <c r="B101" s="8"/>
      <c r="C101" s="8"/>
      <c r="D101" s="8" t="s">
        <v>115</v>
      </c>
      <c r="E101" s="48">
        <v>0</v>
      </c>
      <c r="F101" s="48">
        <v>0</v>
      </c>
      <c r="G101" s="48">
        <v>0</v>
      </c>
      <c r="H101" s="48">
        <v>0</v>
      </c>
      <c r="I101" s="48">
        <v>0</v>
      </c>
      <c r="J101" s="49">
        <f>SUM(E101:I101)</f>
        <v>0</v>
      </c>
      <c r="K101" s="57"/>
      <c r="L101" s="57"/>
      <c r="M101" s="57"/>
    </row>
    <row r="102" ht="14.5" spans="2:13">
      <c r="B102" s="8"/>
      <c r="C102" s="8"/>
      <c r="D102" s="8" t="s">
        <v>116</v>
      </c>
      <c r="E102" s="48">
        <v>0</v>
      </c>
      <c r="F102" s="48">
        <v>0</v>
      </c>
      <c r="G102" s="48">
        <v>0</v>
      </c>
      <c r="H102" s="48">
        <v>0</v>
      </c>
      <c r="I102" s="48">
        <v>0</v>
      </c>
      <c r="J102" s="49">
        <f>SUM(E102:I102)</f>
        <v>0</v>
      </c>
      <c r="K102" s="57"/>
      <c r="L102" s="57"/>
      <c r="M102" s="57"/>
    </row>
    <row r="103" ht="14.5" spans="2:13">
      <c r="B103" s="8"/>
      <c r="C103" s="8"/>
      <c r="D103" s="8" t="s">
        <v>117</v>
      </c>
      <c r="E103" s="48">
        <v>0</v>
      </c>
      <c r="F103" s="48">
        <v>0</v>
      </c>
      <c r="G103" s="48">
        <v>0</v>
      </c>
      <c r="H103" s="48">
        <v>0</v>
      </c>
      <c r="I103" s="48">
        <v>0</v>
      </c>
      <c r="J103" s="49">
        <f>SUM(E103:I103)</f>
        <v>0</v>
      </c>
      <c r="K103" s="57"/>
      <c r="L103" s="57"/>
      <c r="M103" s="57"/>
    </row>
    <row r="104" ht="14.5" spans="2:13">
      <c r="B104" s="8"/>
      <c r="C104" s="8"/>
      <c r="D104" s="8" t="s">
        <v>118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9">
        <f>SUM(E104:I104)</f>
        <v>0</v>
      </c>
      <c r="K104" s="57"/>
      <c r="L104" s="57"/>
      <c r="M104" s="57"/>
    </row>
    <row r="105" ht="14.5" spans="2:13">
      <c r="B105" s="8"/>
      <c r="C105" s="8"/>
      <c r="D105" s="8" t="s">
        <v>119</v>
      </c>
      <c r="E105" s="49">
        <f>SUM(E101:E102)-E103-E104</f>
        <v>0</v>
      </c>
      <c r="F105" s="49">
        <f>SUM(F101:F102)-F103-F104</f>
        <v>0</v>
      </c>
      <c r="G105" s="49">
        <f>SUM(G101:G102)-G103-G104</f>
        <v>0</v>
      </c>
      <c r="H105" s="49">
        <f>SUM(H101:H102)-H103-H104</f>
        <v>0</v>
      </c>
      <c r="I105" s="49">
        <f>SUM(I101:I102)-I103-I104</f>
        <v>0</v>
      </c>
      <c r="J105" s="49">
        <f>SUM(E105:I105)</f>
        <v>0</v>
      </c>
      <c r="K105" s="57"/>
      <c r="L105" s="57"/>
      <c r="M105" s="57"/>
    </row>
    <row r="106" ht="14.5" spans="2:13">
      <c r="B106" s="50" t="s">
        <v>120</v>
      </c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8"/>
    </row>
    <row r="107" ht="14.5" spans="2:13">
      <c r="B107" s="52" t="s">
        <v>121</v>
      </c>
      <c r="C107" s="28"/>
      <c r="D107" s="28"/>
      <c r="E107" s="53"/>
      <c r="F107" s="54"/>
      <c r="G107" s="54"/>
      <c r="H107" s="54"/>
      <c r="I107" s="54"/>
      <c r="J107" s="54"/>
      <c r="K107" s="57"/>
      <c r="L107" s="57"/>
      <c r="M107" s="57"/>
    </row>
    <row r="108" ht="14.5" spans="2:13">
      <c r="B108" s="28"/>
      <c r="C108" s="28"/>
      <c r="D108" s="28" t="s">
        <v>122</v>
      </c>
      <c r="E108" s="55">
        <v>0</v>
      </c>
      <c r="F108" s="54"/>
      <c r="G108" s="54"/>
      <c r="H108" s="54"/>
      <c r="I108" s="54"/>
      <c r="J108" s="54"/>
      <c r="K108" s="57"/>
      <c r="L108" s="57"/>
      <c r="M108" s="57"/>
    </row>
    <row r="109" ht="14.5" spans="2:13">
      <c r="B109" s="28"/>
      <c r="C109" s="28"/>
      <c r="D109" s="28" t="s">
        <v>123</v>
      </c>
      <c r="E109" s="55">
        <v>0</v>
      </c>
      <c r="F109" s="54"/>
      <c r="G109" s="54"/>
      <c r="H109" s="54"/>
      <c r="I109" s="54"/>
      <c r="J109" s="54"/>
      <c r="K109" s="57"/>
      <c r="L109" s="57"/>
      <c r="M109" s="57"/>
    </row>
    <row r="110" ht="14.5" spans="2:13">
      <c r="B110" s="28"/>
      <c r="C110" s="28"/>
      <c r="D110" s="28" t="s">
        <v>124</v>
      </c>
      <c r="E110" s="56">
        <f>SUM(E108:E109)</f>
        <v>0</v>
      </c>
      <c r="F110" s="54"/>
      <c r="G110" s="54"/>
      <c r="H110" s="54"/>
      <c r="I110" s="54"/>
      <c r="J110" s="54"/>
      <c r="K110" s="57"/>
      <c r="L110" s="57"/>
      <c r="M110" s="57"/>
    </row>
    <row r="111" ht="14.5" spans="2:13">
      <c r="B111" s="8"/>
      <c r="C111" s="8"/>
      <c r="D111" s="8" t="s">
        <v>125</v>
      </c>
      <c r="E111" s="8"/>
      <c r="F111" s="8"/>
      <c r="G111" s="8"/>
      <c r="H111" s="8"/>
      <c r="I111" s="8"/>
      <c r="J111" s="8"/>
      <c r="K111" s="8"/>
      <c r="L111" s="8"/>
      <c r="M111" s="8"/>
    </row>
    <row r="112" ht="14.5" spans="2:13">
      <c r="B112" s="8"/>
      <c r="C112" s="8"/>
      <c r="D112" s="8" t="s">
        <v>126</v>
      </c>
      <c r="E112" s="8"/>
      <c r="F112" s="8"/>
      <c r="G112" s="8"/>
      <c r="H112" s="8"/>
      <c r="I112" s="8"/>
      <c r="J112" s="8"/>
      <c r="K112" s="8"/>
      <c r="L112" s="8"/>
      <c r="M112" s="8"/>
    </row>
    <row r="113" ht="20" spans="2:13">
      <c r="B113" s="8"/>
      <c r="C113" s="8"/>
      <c r="D113" s="8" t="s">
        <v>127</v>
      </c>
      <c r="E113" s="8"/>
      <c r="F113" s="8"/>
      <c r="G113" s="8"/>
      <c r="H113" s="8"/>
      <c r="I113" s="8"/>
      <c r="J113" s="8"/>
      <c r="K113" s="8"/>
      <c r="L113" s="8"/>
      <c r="M113" s="8"/>
    </row>
    <row r="114" ht="14.5" spans="2:13">
      <c r="B114" s="8"/>
      <c r="C114" s="8"/>
      <c r="D114" s="8" t="s">
        <v>128</v>
      </c>
      <c r="E114" s="8"/>
      <c r="F114" s="8"/>
      <c r="G114" s="8"/>
      <c r="H114" s="8"/>
      <c r="I114" s="8"/>
      <c r="J114" s="8"/>
      <c r="K114" s="8"/>
      <c r="L114" s="8"/>
      <c r="M114" s="8"/>
    </row>
    <row r="115" ht="14.5"/>
    <row r="116" ht="14.5" hidden="1"/>
  </sheetData>
  <sheetProtection password="DE1B" sheet="1" objects="1" scenarios="1"/>
  <mergeCells count="22">
    <mergeCell ref="B2:M2"/>
    <mergeCell ref="C3:D3"/>
    <mergeCell ref="C4:D4"/>
    <mergeCell ref="C5:D5"/>
    <mergeCell ref="B6:M6"/>
    <mergeCell ref="B7:M7"/>
    <mergeCell ref="E8:H8"/>
    <mergeCell ref="I8:L8"/>
    <mergeCell ref="E9:F9"/>
    <mergeCell ref="G9:H9"/>
    <mergeCell ref="I9:J9"/>
    <mergeCell ref="K9:L9"/>
    <mergeCell ref="F99:H99"/>
    <mergeCell ref="B106:M106"/>
    <mergeCell ref="B114:C114"/>
    <mergeCell ref="E114:M114"/>
    <mergeCell ref="E99:E100"/>
    <mergeCell ref="I99:I100"/>
    <mergeCell ref="J99:J100"/>
    <mergeCell ref="M8:M10"/>
    <mergeCell ref="E3:M5"/>
    <mergeCell ref="B8:D9"/>
  </mergeCells>
  <dataValidations count="3">
    <dataValidation type="whole" operator="between" allowBlank="1" showInputMessage="1" showErrorMessage="1" error="Please input a valid data!" sqref="E39:E96 F87:F94 G39:G96 H87:H94 I39:I96 J87:J94 K39:K96 L87:M94">
      <formula1>-1000000000000</formula1>
      <formula2>1000000000000</formula2>
    </dataValidation>
    <dataValidation type="whole" operator="greaterThanOrEqual" allowBlank="1" showInputMessage="1" showErrorMessage="1" sqref="E108:E110">
      <formula1>0</formula1>
    </dataValidation>
    <dataValidation type="whole" operator="greaterThanOrEqual" allowBlank="1" showInputMessage="1" showErrorMessage="1" error="Please input a valid data!" sqref="F39:F86 F95:F96 H39:H86 H95:H96 J39:J86 J95:J96 E11:M38 L39:M86 L95:M96 E101:J105">
      <formula1>0</formula1>
    </dataValidation>
  </dataValidations>
  <pageMargins left="0.7" right="0.7" top="0.75" bottom="0.75" header="0.3" footer="0.3"/>
  <pageSetup paperSize="9" scale="60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2- LIAB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2018-12-06T10:16:51Z</dcterms:created>
  <dcterms:modified xsi:type="dcterms:W3CDTF">2024-02-22T05:47:18Z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28D7286B21B04BB8A512A7F5A20FBDB7_13</vt:lpwstr>
  </property>
  <property fmtid="{D5CDD505-2E9C-101B-9397-08002B2CF9AE}" pid="3" name="KSOProductBuildVer">
    <vt:lpwstr>1033-12.2.0.13431</vt:lpwstr>
  </property>
</Properties>
</file>