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4-INC STAT" sheetId="2" r:id="rId1"/>
  </sheets>
  <definedNames>
    <definedName name="_xlnm.Print_Area" localSheetId="0">'BRF 4-INC STAT'!$B$2:$E$76</definedName>
  </definedNames>
  <calcPr calcId="144525"/>
</workbook>
</file>

<file path=xl/sharedStrings.xml><?xml version="1.0" encoding="utf-8"?>
<sst xmlns="http://schemas.openxmlformats.org/spreadsheetml/2006/main" count="104" uniqueCount="100">
  <si>
    <t>BANKING AND MONETARY STATISTICS-  INCOME STATEMENT - BRF 4   (AED in 000)</t>
  </si>
  <si>
    <t>ID:</t>
  </si>
  <si>
    <t>2-4-1-0</t>
  </si>
  <si>
    <t>BANK</t>
  </si>
  <si>
    <t>Bank of Baroda</t>
  </si>
  <si>
    <t>As On</t>
  </si>
  <si>
    <t>No</t>
  </si>
  <si>
    <t>INCOME &amp; EXPENSE ITEMS</t>
  </si>
  <si>
    <t>Year to Date</t>
  </si>
  <si>
    <t xml:space="preserve"> </t>
  </si>
  <si>
    <t>INTEREST OR PROFIT INCOME EARNED FROM:</t>
  </si>
  <si>
    <t>Government &amp; public sector</t>
  </si>
  <si>
    <t>Private sector (corporate &amp; HNW customers)</t>
  </si>
  <si>
    <t>Loans to individuals</t>
  </si>
  <si>
    <t>1.3.1</t>
  </si>
  <si>
    <t>Personal consumer loans</t>
  </si>
  <si>
    <t>1.3.2</t>
  </si>
  <si>
    <t>Car loan</t>
  </si>
  <si>
    <t>1.3.3</t>
  </si>
  <si>
    <t>Overdraft</t>
  </si>
  <si>
    <t>1.3.4</t>
  </si>
  <si>
    <t>Credit card loan</t>
  </si>
  <si>
    <t>1.3.5</t>
  </si>
  <si>
    <t>Refinanced Government Housing Loans</t>
  </si>
  <si>
    <t>1.3.6</t>
  </si>
  <si>
    <t>Other Real  Estate/ housing loans</t>
  </si>
  <si>
    <t>1.3.7</t>
  </si>
  <si>
    <t>Loans against shares/for share trading</t>
  </si>
  <si>
    <t>1.3.8</t>
  </si>
  <si>
    <t>Other loans to individuals</t>
  </si>
  <si>
    <t>1.3.9</t>
  </si>
  <si>
    <t>Small business loans (upto AED 2 Mln)</t>
  </si>
  <si>
    <t>Financial Sector</t>
  </si>
  <si>
    <t>1.4.1</t>
  </si>
  <si>
    <t>Central Bank CDs</t>
  </si>
  <si>
    <t>1.4.2</t>
  </si>
  <si>
    <t>Interbank</t>
  </si>
  <si>
    <t>1.4.3</t>
  </si>
  <si>
    <t>Other non banking financial institutions</t>
  </si>
  <si>
    <t>Investment income</t>
  </si>
  <si>
    <t>Any other interest or profit income</t>
  </si>
  <si>
    <t>INTEREST AND ISLAMIC FINANCE EXPENSES PAID TO:</t>
  </si>
  <si>
    <t>Private sector (corporate)</t>
  </si>
  <si>
    <t>Individuals</t>
  </si>
  <si>
    <t>2.4.1</t>
  </si>
  <si>
    <t>Central Bank (CDs repoed, marginal lending facility &amp; overdraft)</t>
  </si>
  <si>
    <t>2.4.2</t>
  </si>
  <si>
    <t>2.4.4</t>
  </si>
  <si>
    <t>Capital market &amp; other borrowings</t>
  </si>
  <si>
    <t>NET INTEREST OR PROFIT INCOME (1 - 2)</t>
  </si>
  <si>
    <t>OTHER OPERATING INCOME</t>
  </si>
  <si>
    <t>Trading income (excluding derivatives)</t>
  </si>
  <si>
    <t>Derivatives Income</t>
  </si>
  <si>
    <t>4.2.1</t>
  </si>
  <si>
    <t>Foreign exchange contracts and options</t>
  </si>
  <si>
    <t>4.2.2</t>
  </si>
  <si>
    <t>Interest rates derivatives and financial futures</t>
  </si>
  <si>
    <t>4.2.3</t>
  </si>
  <si>
    <t>Credit &amp; commodity derivatives</t>
  </si>
  <si>
    <t>4.2.4</t>
  </si>
  <si>
    <t xml:space="preserve">Equity derivatives </t>
  </si>
  <si>
    <t>4.2.5</t>
  </si>
  <si>
    <t>Other derivatives</t>
  </si>
  <si>
    <t>L/C and Guarantees</t>
  </si>
  <si>
    <t>Property income -  revaluation / disposal gains / rental</t>
  </si>
  <si>
    <t>Fees &amp; Commissions on Retail loans</t>
  </si>
  <si>
    <t>Fees &amp; Commissions on Corporate loans</t>
  </si>
  <si>
    <t>Other fees/ income</t>
  </si>
  <si>
    <t>TOTAL OPERATING INCOME (3+4)</t>
  </si>
  <si>
    <t>OPERATING EXPENSES</t>
  </si>
  <si>
    <t>Staff expenses (excluding bonuses)</t>
  </si>
  <si>
    <t>Bonus expenses (including shares bonus)</t>
  </si>
  <si>
    <t>Premises Expenses</t>
  </si>
  <si>
    <t>IT Expenses (excluding IT outsourcing)</t>
  </si>
  <si>
    <t>Depreciation and Amortisation</t>
  </si>
  <si>
    <t>Outsourcing expenses</t>
  </si>
  <si>
    <t>6.6.1</t>
  </si>
  <si>
    <t>IT outsourcing expenses</t>
  </si>
  <si>
    <t>6.6.2</t>
  </si>
  <si>
    <t>Other outsourcing expenses</t>
  </si>
  <si>
    <t>Other</t>
  </si>
  <si>
    <t>OPERATING PROFIT BEFORE IMPAIRMENT (5-6)</t>
  </si>
  <si>
    <t>NET IMPAIRMENT CHARGE</t>
  </si>
  <si>
    <t>Specific provision for loans &amp; advances</t>
  </si>
  <si>
    <t>Collective provision</t>
  </si>
  <si>
    <t>8.2.1</t>
  </si>
  <si>
    <t>Collective impairment expected</t>
  </si>
  <si>
    <t>8.2.2</t>
  </si>
  <si>
    <t>Other unallocated provision for impaired assets</t>
  </si>
  <si>
    <t>8.2.3</t>
  </si>
  <si>
    <t>General Provision as per Circular 28/2010</t>
  </si>
  <si>
    <t>Bad Debts written off</t>
  </si>
  <si>
    <t>Recoveries and write backs</t>
  </si>
  <si>
    <t>Provision on investments (htm) and Impairment on non-financial assets</t>
  </si>
  <si>
    <t>Any other provision</t>
  </si>
  <si>
    <t>TAXATION</t>
  </si>
  <si>
    <t xml:space="preserve">NET PROFIT (+)/ LOSS (-)  (Carried to Item 28.2.7 of  BRF-2  LIAB)   </t>
  </si>
  <si>
    <t>OTHER COMPREHENSIVE INCOME (unrealised)</t>
  </si>
  <si>
    <t>TOTAL COMPREHENSIVE INCOME (10+11)</t>
  </si>
  <si>
    <t>FORM NO: BSD/BRF 4- INCOME STAT/MAR14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</si>
</sst>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2">
    <font>
      <sz val="11"/>
      <color theme="1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b/>
      <sz val="8"/>
      <color indexed="8"/>
      <name val="Calibri"/>
      <family val="2"/>
      <charset val="0"/>
    </font>
    <font>
      <sz val="8"/>
      <color indexed="10"/>
      <name val="Calibri"/>
      <family val="2"/>
      <charset val="0"/>
    </font>
    <font>
      <sz val="8"/>
      <color indexed="8"/>
      <name val="Calibri"/>
      <family val="2"/>
      <charset val="0"/>
    </font>
    <font>
      <b/>
      <sz val="11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10"/>
      <name val="Arial"/>
      <family val="2"/>
      <charset val="0"/>
    </font>
    <font>
      <sz val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5" borderId="5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9" applyNumberFormat="0" applyAlignment="0" applyProtection="0"/>
    <xf numFmtId="0" fontId="21" fillId="7" borderId="10" applyNumberFormat="0" applyAlignment="0" applyProtection="0"/>
    <xf numFmtId="0" fontId="22" fillId="7" borderId="9" applyNumberFormat="0" applyAlignment="0" applyProtection="0"/>
    <xf numFmtId="0" fontId="23" fillId="8" borderId="11" applyNumberFormat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9" fillId="34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" fillId="0" borderId="0"/>
    <xf numFmtId="9" fontId="30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49" applyFont="1" applyFill="1" applyBorder="1"/>
    <xf numFmtId="0" fontId="2" fillId="0" borderId="0" xfId="49" applyFont="1" applyFill="1" applyBorder="1"/>
    <xf numFmtId="0" fontId="2" fillId="2" borderId="0" xfId="49" applyFont="1" applyFill="1" applyBorder="1"/>
    <xf numFmtId="0" fontId="3" fillId="0" borderId="0" xfId="49" applyFont="1" applyFill="1" applyBorder="1"/>
    <xf numFmtId="0" fontId="4" fillId="0" borderId="0" xfId="49" applyFont="1" applyFill="1" applyBorder="1"/>
    <xf numFmtId="176" fontId="4" fillId="0" borderId="0" xfId="49" applyNumberFormat="1" applyFont="1" applyFill="1" applyBorder="1" applyAlignment="1">
      <alignment horizontal="right"/>
    </xf>
    <xf numFmtId="0" fontId="5" fillId="3" borderId="1" xfId="49" applyFont="1" applyFill="1" applyBorder="1" applyAlignment="1">
      <alignment horizontal="center"/>
    </xf>
    <xf numFmtId="0" fontId="5" fillId="3" borderId="2" xfId="49" applyFont="1" applyFill="1" applyBorder="1" applyAlignment="1">
      <alignment horizontal="center"/>
    </xf>
    <xf numFmtId="0" fontId="5" fillId="3" borderId="3" xfId="49" applyFont="1" applyFill="1" applyBorder="1" applyAlignment="1">
      <alignment horizontal="center"/>
    </xf>
    <xf numFmtId="0" fontId="6" fillId="3" borderId="4" xfId="49" applyFont="1" applyFill="1" applyBorder="1" applyAlignment="1" applyProtection="1"/>
    <xf numFmtId="15" fontId="7" fillId="0" borderId="4" xfId="50" applyNumberFormat="1" applyFont="1" applyFill="1" applyBorder="1" applyAlignment="1" applyProtection="1">
      <alignment horizontal="left"/>
    </xf>
    <xf numFmtId="0" fontId="7" fillId="0" borderId="3" xfId="49" applyFont="1" applyFill="1" applyBorder="1" applyAlignment="1"/>
    <xf numFmtId="15" fontId="8" fillId="3" borderId="4" xfId="50" applyNumberFormat="1" applyFont="1" applyFill="1" applyBorder="1" applyAlignment="1" applyProtection="1">
      <alignment horizontal="left"/>
    </xf>
    <xf numFmtId="0" fontId="8" fillId="3" borderId="4" xfId="50" applyFont="1" applyFill="1" applyBorder="1" applyProtection="1"/>
    <xf numFmtId="0" fontId="8" fillId="3" borderId="1" xfId="53" applyFont="1" applyFill="1" applyBorder="1" applyAlignment="1">
      <alignment horizontal="center"/>
    </xf>
    <xf numFmtId="0" fontId="7" fillId="3" borderId="2" xfId="49" applyFont="1" applyFill="1" applyBorder="1" applyAlignment="1"/>
    <xf numFmtId="0" fontId="7" fillId="3" borderId="3" xfId="49" applyFont="1" applyFill="1" applyBorder="1" applyAlignment="1"/>
    <xf numFmtId="0" fontId="8" fillId="3" borderId="4" xfId="50" applyFont="1" applyFill="1" applyBorder="1" applyAlignment="1" applyProtection="1">
      <alignment horizontal="left" wrapText="1"/>
    </xf>
    <xf numFmtId="0" fontId="6" fillId="3" borderId="4" xfId="49" applyFont="1" applyFill="1" applyBorder="1"/>
    <xf numFmtId="176" fontId="9" fillId="3" borderId="4" xfId="49" applyNumberFormat="1" applyFont="1" applyFill="1" applyBorder="1" applyAlignment="1">
      <alignment horizontal="right"/>
    </xf>
    <xf numFmtId="3" fontId="6" fillId="3" borderId="4" xfId="59" applyNumberFormat="1" applyFont="1" applyFill="1" applyBorder="1"/>
    <xf numFmtId="3" fontId="6" fillId="3" borderId="4" xfId="49" applyNumberFormat="1" applyFont="1" applyFill="1" applyBorder="1"/>
    <xf numFmtId="0" fontId="9" fillId="4" borderId="4" xfId="49" applyFont="1" applyFill="1" applyBorder="1"/>
    <xf numFmtId="176" fontId="9" fillId="0" borderId="4" xfId="49" applyNumberFormat="1" applyFont="1" applyFill="1" applyBorder="1" applyAlignment="1">
      <alignment horizontal="right"/>
    </xf>
    <xf numFmtId="3" fontId="9" fillId="0" borderId="4" xfId="59" applyNumberFormat="1" applyFont="1" applyFill="1" applyBorder="1"/>
    <xf numFmtId="3" fontId="6" fillId="0" borderId="4" xfId="49" applyNumberFormat="1" applyFont="1" applyFill="1" applyBorder="1" applyProtection="1">
      <protection locked="0"/>
    </xf>
    <xf numFmtId="0" fontId="9" fillId="3" borderId="4" xfId="49" applyFont="1" applyFill="1" applyBorder="1"/>
    <xf numFmtId="3" fontId="9" fillId="3" borderId="4" xfId="59" applyNumberFormat="1" applyFont="1" applyFill="1" applyBorder="1"/>
    <xf numFmtId="176" fontId="6" fillId="3" borderId="4" xfId="49" applyNumberFormat="1" applyFont="1" applyFill="1" applyBorder="1" applyAlignment="1">
      <alignment horizontal="right"/>
    </xf>
    <xf numFmtId="0" fontId="6" fillId="4" borderId="4" xfId="49" applyFont="1" applyFill="1" applyBorder="1"/>
    <xf numFmtId="0" fontId="9" fillId="0" borderId="4" xfId="49" applyFont="1" applyFill="1" applyBorder="1" applyAlignment="1">
      <alignment horizontal="right"/>
    </xf>
    <xf numFmtId="0" fontId="9" fillId="0" borderId="4" xfId="49" applyFont="1" applyFill="1" applyBorder="1"/>
    <xf numFmtId="3" fontId="8" fillId="3" borderId="4" xfId="49" applyNumberFormat="1" applyFont="1" applyFill="1" applyBorder="1"/>
    <xf numFmtId="0" fontId="9" fillId="0" borderId="4" xfId="52" applyFont="1" applyFill="1" applyBorder="1" applyAlignment="1">
      <alignment wrapText="1"/>
    </xf>
    <xf numFmtId="0" fontId="10" fillId="4" borderId="4" xfId="49" applyFont="1" applyFill="1" applyBorder="1"/>
    <xf numFmtId="3" fontId="8" fillId="0" borderId="4" xfId="49" applyNumberFormat="1" applyFont="1" applyFill="1" applyBorder="1" applyProtection="1">
      <protection locked="0"/>
    </xf>
    <xf numFmtId="3" fontId="8" fillId="4" borderId="4" xfId="49" applyNumberFormat="1" applyFont="1" applyFill="1" applyBorder="1" applyProtection="1">
      <protection locked="0"/>
    </xf>
    <xf numFmtId="3" fontId="8" fillId="3" borderId="4" xfId="49" applyNumberFormat="1" applyFont="1" applyFill="1" applyBorder="1" applyProtection="1">
      <protection locked="0"/>
    </xf>
    <xf numFmtId="0" fontId="6" fillId="3" borderId="4" xfId="49" applyFont="1" applyFill="1" applyBorder="1" applyAlignment="1">
      <alignment wrapText="1"/>
    </xf>
    <xf numFmtId="3" fontId="6" fillId="3" borderId="4" xfId="49" applyNumberFormat="1" applyFont="1" applyFill="1" applyBorder="1" applyProtection="1"/>
    <xf numFmtId="0" fontId="7" fillId="4" borderId="4" xfId="1" applyNumberFormat="1" applyFont="1" applyFill="1" applyBorder="1"/>
    <xf numFmtId="176" fontId="7" fillId="4" borderId="4" xfId="49" applyNumberFormat="1" applyFont="1" applyFill="1" applyBorder="1" applyAlignment="1">
      <alignment horizontal="right"/>
    </xf>
    <xf numFmtId="0" fontId="6" fillId="4" borderId="4" xfId="49" applyFont="1" applyFill="1" applyBorder="1" applyAlignment="1">
      <alignment wrapText="1"/>
    </xf>
    <xf numFmtId="3" fontId="9" fillId="4" borderId="1" xfId="59" applyNumberFormat="1" applyFont="1" applyFill="1" applyBorder="1" applyAlignment="1">
      <alignment horizontal="center"/>
    </xf>
    <xf numFmtId="3" fontId="9" fillId="4" borderId="3" xfId="59" applyNumberFormat="1" applyFont="1" applyFill="1" applyBorder="1" applyAlignment="1">
      <alignment horizontal="center"/>
    </xf>
    <xf numFmtId="0" fontId="2" fillId="4" borderId="4" xfId="49" applyFont="1" applyFill="1" applyBorder="1"/>
    <xf numFmtId="3" fontId="9" fillId="4" borderId="4" xfId="59" applyNumberFormat="1" applyFont="1" applyFill="1" applyBorder="1"/>
    <xf numFmtId="0" fontId="9" fillId="0" borderId="0" xfId="49" applyFont="1" applyFill="1" applyBorder="1"/>
    <xf numFmtId="0" fontId="4" fillId="0" borderId="0" xfId="52" applyFont="1" applyFill="1" applyBorder="1" applyAlignment="1">
      <alignment wrapText="1"/>
    </xf>
    <xf numFmtId="0" fontId="4" fillId="0" borderId="0" xfId="52" applyFont="1" applyFill="1" applyBorder="1" applyAlignment="1">
      <alignment horizontal="right" wrapText="1"/>
    </xf>
    <xf numFmtId="0" fontId="11" fillId="0" borderId="0" xfId="49" applyFont="1" applyFill="1" applyBorder="1" applyAlignment="1">
      <alignment horizontal="right"/>
    </xf>
    <xf numFmtId="0" fontId="11" fillId="0" borderId="0" xfId="49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Sheet1" xfId="59"/>
    <cellStyle name="Percent 2" xfId="60"/>
  </cellStyles>
  <tableStyles count="0" defaultTableStyle="TableStyleMedium2" defaultPivotStyle="PivotStyleLight16"/>
  <colors>
    <mruColors>
      <color rgb="00FF0000"/>
      <color rgb="00FFFFFF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  <pageSetUpPr fitToPage="1"/>
  </sheetPr>
  <dimension ref="A1:F92"/>
  <sheetViews>
    <sheetView showGridLines="0" tabSelected="1" zoomScaleSheetLayoutView="60" topLeftCell="A49" workbookViewId="0">
      <selection activeCell="E76" sqref="B2:E76"/>
    </sheetView>
  </sheetViews>
  <sheetFormatPr defaultColWidth="0" defaultRowHeight="12.95" customHeight="1" zeroHeight="1" outlineLevelCol="5"/>
  <cols>
    <col min="1" max="1" width="1.70909090909091" style="5" customWidth="1"/>
    <col min="2" max="2" width="5.70909090909091" style="5" customWidth="1"/>
    <col min="3" max="3" width="7" style="6" customWidth="1"/>
    <col min="4" max="4" width="69.1363636363636" style="5" customWidth="1"/>
    <col min="5" max="5" width="22.4272727272727" style="5" customWidth="1"/>
    <col min="6" max="6" width="1.70909090909091" style="5" customWidth="1"/>
    <col min="7" max="16384" width="0" style="5" hidden="1"/>
  </cols>
  <sheetData>
    <row r="1" ht="6.75" customHeight="1"/>
    <row r="2" ht="18" customHeight="1" spans="2:5">
      <c r="B2" s="7" t="s">
        <v>0</v>
      </c>
      <c r="C2" s="8"/>
      <c r="D2" s="8"/>
      <c r="E2" s="9"/>
    </row>
    <row r="3" s="1" customFormat="1" ht="18" customHeight="1" spans="2:5">
      <c r="B3" s="10" t="s">
        <v>1</v>
      </c>
      <c r="C3" s="11" t="s">
        <v>2</v>
      </c>
      <c r="D3" s="11"/>
      <c r="E3" s="12"/>
    </row>
    <row r="4" s="1" customFormat="1" ht="18" customHeight="1" spans="2:5">
      <c r="B4" s="13" t="s">
        <v>3</v>
      </c>
      <c r="C4" s="11" t="s">
        <v>4</v>
      </c>
      <c r="D4" s="11"/>
      <c r="E4" s="12"/>
    </row>
    <row r="5" s="1" customFormat="1" ht="18" customHeight="1" spans="2:5">
      <c r="B5" s="14" t="s">
        <v>5</v>
      </c>
      <c r="C5" s="11"/>
      <c r="D5" s="11"/>
      <c r="E5" s="12"/>
    </row>
    <row r="6" s="1" customFormat="1" ht="17.25" customHeight="1" spans="2:5">
      <c r="B6" s="15"/>
      <c r="C6" s="16"/>
      <c r="D6" s="16"/>
      <c r="E6" s="17"/>
    </row>
    <row r="7" customHeight="1" spans="2:5">
      <c r="B7" s="18" t="s">
        <v>6</v>
      </c>
      <c r="C7" s="18"/>
      <c r="D7" s="18" t="s">
        <v>7</v>
      </c>
      <c r="E7" s="18" t="s">
        <v>8</v>
      </c>
    </row>
    <row r="8" s="2" customFormat="1" customHeight="1" spans="2:5">
      <c r="B8" s="19">
        <v>1</v>
      </c>
      <c r="C8" s="20" t="s">
        <v>9</v>
      </c>
      <c r="D8" s="21" t="s">
        <v>10</v>
      </c>
      <c r="E8" s="22">
        <f>SUM(E9:E11)+E21+E25+E26</f>
        <v>0</v>
      </c>
    </row>
    <row r="9" s="2" customFormat="1" customHeight="1" spans="2:5">
      <c r="B9" s="23"/>
      <c r="C9" s="24">
        <v>1.1</v>
      </c>
      <c r="D9" s="25" t="s">
        <v>11</v>
      </c>
      <c r="E9" s="26">
        <v>0</v>
      </c>
    </row>
    <row r="10" s="2" customFormat="1" customHeight="1" spans="2:5">
      <c r="B10" s="23"/>
      <c r="C10" s="24">
        <v>1.2</v>
      </c>
      <c r="D10" s="25" t="s">
        <v>12</v>
      </c>
      <c r="E10" s="26">
        <v>0</v>
      </c>
    </row>
    <row r="11" s="2" customFormat="1" customHeight="1" spans="2:5">
      <c r="B11" s="27"/>
      <c r="C11" s="20">
        <v>1.3</v>
      </c>
      <c r="D11" s="28" t="s">
        <v>13</v>
      </c>
      <c r="E11" s="22">
        <f>SUM(E12:E20)</f>
        <v>0</v>
      </c>
    </row>
    <row r="12" s="2" customFormat="1" customHeight="1" spans="2:5">
      <c r="B12" s="23"/>
      <c r="C12" s="24" t="s">
        <v>14</v>
      </c>
      <c r="D12" s="25" t="s">
        <v>15</v>
      </c>
      <c r="E12" s="26">
        <v>0</v>
      </c>
    </row>
    <row r="13" s="2" customFormat="1" customHeight="1" spans="2:5">
      <c r="B13" s="23"/>
      <c r="C13" s="24" t="s">
        <v>16</v>
      </c>
      <c r="D13" s="25" t="s">
        <v>17</v>
      </c>
      <c r="E13" s="26">
        <v>0</v>
      </c>
    </row>
    <row r="14" s="2" customFormat="1" customHeight="1" spans="2:5">
      <c r="B14" s="23"/>
      <c r="C14" s="24" t="s">
        <v>18</v>
      </c>
      <c r="D14" s="25" t="s">
        <v>19</v>
      </c>
      <c r="E14" s="26">
        <v>0</v>
      </c>
    </row>
    <row r="15" s="2" customFormat="1" customHeight="1" spans="2:5">
      <c r="B15" s="23"/>
      <c r="C15" s="24" t="s">
        <v>20</v>
      </c>
      <c r="D15" s="25" t="s">
        <v>21</v>
      </c>
      <c r="E15" s="26">
        <v>0</v>
      </c>
    </row>
    <row r="16" s="2" customFormat="1" customHeight="1" spans="2:5">
      <c r="B16" s="23"/>
      <c r="C16" s="24" t="s">
        <v>22</v>
      </c>
      <c r="D16" s="25" t="s">
        <v>23</v>
      </c>
      <c r="E16" s="26">
        <v>0</v>
      </c>
    </row>
    <row r="17" s="2" customFormat="1" customHeight="1" spans="2:5">
      <c r="B17" s="23"/>
      <c r="C17" s="24" t="s">
        <v>24</v>
      </c>
      <c r="D17" s="25" t="s">
        <v>25</v>
      </c>
      <c r="E17" s="26">
        <v>0</v>
      </c>
    </row>
    <row r="18" s="2" customFormat="1" customHeight="1" spans="2:5">
      <c r="B18" s="23"/>
      <c r="C18" s="24" t="s">
        <v>26</v>
      </c>
      <c r="D18" s="25" t="s">
        <v>27</v>
      </c>
      <c r="E18" s="26">
        <v>0</v>
      </c>
    </row>
    <row r="19" s="2" customFormat="1" customHeight="1" spans="2:5">
      <c r="B19" s="23"/>
      <c r="C19" s="24" t="s">
        <v>28</v>
      </c>
      <c r="D19" s="25" t="s">
        <v>29</v>
      </c>
      <c r="E19" s="26">
        <v>0</v>
      </c>
    </row>
    <row r="20" s="2" customFormat="1" customHeight="1" spans="2:5">
      <c r="B20" s="23"/>
      <c r="C20" s="24" t="s">
        <v>30</v>
      </c>
      <c r="D20" s="25" t="s">
        <v>31</v>
      </c>
      <c r="E20" s="26">
        <v>0</v>
      </c>
    </row>
    <row r="21" s="2" customFormat="1" customHeight="1" spans="2:5">
      <c r="B21" s="27"/>
      <c r="C21" s="20">
        <v>1.4</v>
      </c>
      <c r="D21" s="28" t="s">
        <v>32</v>
      </c>
      <c r="E21" s="22">
        <f>SUM(E22:E24)</f>
        <v>0</v>
      </c>
    </row>
    <row r="22" s="2" customFormat="1" customHeight="1" spans="2:5">
      <c r="B22" s="23"/>
      <c r="C22" s="24" t="s">
        <v>33</v>
      </c>
      <c r="D22" s="25" t="s">
        <v>34</v>
      </c>
      <c r="E22" s="26">
        <v>0</v>
      </c>
    </row>
    <row r="23" s="2" customFormat="1" customHeight="1" spans="2:5">
      <c r="B23" s="23"/>
      <c r="C23" s="24" t="s">
        <v>35</v>
      </c>
      <c r="D23" s="25" t="s">
        <v>36</v>
      </c>
      <c r="E23" s="26">
        <v>0</v>
      </c>
    </row>
    <row r="24" s="2" customFormat="1" customHeight="1" spans="2:5">
      <c r="B24" s="23"/>
      <c r="C24" s="24" t="s">
        <v>37</v>
      </c>
      <c r="D24" s="25" t="s">
        <v>38</v>
      </c>
      <c r="E24" s="26">
        <v>0</v>
      </c>
    </row>
    <row r="25" s="2" customFormat="1" customHeight="1" spans="2:5">
      <c r="B25" s="23"/>
      <c r="C25" s="24">
        <v>1.5</v>
      </c>
      <c r="D25" s="25" t="s">
        <v>39</v>
      </c>
      <c r="E25" s="26">
        <v>0</v>
      </c>
    </row>
    <row r="26" s="2" customFormat="1" customHeight="1" spans="2:5">
      <c r="B26" s="23"/>
      <c r="C26" s="24">
        <v>1.6</v>
      </c>
      <c r="D26" s="25" t="s">
        <v>40</v>
      </c>
      <c r="E26" s="26">
        <v>0</v>
      </c>
    </row>
    <row r="27" s="2" customFormat="1" customHeight="1" spans="2:5">
      <c r="B27" s="19">
        <v>2</v>
      </c>
      <c r="C27" s="20"/>
      <c r="D27" s="21" t="s">
        <v>41</v>
      </c>
      <c r="E27" s="22">
        <f>SUM(E28:E31)+E35</f>
        <v>0</v>
      </c>
    </row>
    <row r="28" s="2" customFormat="1" customHeight="1" spans="2:5">
      <c r="B28" s="23"/>
      <c r="C28" s="24">
        <v>2.1</v>
      </c>
      <c r="D28" s="25" t="s">
        <v>11</v>
      </c>
      <c r="E28" s="26">
        <v>0</v>
      </c>
    </row>
    <row r="29" s="2" customFormat="1" ht="13.5" customHeight="1" spans="2:5">
      <c r="B29" s="23"/>
      <c r="C29" s="24">
        <v>2.2</v>
      </c>
      <c r="D29" s="25" t="s">
        <v>42</v>
      </c>
      <c r="E29" s="26">
        <v>0</v>
      </c>
    </row>
    <row r="30" s="2" customFormat="1" customHeight="1" spans="2:5">
      <c r="B30" s="23"/>
      <c r="C30" s="24">
        <v>2.3</v>
      </c>
      <c r="D30" s="25" t="s">
        <v>43</v>
      </c>
      <c r="E30" s="26">
        <v>0</v>
      </c>
    </row>
    <row r="31" s="2" customFormat="1" customHeight="1" spans="2:5">
      <c r="B31" s="27"/>
      <c r="C31" s="20">
        <v>2.4</v>
      </c>
      <c r="D31" s="28" t="s">
        <v>32</v>
      </c>
      <c r="E31" s="22">
        <f>SUM(E32:E34)</f>
        <v>0</v>
      </c>
    </row>
    <row r="32" s="2" customFormat="1" customHeight="1" spans="2:5">
      <c r="B32" s="23"/>
      <c r="C32" s="24" t="s">
        <v>44</v>
      </c>
      <c r="D32" s="25" t="s">
        <v>45</v>
      </c>
      <c r="E32" s="26">
        <v>0</v>
      </c>
    </row>
    <row r="33" s="2" customFormat="1" customHeight="1" spans="2:5">
      <c r="B33" s="23"/>
      <c r="C33" s="24" t="s">
        <v>46</v>
      </c>
      <c r="D33" s="25" t="s">
        <v>36</v>
      </c>
      <c r="E33" s="26">
        <v>0</v>
      </c>
    </row>
    <row r="34" s="2" customFormat="1" customHeight="1" spans="2:5">
      <c r="B34" s="23"/>
      <c r="C34" s="24" t="s">
        <v>47</v>
      </c>
      <c r="D34" s="25" t="s">
        <v>38</v>
      </c>
      <c r="E34" s="26">
        <v>0</v>
      </c>
    </row>
    <row r="35" s="2" customFormat="1" customHeight="1" spans="2:5">
      <c r="B35" s="23"/>
      <c r="C35" s="24">
        <v>2.5</v>
      </c>
      <c r="D35" s="25" t="s">
        <v>48</v>
      </c>
      <c r="E35" s="26">
        <v>0</v>
      </c>
    </row>
    <row r="36" s="2" customFormat="1" customHeight="1" spans="2:5">
      <c r="B36" s="19">
        <v>3</v>
      </c>
      <c r="C36" s="29"/>
      <c r="D36" s="21" t="s">
        <v>49</v>
      </c>
      <c r="E36" s="22">
        <f>+E8-E27</f>
        <v>0</v>
      </c>
    </row>
    <row r="37" s="2" customFormat="1" customHeight="1" spans="2:5">
      <c r="B37" s="27">
        <v>4</v>
      </c>
      <c r="C37" s="29"/>
      <c r="D37" s="21" t="s">
        <v>50</v>
      </c>
      <c r="E37" s="22">
        <f>SUM(E38:E39)+SUM(E45:E49)</f>
        <v>0</v>
      </c>
    </row>
    <row r="38" s="2" customFormat="1" customHeight="1" spans="2:5">
      <c r="B38" s="30"/>
      <c r="C38" s="24">
        <v>4.1</v>
      </c>
      <c r="D38" s="25" t="s">
        <v>51</v>
      </c>
      <c r="E38" s="26">
        <v>0</v>
      </c>
    </row>
    <row r="39" customHeight="1" spans="2:5">
      <c r="B39" s="19"/>
      <c r="C39" s="20">
        <v>4.2</v>
      </c>
      <c r="D39" s="28" t="s">
        <v>52</v>
      </c>
      <c r="E39" s="22">
        <f>SUM(E40:E44)</f>
        <v>0</v>
      </c>
    </row>
    <row r="40" customHeight="1" spans="2:5">
      <c r="B40" s="30"/>
      <c r="C40" s="24" t="s">
        <v>53</v>
      </c>
      <c r="D40" s="25" t="s">
        <v>54</v>
      </c>
      <c r="E40" s="26">
        <v>0</v>
      </c>
    </row>
    <row r="41" ht="12.75" customHeight="1" spans="2:5">
      <c r="B41" s="30"/>
      <c r="C41" s="24" t="s">
        <v>55</v>
      </c>
      <c r="D41" s="25" t="s">
        <v>56</v>
      </c>
      <c r="E41" s="26">
        <v>0</v>
      </c>
    </row>
    <row r="42" customHeight="1" spans="2:5">
      <c r="B42" s="30"/>
      <c r="C42" s="24" t="s">
        <v>57</v>
      </c>
      <c r="D42" s="25" t="s">
        <v>58</v>
      </c>
      <c r="E42" s="26">
        <v>0</v>
      </c>
    </row>
    <row r="43" ht="11.25" customHeight="1" spans="2:5">
      <c r="B43" s="30"/>
      <c r="C43" s="24" t="s">
        <v>59</v>
      </c>
      <c r="D43" s="25" t="s">
        <v>60</v>
      </c>
      <c r="E43" s="26">
        <v>0</v>
      </c>
    </row>
    <row r="44" customHeight="1" spans="2:5">
      <c r="B44" s="30"/>
      <c r="C44" s="24" t="s">
        <v>61</v>
      </c>
      <c r="D44" s="25" t="s">
        <v>62</v>
      </c>
      <c r="E44" s="26">
        <v>0</v>
      </c>
    </row>
    <row r="45" s="2" customFormat="1" ht="13.5" customHeight="1" spans="2:5">
      <c r="B45" s="30"/>
      <c r="C45" s="24">
        <v>4.3</v>
      </c>
      <c r="D45" s="25" t="s">
        <v>63</v>
      </c>
      <c r="E45" s="26">
        <v>0</v>
      </c>
    </row>
    <row r="46" s="2" customFormat="1" customHeight="1" spans="2:5">
      <c r="B46" s="30"/>
      <c r="C46" s="24">
        <v>4.4</v>
      </c>
      <c r="D46" s="25" t="s">
        <v>64</v>
      </c>
      <c r="E46" s="26">
        <v>0</v>
      </c>
    </row>
    <row r="47" s="2" customFormat="1" customHeight="1" spans="2:5">
      <c r="B47" s="30"/>
      <c r="C47" s="24">
        <v>4.5</v>
      </c>
      <c r="D47" s="25" t="s">
        <v>65</v>
      </c>
      <c r="E47" s="26">
        <v>0</v>
      </c>
    </row>
    <row r="48" s="2" customFormat="1" customHeight="1" spans="2:5">
      <c r="B48" s="30"/>
      <c r="C48" s="24">
        <v>4.6</v>
      </c>
      <c r="D48" s="25" t="s">
        <v>66</v>
      </c>
      <c r="E48" s="26">
        <v>0</v>
      </c>
    </row>
    <row r="49" customHeight="1" spans="2:5">
      <c r="B49" s="30"/>
      <c r="C49" s="24">
        <v>4.7</v>
      </c>
      <c r="D49" s="25" t="s">
        <v>67</v>
      </c>
      <c r="E49" s="26">
        <v>0</v>
      </c>
    </row>
    <row r="50" customHeight="1" spans="2:5">
      <c r="B50" s="19">
        <v>5</v>
      </c>
      <c r="C50" s="29"/>
      <c r="D50" s="21" t="s">
        <v>68</v>
      </c>
      <c r="E50" s="22">
        <f>+E37+E36</f>
        <v>0</v>
      </c>
    </row>
    <row r="51" s="2" customFormat="1" customHeight="1" spans="2:5">
      <c r="B51" s="27">
        <v>6</v>
      </c>
      <c r="C51" s="29"/>
      <c r="D51" s="21" t="s">
        <v>69</v>
      </c>
      <c r="E51" s="22">
        <f>SUM(E52:E60)-E57</f>
        <v>0</v>
      </c>
    </row>
    <row r="52" s="2" customFormat="1" ht="12.75" customHeight="1" spans="2:5">
      <c r="B52" s="23"/>
      <c r="C52" s="31">
        <v>6.1</v>
      </c>
      <c r="D52" s="25" t="s">
        <v>70</v>
      </c>
      <c r="E52" s="26">
        <v>0</v>
      </c>
    </row>
    <row r="53" s="2" customFormat="1" customHeight="1" spans="2:5">
      <c r="B53" s="23"/>
      <c r="C53" s="24">
        <v>6.2</v>
      </c>
      <c r="D53" s="25" t="s">
        <v>71</v>
      </c>
      <c r="E53" s="26">
        <v>0</v>
      </c>
    </row>
    <row r="54" s="2" customFormat="1" customHeight="1" spans="2:5">
      <c r="B54" s="30"/>
      <c r="C54" s="31">
        <v>6.3</v>
      </c>
      <c r="D54" s="25" t="s">
        <v>72</v>
      </c>
      <c r="E54" s="26">
        <v>0</v>
      </c>
    </row>
    <row r="55" s="2" customFormat="1" customHeight="1" spans="2:5">
      <c r="B55" s="30"/>
      <c r="C55" s="24">
        <v>6.4</v>
      </c>
      <c r="D55" s="25" t="s">
        <v>73</v>
      </c>
      <c r="E55" s="26">
        <v>0</v>
      </c>
    </row>
    <row r="56" s="2" customFormat="1" customHeight="1" spans="2:5">
      <c r="B56" s="30"/>
      <c r="C56" s="31">
        <v>6.5</v>
      </c>
      <c r="D56" s="32" t="s">
        <v>74</v>
      </c>
      <c r="E56" s="26">
        <v>0</v>
      </c>
    </row>
    <row r="57" s="2" customFormat="1" customHeight="1" spans="2:5">
      <c r="B57" s="19"/>
      <c r="C57" s="29">
        <v>6.6</v>
      </c>
      <c r="D57" s="21" t="s">
        <v>75</v>
      </c>
      <c r="E57" s="22">
        <f>SUM(E58:E59)</f>
        <v>0</v>
      </c>
    </row>
    <row r="58" s="3" customFormat="1" customHeight="1" spans="1:6">
      <c r="A58" s="2"/>
      <c r="B58" s="30"/>
      <c r="C58" s="31" t="s">
        <v>76</v>
      </c>
      <c r="D58" s="32" t="s">
        <v>77</v>
      </c>
      <c r="E58" s="26">
        <v>0</v>
      </c>
      <c r="F58" s="2"/>
    </row>
    <row r="59" s="3" customFormat="1" customHeight="1" spans="1:6">
      <c r="A59" s="2"/>
      <c r="B59" s="30"/>
      <c r="C59" s="31" t="s">
        <v>78</v>
      </c>
      <c r="D59" s="25" t="s">
        <v>79</v>
      </c>
      <c r="E59" s="26">
        <v>0</v>
      </c>
      <c r="F59" s="2"/>
    </row>
    <row r="60" s="2" customFormat="1" customHeight="1" spans="2:5">
      <c r="B60" s="30"/>
      <c r="C60" s="31">
        <v>6.7</v>
      </c>
      <c r="D60" s="25" t="s">
        <v>80</v>
      </c>
      <c r="E60" s="26">
        <v>0</v>
      </c>
    </row>
    <row r="61" customHeight="1" spans="2:5">
      <c r="B61" s="19">
        <v>7</v>
      </c>
      <c r="C61" s="29"/>
      <c r="D61" s="21" t="s">
        <v>81</v>
      </c>
      <c r="E61" s="22">
        <f>+E50-E51</f>
        <v>0</v>
      </c>
    </row>
    <row r="62" customHeight="1" spans="2:5">
      <c r="B62" s="19">
        <v>8</v>
      </c>
      <c r="C62" s="29"/>
      <c r="D62" s="21" t="s">
        <v>82</v>
      </c>
      <c r="E62" s="33">
        <f>SUM(E63:E64)+E68-E69+E70+E71</f>
        <v>0</v>
      </c>
    </row>
    <row r="63" customHeight="1" spans="2:5">
      <c r="B63" s="30"/>
      <c r="C63" s="24">
        <v>8.1</v>
      </c>
      <c r="D63" s="34" t="s">
        <v>83</v>
      </c>
      <c r="E63" s="26">
        <v>0</v>
      </c>
    </row>
    <row r="64" customHeight="1" spans="2:5">
      <c r="B64" s="19"/>
      <c r="C64" s="29">
        <v>8.2</v>
      </c>
      <c r="D64" s="21" t="s">
        <v>84</v>
      </c>
      <c r="E64" s="22">
        <f>SUM(E65:E67)</f>
        <v>0</v>
      </c>
    </row>
    <row r="65" s="4" customFormat="1" customHeight="1" spans="2:5">
      <c r="B65" s="35"/>
      <c r="C65" s="24" t="s">
        <v>85</v>
      </c>
      <c r="D65" s="25" t="s">
        <v>86</v>
      </c>
      <c r="E65" s="36">
        <v>0</v>
      </c>
    </row>
    <row r="66" s="4" customFormat="1" customHeight="1" spans="2:5">
      <c r="B66" s="35"/>
      <c r="C66" s="31" t="s">
        <v>87</v>
      </c>
      <c r="D66" s="25" t="s">
        <v>88</v>
      </c>
      <c r="E66" s="36">
        <v>0</v>
      </c>
    </row>
    <row r="67" s="4" customFormat="1" customHeight="1" spans="2:5">
      <c r="B67" s="35"/>
      <c r="C67" s="24" t="s">
        <v>89</v>
      </c>
      <c r="D67" s="25" t="s">
        <v>90</v>
      </c>
      <c r="E67" s="36">
        <v>0</v>
      </c>
    </row>
    <row r="68" customHeight="1" spans="2:5">
      <c r="B68" s="30"/>
      <c r="C68" s="31">
        <v>8.3</v>
      </c>
      <c r="D68" s="25" t="s">
        <v>91</v>
      </c>
      <c r="E68" s="37">
        <v>0</v>
      </c>
    </row>
    <row r="69" customHeight="1" spans="2:5">
      <c r="B69" s="30"/>
      <c r="C69" s="24">
        <v>8.4</v>
      </c>
      <c r="D69" s="25" t="s">
        <v>92</v>
      </c>
      <c r="E69" s="37">
        <v>0</v>
      </c>
    </row>
    <row r="70" customHeight="1" spans="2:5">
      <c r="B70" s="23"/>
      <c r="C70" s="24">
        <v>8.5</v>
      </c>
      <c r="D70" s="25" t="s">
        <v>93</v>
      </c>
      <c r="E70" s="37">
        <v>0</v>
      </c>
    </row>
    <row r="71" customHeight="1" spans="2:5">
      <c r="B71" s="23"/>
      <c r="C71" s="24">
        <v>8.6</v>
      </c>
      <c r="D71" s="25" t="s">
        <v>94</v>
      </c>
      <c r="E71" s="37">
        <v>0</v>
      </c>
    </row>
    <row r="72" customHeight="1" spans="2:5">
      <c r="B72" s="27">
        <v>9</v>
      </c>
      <c r="C72" s="20"/>
      <c r="D72" s="21" t="s">
        <v>95</v>
      </c>
      <c r="E72" s="38">
        <v>0</v>
      </c>
    </row>
    <row r="73" customHeight="1" spans="2:5">
      <c r="B73" s="27">
        <v>10</v>
      </c>
      <c r="C73" s="20"/>
      <c r="D73" s="39" t="s">
        <v>96</v>
      </c>
      <c r="E73" s="40">
        <f>+E61-E62-E72</f>
        <v>0</v>
      </c>
    </row>
    <row r="74" customHeight="1" spans="2:5">
      <c r="B74" s="41">
        <v>11</v>
      </c>
      <c r="C74" s="42"/>
      <c r="D74" s="43" t="s">
        <v>97</v>
      </c>
      <c r="E74" s="26">
        <v>0</v>
      </c>
    </row>
    <row r="75" customHeight="1" spans="2:5">
      <c r="B75" s="27">
        <v>12</v>
      </c>
      <c r="C75" s="20"/>
      <c r="D75" s="19" t="s">
        <v>98</v>
      </c>
      <c r="E75" s="22">
        <f>+E74+E73</f>
        <v>0</v>
      </c>
    </row>
    <row r="76" customHeight="1" spans="2:5">
      <c r="B76" s="44"/>
      <c r="C76" s="45"/>
      <c r="D76" s="46" t="s">
        <v>99</v>
      </c>
      <c r="E76" s="47"/>
    </row>
    <row r="77" ht="6" customHeight="1" spans="4:4">
      <c r="D77" s="48"/>
    </row>
    <row r="78" hidden="1" customHeight="1" spans="3:4">
      <c r="C78" s="49"/>
      <c r="D78" s="49"/>
    </row>
    <row r="79" hidden="1" customHeight="1" spans="3:4">
      <c r="C79" s="49"/>
      <c r="D79" s="49"/>
    </row>
    <row r="80" hidden="1" customHeight="1" spans="3:4">
      <c r="C80" s="50"/>
      <c r="D80" s="49"/>
    </row>
    <row r="81" hidden="1" customHeight="1" spans="3:4">
      <c r="C81" s="51"/>
      <c r="D81" s="49"/>
    </row>
    <row r="82" hidden="1" customHeight="1" spans="3:4">
      <c r="C82" s="49"/>
      <c r="D82" s="49"/>
    </row>
    <row r="83" hidden="1" customHeight="1" spans="3:4">
      <c r="C83" s="49"/>
      <c r="D83" s="49"/>
    </row>
    <row r="84" hidden="1" customHeight="1" spans="3:4">
      <c r="C84" s="49"/>
      <c r="D84" s="52"/>
    </row>
    <row r="85" hidden="1" customHeight="1" spans="3:4">
      <c r="C85" s="49"/>
      <c r="D85" s="49"/>
    </row>
    <row r="91" ht="6.75" customHeight="1"/>
    <row r="92" ht="5.25" customHeight="1"/>
  </sheetData>
  <sheetProtection password="DE1B" sheet="1" formatRows="0" insertRows="0" insertColumns="0" insertHyperlinks="0" deleteColumns="0" deleteRows="0" sort="0" autoFilter="0" pivotTables="0"/>
  <mergeCells count="5">
    <mergeCell ref="B2:E2"/>
    <mergeCell ref="C3:D3"/>
    <mergeCell ref="C4:D4"/>
    <mergeCell ref="C5:D5"/>
    <mergeCell ref="B76:C76"/>
  </mergeCells>
  <dataValidations count="1">
    <dataValidation type="whole" operator="between" allowBlank="1" showInputMessage="1" showErrorMessage="1" error="Please input a valid data!" sqref="E8:E75">
      <formula1>-1000000000000</formula1>
      <formula2>1000000000000</formula2>
    </dataValidation>
  </dataValidations>
  <printOptions horizontalCentered="1" verticalCentered="1"/>
  <pageMargins left="0" right="0" top="0" bottom="0" header="0.05" footer="0.3"/>
  <pageSetup paperSize="9" scale="85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4-INC STAT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2012-10-17T11:59:28Z</dcterms:created>
  <cp:lastPrinted>2015-01-13T08:47:06Z</cp:lastPrinted>
  <dcterms:modified xsi:type="dcterms:W3CDTF">2024-02-22T05:47:37Z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9F838D4F15EC46DF992803CDFD22F8E4_13</vt:lpwstr>
  </property>
  <property fmtid="{D5CDD505-2E9C-101B-9397-08002B2CF9AE}" pid="3" name="KSOProductBuildVer">
    <vt:lpwstr>1033-12.2.0.13431</vt:lpwstr>
  </property>
</Properties>
</file>