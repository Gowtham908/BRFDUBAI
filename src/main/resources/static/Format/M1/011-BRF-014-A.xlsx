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BRF 14" sheetId="1" r:id="rId1"/>
  </sheets>
  <definedNames>
    <definedName name="_xlnm.Print_Area" localSheetId="0">'BRF 14'!$B$2:$H$255</definedName>
  </definedNames>
  <calcPr calcId="144525"/>
</workbook>
</file>

<file path=xl/sharedStrings.xml><?xml version="1.0" encoding="utf-8"?>
<sst xmlns="http://schemas.openxmlformats.org/spreadsheetml/2006/main" count="519" uniqueCount="415">
  <si>
    <t xml:space="preserve">                                                BANKING AND MONETARY STATISTICS-  LCR Reporting (Detailed)   (AED IN 000s)</t>
  </si>
  <si>
    <t>ID:</t>
  </si>
  <si>
    <t>2-14-2-0</t>
  </si>
  <si>
    <t>BANK</t>
  </si>
  <si>
    <t>Bank of Baroda</t>
  </si>
  <si>
    <t>As On</t>
  </si>
  <si>
    <t>Stock of high quality liquid assets (HQLA)</t>
  </si>
  <si>
    <t>1.1. Level 1 Assets</t>
  </si>
  <si>
    <t>Sr No</t>
  </si>
  <si>
    <t>Particulars</t>
  </si>
  <si>
    <t>Market Value</t>
  </si>
  <si>
    <t>Weight</t>
  </si>
  <si>
    <t>Weighted Amount</t>
  </si>
  <si>
    <t>1.1.1</t>
  </si>
  <si>
    <t>Coins and banknotes</t>
  </si>
  <si>
    <t>1.1.2</t>
  </si>
  <si>
    <t>Total central bank reserves; of which:</t>
  </si>
  <si>
    <t>1.1.2.1</t>
  </si>
  <si>
    <t>part of central bank reserves and CDs that can be drawn in times of stress</t>
  </si>
  <si>
    <t>1.1.3</t>
  </si>
  <si>
    <t>Securities with a 0% risk weight:</t>
  </si>
  <si>
    <t>1.1.3.1</t>
  </si>
  <si>
    <t>issued by UAE Federal Govt or Local Government</t>
  </si>
  <si>
    <t>1.1.3.2</t>
  </si>
  <si>
    <t>guaranteed by UAE Federal Govt or Local Government</t>
  </si>
  <si>
    <t>1.1.3.3</t>
  </si>
  <si>
    <t>issued or guaranteed by Foreign Sovereign, Central Bank or guaranteed debt</t>
  </si>
  <si>
    <t>1.1.3.4</t>
  </si>
  <si>
    <t>issued or guaranteed by UAE PSEs/ GREs (which receive 0% RW)</t>
  </si>
  <si>
    <t>1.1.3.5</t>
  </si>
  <si>
    <t>issued or guaranteed by IMF and MDBs</t>
  </si>
  <si>
    <t>1.1.4</t>
  </si>
  <si>
    <t>For non-0% risk-weighted sovereigns:</t>
  </si>
  <si>
    <t>1.1.4.1</t>
  </si>
  <si>
    <t>sovereign or central bank debt securities issued in domestic currencies by the sovereign or central bank in the country in which the liquidity risk is being taken or in the bank’s home country</t>
  </si>
  <si>
    <t>1.1.4.2</t>
  </si>
  <si>
    <t>Domestic sovereign or central bank debt securities issued in foreign currencies are eligible up to the amount of the bank’s stressed net cash outflows in that specific foreign currency stemming from the bank’s operations in the jurisdiction where the bank’s liquidity risk is being taken</t>
  </si>
  <si>
    <t>1.1.5</t>
  </si>
  <si>
    <t>Total stock of Level 1 assets</t>
  </si>
  <si>
    <t>1.1.6</t>
  </si>
  <si>
    <t>Unrated Securities with 0% Risk weight (Cannot exceed more than 25% of Level 1 HQLA)</t>
  </si>
  <si>
    <t>1.1.7</t>
  </si>
  <si>
    <t>Adjustment to stock of Level 1 assets</t>
  </si>
  <si>
    <t>1.1.8</t>
  </si>
  <si>
    <t>Adjusted amount of Level 1 assets</t>
  </si>
  <si>
    <t>1.2. Level 2A Assets</t>
  </si>
  <si>
    <t>1.2.1</t>
  </si>
  <si>
    <t>Marketable Securities with a 20% risk weight:</t>
  </si>
  <si>
    <t>1.2.1.1</t>
  </si>
  <si>
    <t>issued by sovereigns</t>
  </si>
  <si>
    <t>1.2.1.2</t>
  </si>
  <si>
    <t>guaranteed by sovereigns</t>
  </si>
  <si>
    <t>1.2.1.3</t>
  </si>
  <si>
    <t>issued or guaranteed by central banks</t>
  </si>
  <si>
    <t>1.2.1.4</t>
  </si>
  <si>
    <t>issued or guaranteed by PSEs</t>
  </si>
  <si>
    <t>1.2.1.5</t>
  </si>
  <si>
    <t>issued or guaranteed by MDBs</t>
  </si>
  <si>
    <t>1.2.1.6</t>
  </si>
  <si>
    <t>Non-financial corporate bonds, rated AA- or better</t>
  </si>
  <si>
    <t>1.2.1.7</t>
  </si>
  <si>
    <t>Covered bonds, not self-issued, rated AA- or better</t>
  </si>
  <si>
    <t>1.2.1.8</t>
  </si>
  <si>
    <t>Unrated UAE PSE/ GRE</t>
  </si>
  <si>
    <t>1.2.2</t>
  </si>
  <si>
    <t>Total stock of Level 2A assets</t>
  </si>
  <si>
    <t>1.2.3</t>
  </si>
  <si>
    <t>Adjustment to stock of Level 2A assets</t>
  </si>
  <si>
    <t>1.2.4</t>
  </si>
  <si>
    <t>Adjusted amount of Level 2A assets</t>
  </si>
  <si>
    <t>1.3. Level 2B Assets</t>
  </si>
  <si>
    <t>1.3.1</t>
  </si>
  <si>
    <t>Residential mortgage-backed securities (RMBS), rated AA or better</t>
  </si>
  <si>
    <t>1.3.2</t>
  </si>
  <si>
    <t xml:space="preserve">Non-financial corporate bonds, rated BBB- to A+ </t>
  </si>
  <si>
    <t>1.3.3</t>
  </si>
  <si>
    <t xml:space="preserve">Non-financial common equity shares </t>
  </si>
  <si>
    <t>1.3.4</t>
  </si>
  <si>
    <t>Sovereign or central bank debt securities, rated BBB- to BBB+</t>
  </si>
  <si>
    <t>1.3.5</t>
  </si>
  <si>
    <t>Total stock of Level 2B RMBS assets</t>
  </si>
  <si>
    <t>1.3.6</t>
  </si>
  <si>
    <t>Adjustment to stock of Level 2B RMBS assets</t>
  </si>
  <si>
    <t>1.3.7</t>
  </si>
  <si>
    <t>Adjusted amount of Level 2B RMBS assets</t>
  </si>
  <si>
    <t>1.3.8</t>
  </si>
  <si>
    <t>Total stock of Level 2B non-RMBS assets</t>
  </si>
  <si>
    <t>1.3.9</t>
  </si>
  <si>
    <t>Adjustment to stock of Level 2B non-RMBS assets</t>
  </si>
  <si>
    <t>1.3.10</t>
  </si>
  <si>
    <t>Adjusted amount of Level 2B non-RMBS assets</t>
  </si>
  <si>
    <t>1.3.11</t>
  </si>
  <si>
    <t>Adjusted amount of Level 2B (RMBS and non-RMBS) assets</t>
  </si>
  <si>
    <t>1.3.12</t>
  </si>
  <si>
    <t>Adjustment to stock of HQLA due to cap on Level 2B assets</t>
  </si>
  <si>
    <t>1.3.13</t>
  </si>
  <si>
    <t>Adjustment to stock of HQLA due to cap on Level 2 assets</t>
  </si>
  <si>
    <t>Total stock of HQLA</t>
  </si>
  <si>
    <t>1.5. Additional Information for HQLA</t>
  </si>
  <si>
    <t>1.5.1</t>
  </si>
  <si>
    <t>Market value of Level 1 Assets held at the entity level, but excluded from the consolidated stock of HQLA</t>
  </si>
  <si>
    <t>1.5.2</t>
  </si>
  <si>
    <t xml:space="preserve">Market value of Level 2A Assets held at the entity level, but excluded from the consolidated stock of HQLA
</t>
  </si>
  <si>
    <t>1.5.3</t>
  </si>
  <si>
    <t xml:space="preserve">Market value of Level 2B - RMBS Assets held at the entity level, but excluded from the consolidated stock of HQLA
</t>
  </si>
  <si>
    <t>1.5.4</t>
  </si>
  <si>
    <t xml:space="preserve">Market value of Level 2B - non RMBS Assets held at the entity level, but excluded from the consolidated stock of HQLA
</t>
  </si>
  <si>
    <t>1.5.5</t>
  </si>
  <si>
    <t xml:space="preserve">Market value of Level 1 Assets excluded from the stock of high quality liquid assets due to operational restrictions
</t>
  </si>
  <si>
    <t>1.5.6</t>
  </si>
  <si>
    <t xml:space="preserve">Market Value of Level 2A Assets excluded from the stock of high quality liquid assets due to operational restrictions
</t>
  </si>
  <si>
    <t>1.5.7</t>
  </si>
  <si>
    <t xml:space="preserve">Market value of Level 2B - RMBS Assets excluded from the stock of high quality liquid assets due to operational restrictions
</t>
  </si>
  <si>
    <t>1.5.8</t>
  </si>
  <si>
    <t xml:space="preserve">Market value of Level 2B - non RMBS Assets excluded from the stock of high quality liquid assets due to operational restrictions
</t>
  </si>
  <si>
    <t>2. Net cash outflows</t>
  </si>
  <si>
    <t>2.1. Cash outflows</t>
  </si>
  <si>
    <t>2.1.1. Retail deposit run-off</t>
  </si>
  <si>
    <t>Amount</t>
  </si>
  <si>
    <t>2.1.1.1</t>
  </si>
  <si>
    <t>Total retail deposits; of which:</t>
  </si>
  <si>
    <t xml:space="preserve"> </t>
  </si>
  <si>
    <t>2.1.1.1.1</t>
  </si>
  <si>
    <t>in Stable retail; of which:</t>
  </si>
  <si>
    <t>2.1.1.1.1.1</t>
  </si>
  <si>
    <t>Non SME retail deposit eligible for a 5% run-off rate</t>
  </si>
  <si>
    <t>2.1.1.1.1.2</t>
  </si>
  <si>
    <t>SME retail deposit eligible for 5% runoff rate</t>
  </si>
  <si>
    <t>2.1.1.1.2</t>
  </si>
  <si>
    <t>in non-transactional (Less Stable retail) accounts with established relationships that make deposit withdrawal highly unlikely; of which:</t>
  </si>
  <si>
    <t>2.1.1.1.2.1</t>
  </si>
  <si>
    <t>eligible for a 5% run-off rate</t>
  </si>
  <si>
    <t>2.1.1.1.2.2</t>
  </si>
  <si>
    <t>Non SME in non-transactional and non-relationship accounts</t>
  </si>
  <si>
    <t>2.1.1.1.2.3</t>
  </si>
  <si>
    <t>SME in non transactional and non relationship accounts</t>
  </si>
  <si>
    <t>2.1.1.1.2.4</t>
  </si>
  <si>
    <t>Sourced from an unaffiliated third-party</t>
  </si>
  <si>
    <t>2.1.1.1.2.5</t>
  </si>
  <si>
    <t>Term deposits with a remaining maturity of  &gt; 30 days</t>
  </si>
  <si>
    <t>2.1.1.2</t>
  </si>
  <si>
    <t>Total retail deposits run-off</t>
  </si>
  <si>
    <t>2.1.1.3</t>
  </si>
  <si>
    <t>Total Qualifying Retail Deposit Run-Off</t>
  </si>
  <si>
    <t>2.1.2. Unsecured wholesale funding run-off</t>
  </si>
  <si>
    <t>2.1.2.1</t>
  </si>
  <si>
    <t xml:space="preserve">Total unsecured wholesale funding </t>
  </si>
  <si>
    <t>2.1.2.1.1</t>
  </si>
  <si>
    <t>Total operational deposits; of which:</t>
  </si>
  <si>
    <t>2.1.2.1.1.1</t>
  </si>
  <si>
    <t>provided by non-financial corporates</t>
  </si>
  <si>
    <t>2.1.2.1.1.1.1</t>
  </si>
  <si>
    <t>insured, with a 3% run-off rate</t>
  </si>
  <si>
    <t>2.1.2.1.1.1.2</t>
  </si>
  <si>
    <t>insured, with a 5% run-off rate</t>
  </si>
  <si>
    <t>2.1.2.1.1.1.3</t>
  </si>
  <si>
    <t>uninsured</t>
  </si>
  <si>
    <t>2.1.2.1.1.1.4</t>
  </si>
  <si>
    <t>provided by SME</t>
  </si>
  <si>
    <t>2.1.2.1.1.2</t>
  </si>
  <si>
    <t>provided by sovereigns, central banks, PSEs and MDBs</t>
  </si>
  <si>
    <t>2.1.2.1.1.2.1</t>
  </si>
  <si>
    <t>2.1.2.1.1.2.2</t>
  </si>
  <si>
    <t>2.1.2.1.1.2.3</t>
  </si>
  <si>
    <t>2.1.2.1.1.3</t>
  </si>
  <si>
    <t>provided by banks</t>
  </si>
  <si>
    <t>2.1.2.1.1.3.1</t>
  </si>
  <si>
    <t>2.1.2.1.1.3.2</t>
  </si>
  <si>
    <t>2.1.2.1.1.3.3</t>
  </si>
  <si>
    <t>2.1.2.1.1.4</t>
  </si>
  <si>
    <t>provided by other financial institutions/ legal entities</t>
  </si>
  <si>
    <t>2.1.2.1.1.4.1</t>
  </si>
  <si>
    <t>2.1.2.1.1.4.2</t>
  </si>
  <si>
    <t>2.1.2.1.1.4.3</t>
  </si>
  <si>
    <t>2.1.2.1.2</t>
  </si>
  <si>
    <t>Total non-operational deposits; of which:</t>
  </si>
  <si>
    <t>2.1.2.1.2.1</t>
  </si>
  <si>
    <t>provided by non-financial corporates; of which:</t>
  </si>
  <si>
    <t>2.1.2.1.2.1.1</t>
  </si>
  <si>
    <r>
      <t xml:space="preserve">provided by </t>
    </r>
    <r>
      <rPr>
        <sz val="8"/>
        <rFont val="Arial"/>
        <family val="2"/>
        <charset val="0"/>
      </rPr>
      <t>corporate, s</t>
    </r>
    <r>
      <rPr>
        <sz val="8"/>
        <color indexed="8"/>
        <rFont val="Arial"/>
        <family val="2"/>
        <charset val="0"/>
      </rPr>
      <t>overeigns, GRE, PSEs and MDBs</t>
    </r>
  </si>
  <si>
    <t>2.1.2.1.2.1.2</t>
  </si>
  <si>
    <t>Provided by SME</t>
  </si>
  <si>
    <t>2.1.2.1.2.2</t>
  </si>
  <si>
    <t>provided by other banks</t>
  </si>
  <si>
    <t>2.1.2.1.2.3</t>
  </si>
  <si>
    <t>2.1.2.1.2.4</t>
  </si>
  <si>
    <t>Unsecured debt issuance</t>
  </si>
  <si>
    <t>2.1.2.1.2.5</t>
  </si>
  <si>
    <t>Additional balances required to be installed in central bank reserves</t>
  </si>
  <si>
    <t>2.1.2.2</t>
  </si>
  <si>
    <t>Total unsecured wholesale funding run-off</t>
  </si>
  <si>
    <t>2.1.2.3</t>
  </si>
  <si>
    <t>Total Qualifying Operational Deposit</t>
  </si>
  <si>
    <t>2.1.2.4</t>
  </si>
  <si>
    <t>Total Non Operational Deposit</t>
  </si>
  <si>
    <t>2.1.2.5</t>
  </si>
  <si>
    <t>Total Qualifying Unsecured Wholesale funding run-off</t>
  </si>
  <si>
    <t>2.1.3. Secured funding run-off</t>
  </si>
  <si>
    <t>Amount Received</t>
  </si>
  <si>
    <t>Market Value of Extended Collateral</t>
  </si>
  <si>
    <t>2.1.3.1</t>
  </si>
  <si>
    <t>Transactions maturing ≤ 30 days conducted with the bank's domestic central bank; of which:</t>
  </si>
  <si>
    <t>2.1.3.1.1</t>
  </si>
  <si>
    <t>Backed by Level 1 assets; of which:</t>
  </si>
  <si>
    <t>2.1.3.1.1.1</t>
  </si>
  <si>
    <t>Transactions involving eligible liquid assets</t>
  </si>
  <si>
    <t>2.1.3.1.1.2</t>
  </si>
  <si>
    <t>Transactions not involving eligible liquid assets</t>
  </si>
  <si>
    <t>2.1.3.1.2.</t>
  </si>
  <si>
    <t>Backed by Level 2A assets; of which:</t>
  </si>
  <si>
    <t>2.1.3.1.2.1</t>
  </si>
  <si>
    <t>2.1.3.1.2.2</t>
  </si>
  <si>
    <t>2.1.3.1.3</t>
  </si>
  <si>
    <t>Backed by Level 2B RMBS assets; of which:</t>
  </si>
  <si>
    <t>2.1.3.1.3.1</t>
  </si>
  <si>
    <t>2.1.3.1.3.2</t>
  </si>
  <si>
    <t>2.1.3.1.4</t>
  </si>
  <si>
    <t>Backed by Level 2B non-RMBS assets; of which:</t>
  </si>
  <si>
    <t>2.1.3.1.4.1</t>
  </si>
  <si>
    <t>2.1.3.1.4.2</t>
  </si>
  <si>
    <t>2.1.3.1.4.3</t>
  </si>
  <si>
    <t>Backed by other assets</t>
  </si>
  <si>
    <t>2.1.3.2</t>
  </si>
  <si>
    <t>Transactions maturing ≤ 30 days not conducted with the bank's domestic central bank and backed by Level 1 assets; of which:</t>
  </si>
  <si>
    <t>2.1.3.2.1</t>
  </si>
  <si>
    <t>2.1.3.2.2</t>
  </si>
  <si>
    <t>2.1.3.3</t>
  </si>
  <si>
    <t>Transactions maturing ≤ 30 days not conducted with the bank's domestic central bank and backed by Level 2A assets; of which:</t>
  </si>
  <si>
    <t>2.1.3.3.1</t>
  </si>
  <si>
    <t>2.1.3.3.2</t>
  </si>
  <si>
    <t>2.1.3.4</t>
  </si>
  <si>
    <t>Transactions maturing ≤ 30 days not conducted with the bank's domestic central bank and backed by Level 2B RMBS assets; of which:</t>
  </si>
  <si>
    <t>2.1.3.4.1</t>
  </si>
  <si>
    <t>2.1.3.4.2</t>
  </si>
  <si>
    <t>2.1.3.5</t>
  </si>
  <si>
    <t>Transactions maturing ≤ 30 days not conducted with the bank's domestic central bank and backed by Level 2B non-RMBS assets; of which:</t>
  </si>
  <si>
    <t>2.1.3.5.1</t>
  </si>
  <si>
    <t>Counterparties are Sovereigns, MDBs or GRE, PSEs with a 20% risk weight; of which:</t>
  </si>
  <si>
    <t>2.1.3.5.1.1</t>
  </si>
  <si>
    <t>2.1.3.5.1.2</t>
  </si>
  <si>
    <t>2.1.3.5.2</t>
  </si>
  <si>
    <t>Counterparties are not Sovereigns, MDBs or GRE, PSEs with a 20% risk weight; of which:</t>
  </si>
  <si>
    <t>2.1.3.5.2.1</t>
  </si>
  <si>
    <t>2.1.3.5.2.2</t>
  </si>
  <si>
    <t>2.1.3.5.3</t>
  </si>
  <si>
    <t>Transactions maturing ≤ 30 days not conducted with the bank's domestic central bank and backed by other assets (non-HQLA); of which:</t>
  </si>
  <si>
    <t>2.1.3.5.3.1</t>
  </si>
  <si>
    <t>Counterparties are domestic sovereigns, MDBs or domestic PSEs with a 20% risk weight</t>
  </si>
  <si>
    <t>2.1.3.5.3.2</t>
  </si>
  <si>
    <t>Counterparties are not Sovereigns, MDBs or GRE, PSEs with a 20% risk weight</t>
  </si>
  <si>
    <t>2.1.3.6</t>
  </si>
  <si>
    <t>Total secured wholesale funding run-off</t>
  </si>
  <si>
    <t>2.1.4. Additional requirements</t>
  </si>
  <si>
    <t>2.1.4.1</t>
  </si>
  <si>
    <t>Derivatives cash outflow</t>
  </si>
  <si>
    <t>2.1.4.2</t>
  </si>
  <si>
    <t xml:space="preserve">Increased liquidity needs related to downgrade triggers in derivatives and other financing transactions </t>
  </si>
  <si>
    <t>2.1.4.3</t>
  </si>
  <si>
    <t>Increased liquidity needs related to the potential for valuation changes on posted collateral securing derivative and other transactions:</t>
  </si>
  <si>
    <t>2.1.4.3.1</t>
  </si>
  <si>
    <t>Cash and Level 1 assets</t>
  </si>
  <si>
    <t>2.1.4.3.2</t>
  </si>
  <si>
    <t>For other collateral (ie all non-Level 1 collateral)</t>
  </si>
  <si>
    <t>2.1.4.4</t>
  </si>
  <si>
    <t>Increased liquidity needs related to excess non-segregated collateral held by the bank that could contractually be called at any time by the counterparty</t>
  </si>
  <si>
    <t>2.1.4.5</t>
  </si>
  <si>
    <t>Increased liquidity needs related to contractually required collateral on transactions for which the counterparty has not yet demanded the collateral be posted</t>
  </si>
  <si>
    <t>2.1.4.6</t>
  </si>
  <si>
    <t>Increased liquidity needs related to contracts that allow collateral substitution to non-HQLA assets</t>
  </si>
  <si>
    <t>2.1.4.7</t>
  </si>
  <si>
    <t>Increased liquidity needs related to market valuation changes on derivative or other transactions</t>
  </si>
  <si>
    <t>2.1.4.8</t>
  </si>
  <si>
    <t>Loss of funding on ABS and other structured financing instruments issued by the bank, excluding covered bonds</t>
  </si>
  <si>
    <t>2.1.4.9</t>
  </si>
  <si>
    <t>Loss of funding on covered bonds issued by the bank</t>
  </si>
  <si>
    <t>2.1.4.10</t>
  </si>
  <si>
    <t xml:space="preserve">Loss of funding on ABCP, conduits, SIVs and other such financing activities; of which: </t>
  </si>
  <si>
    <t>2.1.4.10.1</t>
  </si>
  <si>
    <t>debt maturing ≤ 30 days</t>
  </si>
  <si>
    <t>2.1.4.10.2</t>
  </si>
  <si>
    <t>with embedded options in financing arrangements</t>
  </si>
  <si>
    <t>2.1.4.10.3</t>
  </si>
  <si>
    <t>other potential loss of such funding</t>
  </si>
  <si>
    <t>2.1.4.11</t>
  </si>
  <si>
    <t>Undrawn committed credit and liquidity facilities to retail and small business customers</t>
  </si>
  <si>
    <t>2.1.4.12</t>
  </si>
  <si>
    <t>Undrawn committed credit facilities to</t>
  </si>
  <si>
    <t>2.1.4.12.1</t>
  </si>
  <si>
    <t>non-financial corporates</t>
  </si>
  <si>
    <t>2.1.4.12.2</t>
  </si>
  <si>
    <t>sovereigns, central banks, PSEs and MDBs</t>
  </si>
  <si>
    <t>2.1.4.12.3</t>
  </si>
  <si>
    <t>banks</t>
  </si>
  <si>
    <t>2.1.4.12.4</t>
  </si>
  <si>
    <t>other financial institutions</t>
  </si>
  <si>
    <t>2.1.4.12.5</t>
  </si>
  <si>
    <t>other legal entities</t>
  </si>
  <si>
    <t>2.1.4.13</t>
  </si>
  <si>
    <t>Undrawn committed liquidity facilities to</t>
  </si>
  <si>
    <t>2.1.4.13.1</t>
  </si>
  <si>
    <t>2.1.4.13.2</t>
  </si>
  <si>
    <t>2.1.4.13.3</t>
  </si>
  <si>
    <t>2.1.4.13.4</t>
  </si>
  <si>
    <t>2.1.4.13.5</t>
  </si>
  <si>
    <t>other legal entities  declared dividends (&lt;31 days before payout date) + other items not captured elsewhere</t>
  </si>
  <si>
    <t>2.1.4.14</t>
  </si>
  <si>
    <t>Other contractual obligations to extend funds to:</t>
  </si>
  <si>
    <t>Roll-over of Inflows</t>
  </si>
  <si>
    <t>Excess Outflows</t>
  </si>
  <si>
    <t>2.1.4.14.1</t>
  </si>
  <si>
    <t>financial institutions</t>
  </si>
  <si>
    <t>2.1.4.14.2</t>
  </si>
  <si>
    <t>retail clients</t>
  </si>
  <si>
    <t>2.1.4.14.3</t>
  </si>
  <si>
    <t>small business customers</t>
  </si>
  <si>
    <t>2.1.4.14.4</t>
  </si>
  <si>
    <t>2.1.4.14.5</t>
  </si>
  <si>
    <t>other clients</t>
  </si>
  <si>
    <t>2.1.4.15</t>
  </si>
  <si>
    <t>Total of: retail, small business customers, non-financials and other clients</t>
  </si>
  <si>
    <t>2.1.4.16</t>
  </si>
  <si>
    <t>Total contractual obligations to extend funds in excess of 50% roll-over assumption</t>
  </si>
  <si>
    <t>Total additional requirements run-off</t>
  </si>
  <si>
    <t xml:space="preserve">2.1.5. Other contingent funding obligations </t>
  </si>
  <si>
    <t>2.1.5.1</t>
  </si>
  <si>
    <t>Letter of credit and Trade Finance facilities</t>
  </si>
  <si>
    <t>2.1.5.1.1</t>
  </si>
  <si>
    <t>LC part of trade finance</t>
  </si>
  <si>
    <t>2.1.5.1.2</t>
  </si>
  <si>
    <t>Other trade finance instruments (e.g. shipping guarantees)</t>
  </si>
  <si>
    <t>2.1.5.2</t>
  </si>
  <si>
    <t>Total run-off on other contingent funding obligations</t>
  </si>
  <si>
    <t>2.1.6. Total cash outflows</t>
  </si>
  <si>
    <t>Total cash outflows</t>
  </si>
  <si>
    <t>2.2. Cash inflows</t>
  </si>
  <si>
    <t>2.2.1. Secured lending including reverse repo and securities borrowing</t>
  </si>
  <si>
    <t>Amount Extended</t>
  </si>
  <si>
    <t>Market Value of Received Collateral</t>
  </si>
  <si>
    <t>2.2.1.1</t>
  </si>
  <si>
    <t>Reverse repo and other secured lending or securities borrowing transactions maturing ≤ 30 days</t>
  </si>
  <si>
    <t>2.2.1.1.1</t>
  </si>
  <si>
    <r>
      <t xml:space="preserve">Of which collateral is </t>
    </r>
    <r>
      <rPr>
        <b/>
        <sz val="8"/>
        <color indexed="8"/>
        <rFont val="Arial"/>
        <family val="2"/>
        <charset val="0"/>
      </rPr>
      <t>not re-used</t>
    </r>
    <r>
      <rPr>
        <sz val="8"/>
        <color indexed="8"/>
        <rFont val="Arial"/>
        <family val="2"/>
        <charset val="0"/>
      </rPr>
      <t xml:space="preserve"> to cover the reporting institution's outright short positions:</t>
    </r>
  </si>
  <si>
    <t>2.2.1.1.1.1</t>
  </si>
  <si>
    <t>Transactions backed by Level 1 assets; of which:</t>
  </si>
  <si>
    <t>2.2.1.1.1.1.1</t>
  </si>
  <si>
    <t>2.2.1.1.1.1.2</t>
  </si>
  <si>
    <t>2.2.1.1.1.2</t>
  </si>
  <si>
    <t>Transactions backed by Level 2A assets; of which:</t>
  </si>
  <si>
    <t>2.2.1.1.1.2.1</t>
  </si>
  <si>
    <t>2.2.1.1.1.2.2</t>
  </si>
  <si>
    <t>2.2.1.1.1.3</t>
  </si>
  <si>
    <t>Transactions backed by Level 2B RMBS assets; of which:</t>
  </si>
  <si>
    <t>2.2.1.1.1.3.1</t>
  </si>
  <si>
    <t>2.2.1.1.1.3.2</t>
  </si>
  <si>
    <t>2.2.1.1.1.4</t>
  </si>
  <si>
    <t>Transactions backed by Level 2B non-RMBS assets; of which:</t>
  </si>
  <si>
    <t>2.2.1.1.1.4.1</t>
  </si>
  <si>
    <t>2.2.1.1.1.4.2</t>
  </si>
  <si>
    <t>2.2.1.1.1.4.3</t>
  </si>
  <si>
    <t>Margin lending backed by non-Level 1 or non-Level 2 collateral</t>
  </si>
  <si>
    <t>2.2.1.1.1.4.4</t>
  </si>
  <si>
    <t>Transactions backed by other collateral</t>
  </si>
  <si>
    <r>
      <t xml:space="preserve">Of which collateral </t>
    </r>
    <r>
      <rPr>
        <b/>
        <sz val="8"/>
        <color indexed="8"/>
        <rFont val="Arial"/>
        <family val="2"/>
        <charset val="0"/>
      </rPr>
      <t>is re-used</t>
    </r>
    <r>
      <rPr>
        <sz val="8"/>
        <color indexed="8"/>
        <rFont val="Arial"/>
        <family val="2"/>
        <charset val="0"/>
      </rPr>
      <t xml:space="preserve"> (ie is rehypothecated) in transactions to cover the reporting institution's outright short positions: </t>
    </r>
  </si>
  <si>
    <t>Transactions backed by Level 1 assets</t>
  </si>
  <si>
    <t>Transactions backed by Level 2A assets</t>
  </si>
  <si>
    <t>2.2.1.1.1.2.3</t>
  </si>
  <si>
    <t>Transactions backed by Level 2B RMBS assets</t>
  </si>
  <si>
    <t>2.2.1.1.1.2.4</t>
  </si>
  <si>
    <t>Transactions backed by Level 2B non-RMBS assets</t>
  </si>
  <si>
    <t>2.2.1.1.1.2.5</t>
  </si>
  <si>
    <t>2.2.1.1.1.2.6</t>
  </si>
  <si>
    <t>2.2.1.2</t>
  </si>
  <si>
    <t>Total inflows on reverse repo and securities borrowing transactions</t>
  </si>
  <si>
    <t>2.2.2. Other inflows by counterparty</t>
  </si>
  <si>
    <t>2.2.2.1</t>
  </si>
  <si>
    <t>Contractual inflows due in ≤ 30 days from fully performing loans, not reported as secured lending, from:</t>
  </si>
  <si>
    <t>2.2.2.1.1</t>
  </si>
  <si>
    <t>Retail customers</t>
  </si>
  <si>
    <t>2.2.2.1.2</t>
  </si>
  <si>
    <t>SME</t>
  </si>
  <si>
    <t>2.2.2.1.3</t>
  </si>
  <si>
    <t>Non-financial corporates</t>
  </si>
  <si>
    <t>2.2.2.1.4</t>
  </si>
  <si>
    <t>Financial institutions, including central banks</t>
  </si>
  <si>
    <t>2.2.2.1.5</t>
  </si>
  <si>
    <t>Federal governments and local governments</t>
  </si>
  <si>
    <t>2.2.2.1.6</t>
  </si>
  <si>
    <t>Public Sector Entities</t>
  </si>
  <si>
    <t>2.2.2.1.7</t>
  </si>
  <si>
    <t>Other entities</t>
  </si>
  <si>
    <t>2.2.2.2</t>
  </si>
  <si>
    <t>Total of other inflows by counterparty</t>
  </si>
  <si>
    <t>2.2.3. Other cash inflows</t>
  </si>
  <si>
    <t>2.2.3.1</t>
  </si>
  <si>
    <t>Other cash inflows</t>
  </si>
  <si>
    <t>2.2.3.1.1</t>
  </si>
  <si>
    <t>Derivatives cash inflow</t>
  </si>
  <si>
    <t>2.2.3.1.2</t>
  </si>
  <si>
    <t>Contractual inflows from securities maturing ≤ 30 days, not included anywhere above</t>
  </si>
  <si>
    <t>2.2.3.1.3</t>
  </si>
  <si>
    <t>Other contractual cash inflows</t>
  </si>
  <si>
    <t>2.2.3.5</t>
  </si>
  <si>
    <t>Total of other cash inflows</t>
  </si>
  <si>
    <t>2.2.4. Total cash inflows</t>
  </si>
  <si>
    <t>2.2.4.1</t>
  </si>
  <si>
    <t xml:space="preserve">Total cash inflows before applying the cap </t>
  </si>
  <si>
    <t>2.2.4.2</t>
  </si>
  <si>
    <t xml:space="preserve">Cap on cash inflows </t>
  </si>
  <si>
    <t>2.2.4.3</t>
  </si>
  <si>
    <t>Total cash inflows after applying the cap</t>
  </si>
  <si>
    <t>3. LCR</t>
  </si>
  <si>
    <t>Total stock of high quality liquid assets</t>
  </si>
  <si>
    <t>Net cash outflows</t>
  </si>
  <si>
    <t>Liquidity Coverage Ratio</t>
  </si>
  <si>
    <t>Form No: BSD/BRF 14_2 -LCR/JUN2020</t>
  </si>
</sst>
</file>

<file path=xl/styles.xml><?xml version="1.0" encoding="utf-8"?>
<styleSheet xmlns="http://schemas.openxmlformats.org/spreadsheetml/2006/main" xmlns:xr9="http://schemas.microsoft.com/office/spreadsheetml/2016/revision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
    <numFmt numFmtId="177" formatCode="0.00000"/>
    <numFmt numFmtId="178" formatCode="#,##0.0"/>
  </numFmts>
  <fonts count="31">
    <font>
      <sz val="11"/>
      <color theme="1"/>
      <name val="Calibri"/>
      <family val="2"/>
      <charset val="0"/>
      <scheme val="minor"/>
    </font>
    <font>
      <b/>
      <sz val="9"/>
      <name val="Arial"/>
      <family val="2"/>
      <charset val="0"/>
    </font>
    <font>
      <b/>
      <sz val="8"/>
      <color indexed="8"/>
      <name val="Arial"/>
      <family val="2"/>
      <charset val="0"/>
    </font>
    <font>
      <sz val="8"/>
      <color indexed="8"/>
      <name val="Arial"/>
      <family val="2"/>
      <charset val="0"/>
    </font>
    <font>
      <b/>
      <sz val="10"/>
      <color indexed="8"/>
      <name val="Arial"/>
      <family val="2"/>
      <charset val="0"/>
    </font>
    <font>
      <b/>
      <sz val="8"/>
      <name val="Arial"/>
      <family val="2"/>
      <charset val="0"/>
    </font>
    <font>
      <sz val="10"/>
      <name val="Arial"/>
      <family val="2"/>
      <charset val="0"/>
    </font>
    <font>
      <b/>
      <sz val="10"/>
      <name val="Arial"/>
      <family val="2"/>
      <charset val="0"/>
    </font>
    <font>
      <sz val="8"/>
      <name val="Arial"/>
      <family val="2"/>
      <charset val="0"/>
    </font>
    <font>
      <sz val="8"/>
      <color theme="1"/>
      <name val="Arial"/>
      <family val="2"/>
      <charset val="0"/>
    </font>
    <font>
      <u/>
      <sz val="11"/>
      <color theme="10"/>
      <name val="Calibri"/>
      <family val="2"/>
      <charset val="0"/>
      <scheme val="minor"/>
    </font>
    <font>
      <u/>
      <sz val="11"/>
      <color theme="11"/>
      <name val="Calibri"/>
      <family val="2"/>
      <charset val="0"/>
      <scheme val="minor"/>
    </font>
    <font>
      <sz val="11"/>
      <color rgb="FFFF0000"/>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6500"/>
      <name val="Calibri"/>
      <family val="2"/>
      <charset val="0"/>
      <scheme val="minor"/>
    </font>
    <font>
      <sz val="11"/>
      <color theme="0"/>
      <name val="Calibri"/>
      <family val="2"/>
      <charset val="0"/>
      <scheme val="minor"/>
    </font>
    <font>
      <b/>
      <sz val="20"/>
      <name val="Arial"/>
      <family val="2"/>
      <charset val="0"/>
    </font>
    <font>
      <b/>
      <sz val="12"/>
      <name val="Arial"/>
      <family val="2"/>
      <charset val="0"/>
    </font>
    <font>
      <sz val="10"/>
      <color theme="1"/>
      <name val="Calibri"/>
      <family val="2"/>
      <charset val="0"/>
    </font>
  </fonts>
  <fills count="4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7"/>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0" fillId="8" borderId="16" applyNumberFormat="0" applyFon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17" applyNumberFormat="0" applyFill="0" applyAlignment="0" applyProtection="0"/>
    <xf numFmtId="0" fontId="16" fillId="0" borderId="18" applyNumberFormat="0" applyFill="0" applyAlignment="0" applyProtection="0"/>
    <xf numFmtId="0" fontId="17" fillId="0" borderId="19" applyNumberFormat="0" applyFill="0" applyAlignment="0" applyProtection="0"/>
    <xf numFmtId="0" fontId="17" fillId="0" borderId="0" applyNumberFormat="0" applyFill="0" applyBorder="0" applyAlignment="0" applyProtection="0"/>
    <xf numFmtId="0" fontId="18" fillId="9" borderId="20" applyNumberFormat="0" applyAlignment="0" applyProtection="0"/>
    <xf numFmtId="0" fontId="19" fillId="10" borderId="21" applyNumberFormat="0" applyAlignment="0" applyProtection="0"/>
    <xf numFmtId="0" fontId="20" fillId="10" borderId="20" applyNumberFormat="0" applyAlignment="0" applyProtection="0"/>
    <xf numFmtId="0" fontId="21" fillId="11" borderId="22" applyNumberFormat="0" applyAlignment="0" applyProtection="0"/>
    <xf numFmtId="0" fontId="22" fillId="0" borderId="23" applyNumberFormat="0" applyFill="0" applyAlignment="0" applyProtection="0"/>
    <xf numFmtId="0" fontId="23" fillId="0" borderId="24" applyNumberFormat="0" applyFill="0" applyAlignment="0" applyProtection="0"/>
    <xf numFmtId="0" fontId="24"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7"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0" fillId="36" borderId="0" applyNumberFormat="0" applyBorder="0" applyAlignment="0" applyProtection="0"/>
    <xf numFmtId="0" fontId="0" fillId="37" borderId="0" applyNumberFormat="0" applyBorder="0" applyAlignment="0" applyProtection="0"/>
    <xf numFmtId="0" fontId="27" fillId="38" borderId="0" applyNumberFormat="0" applyBorder="0" applyAlignment="0" applyProtection="0"/>
    <xf numFmtId="0" fontId="6" fillId="2" borderId="1" applyNumberFormat="0" applyFont="0" applyBorder="0">
      <alignment horizontal="center" vertical="center"/>
    </xf>
    <xf numFmtId="0" fontId="28" fillId="0" borderId="8" applyNumberFormat="0" applyFill="0" applyBorder="0" applyAlignment="0" applyProtection="0">
      <alignment horizontal="left"/>
    </xf>
    <xf numFmtId="0" fontId="29" fillId="0" borderId="0" applyNumberFormat="0" applyFill="0" applyBorder="0" applyAlignment="0" applyProtection="0"/>
    <xf numFmtId="0" fontId="7" fillId="3" borderId="3" applyFont="0" applyBorder="0">
      <alignment horizontal="center" wrapText="1"/>
    </xf>
    <xf numFmtId="0" fontId="6" fillId="39" borderId="3" applyNumberFormat="0" applyFont="0" applyBorder="0" applyProtection="0">
      <alignment horizontal="left" vertical="center"/>
    </xf>
    <xf numFmtId="176" fontId="6" fillId="0" borderId="1">
      <alignment horizontal="right" vertical="center"/>
      <protection locked="0"/>
    </xf>
    <xf numFmtId="0" fontId="30" fillId="0" borderId="0"/>
    <xf numFmtId="0" fontId="6" fillId="0" borderId="0"/>
    <xf numFmtId="0" fontId="6" fillId="0" borderId="0"/>
    <xf numFmtId="177" fontId="6" fillId="3" borderId="1" applyFont="0">
      <alignment horizontal="right" vertical="center"/>
    </xf>
  </cellStyleXfs>
  <cellXfs count="141">
    <xf numFmtId="0" fontId="0" fillId="0" borderId="0" xfId="0"/>
    <xf numFmtId="0" fontId="0" fillId="0" borderId="0" xfId="0" applyProtection="1"/>
    <xf numFmtId="4" fontId="1" fillId="2" borderId="1" xfId="57" applyNumberFormat="1" applyFont="1" applyFill="1" applyBorder="1" applyAlignment="1" applyProtection="1">
      <alignment horizontal="center"/>
    </xf>
    <xf numFmtId="4" fontId="1" fillId="2" borderId="2" xfId="57" applyNumberFormat="1" applyFont="1" applyFill="1" applyBorder="1" applyAlignment="1" applyProtection="1">
      <alignment horizontal="center"/>
    </xf>
    <xf numFmtId="4" fontId="2" fillId="2" borderId="1" xfId="55" applyNumberFormat="1" applyFont="1" applyFill="1" applyBorder="1" applyAlignment="1" applyProtection="1">
      <alignment horizontal="left" vertical="top"/>
    </xf>
    <xf numFmtId="4" fontId="3" fillId="0" borderId="3" xfId="55" applyNumberFormat="1" applyFont="1" applyFill="1" applyBorder="1" applyAlignment="1" applyProtection="1">
      <alignment horizontal="left" vertical="top"/>
    </xf>
    <xf numFmtId="4" fontId="3" fillId="0" borderId="4" xfId="55" applyNumberFormat="1" applyFont="1" applyFill="1" applyBorder="1" applyAlignment="1" applyProtection="1">
      <alignment horizontal="left" vertical="top"/>
    </xf>
    <xf numFmtId="4" fontId="4" fillId="0" borderId="5" xfId="55" applyNumberFormat="1" applyFont="1" applyFill="1" applyBorder="1" applyAlignment="1" applyProtection="1">
      <alignment horizontal="center" vertical="top"/>
    </xf>
    <xf numFmtId="3" fontId="2" fillId="0" borderId="6" xfId="1" applyNumberFormat="1" applyFont="1" applyFill="1" applyBorder="1" applyAlignment="1" applyProtection="1">
      <alignment horizontal="center" vertical="top"/>
    </xf>
    <xf numFmtId="4" fontId="2" fillId="0" borderId="6" xfId="55" applyNumberFormat="1" applyFont="1" applyFill="1" applyBorder="1" applyAlignment="1" applyProtection="1">
      <alignment horizontal="center" vertical="top"/>
    </xf>
    <xf numFmtId="3" fontId="2" fillId="0" borderId="7" xfId="1" applyNumberFormat="1" applyFont="1" applyFill="1" applyBorder="1" applyAlignment="1" applyProtection="1">
      <alignment horizontal="center" vertical="top"/>
    </xf>
    <xf numFmtId="4" fontId="5" fillId="2" borderId="1" xfId="56" applyNumberFormat="1" applyFont="1" applyFill="1" applyBorder="1" applyAlignment="1" applyProtection="1">
      <alignment horizontal="left" vertical="top"/>
    </xf>
    <xf numFmtId="4" fontId="6" fillId="0" borderId="3" xfId="56" applyNumberFormat="1" applyFont="1" applyFill="1" applyBorder="1" applyAlignment="1" applyProtection="1">
      <alignment horizontal="left"/>
    </xf>
    <xf numFmtId="4" fontId="6" fillId="0" borderId="4" xfId="56" applyNumberFormat="1" applyFont="1" applyFill="1" applyBorder="1" applyAlignment="1" applyProtection="1">
      <alignment horizontal="left"/>
    </xf>
    <xf numFmtId="4" fontId="4" fillId="0" borderId="8" xfId="55" applyNumberFormat="1" applyFont="1" applyFill="1" applyBorder="1" applyAlignment="1" applyProtection="1">
      <alignment horizontal="center" vertical="top"/>
    </xf>
    <xf numFmtId="3" fontId="2" fillId="0" borderId="0" xfId="1" applyNumberFormat="1" applyFont="1" applyFill="1" applyBorder="1" applyAlignment="1" applyProtection="1">
      <alignment horizontal="center" vertical="top"/>
    </xf>
    <xf numFmtId="4" fontId="2" fillId="0" borderId="0" xfId="55" applyNumberFormat="1" applyFont="1" applyFill="1" applyBorder="1" applyAlignment="1" applyProtection="1">
      <alignment horizontal="center" vertical="top"/>
    </xf>
    <xf numFmtId="3" fontId="2" fillId="0" borderId="9" xfId="1" applyNumberFormat="1" applyFont="1" applyFill="1" applyBorder="1" applyAlignment="1" applyProtection="1">
      <alignment horizontal="center" vertical="top"/>
    </xf>
    <xf numFmtId="4" fontId="4" fillId="0" borderId="10" xfId="55" applyNumberFormat="1" applyFont="1" applyFill="1" applyBorder="1" applyAlignment="1" applyProtection="1">
      <alignment horizontal="center" vertical="top"/>
    </xf>
    <xf numFmtId="3" fontId="2" fillId="0" borderId="11" xfId="1" applyNumberFormat="1" applyFont="1" applyFill="1" applyBorder="1" applyAlignment="1" applyProtection="1">
      <alignment horizontal="center" vertical="top"/>
    </xf>
    <xf numFmtId="4" fontId="2" fillId="0" borderId="11" xfId="55" applyNumberFormat="1" applyFont="1" applyFill="1" applyBorder="1" applyAlignment="1" applyProtection="1">
      <alignment horizontal="center" vertical="top"/>
    </xf>
    <xf numFmtId="3" fontId="2" fillId="0" borderId="12" xfId="1" applyNumberFormat="1" applyFont="1" applyFill="1" applyBorder="1" applyAlignment="1" applyProtection="1">
      <alignment horizontal="center" vertical="top"/>
    </xf>
    <xf numFmtId="4" fontId="7" fillId="3" borderId="1" xfId="50" applyNumberFormat="1" applyFont="1" applyFill="1" applyBorder="1" applyAlignment="1" applyProtection="1">
      <alignment horizontal="left" vertical="top"/>
    </xf>
    <xf numFmtId="4" fontId="7" fillId="3" borderId="13" xfId="50" applyNumberFormat="1" applyFont="1" applyFill="1" applyBorder="1" applyAlignment="1" applyProtection="1">
      <alignment horizontal="left" vertical="top"/>
    </xf>
    <xf numFmtId="4" fontId="5" fillId="4" borderId="1" xfId="51" applyNumberFormat="1" applyFont="1" applyFill="1" applyBorder="1" applyAlignment="1" applyProtection="1">
      <alignment horizontal="left" vertical="top"/>
    </xf>
    <xf numFmtId="4" fontId="5" fillId="4" borderId="1" xfId="55" applyNumberFormat="1" applyFont="1" applyFill="1" applyBorder="1" applyAlignment="1" applyProtection="1">
      <alignment horizontal="left" vertical="top"/>
    </xf>
    <xf numFmtId="4" fontId="5" fillId="3" borderId="1" xfId="51" applyNumberFormat="1" applyFont="1" applyFill="1" applyBorder="1" applyAlignment="1" applyProtection="1">
      <alignment horizontal="left" vertical="top"/>
    </xf>
    <xf numFmtId="4" fontId="2" fillId="4" borderId="1" xfId="55" applyNumberFormat="1" applyFont="1" applyFill="1" applyBorder="1" applyAlignment="1" applyProtection="1">
      <alignment horizontal="left" vertical="top"/>
    </xf>
    <xf numFmtId="3" fontId="5" fillId="4" borderId="1" xfId="1" applyNumberFormat="1" applyFont="1" applyFill="1" applyBorder="1" applyAlignment="1" applyProtection="1">
      <alignment horizontal="center" vertical="top" wrapText="1"/>
    </xf>
    <xf numFmtId="4" fontId="5" fillId="4" borderId="1" xfId="52" applyNumberFormat="1" applyFont="1" applyFill="1" applyBorder="1" applyAlignment="1" applyProtection="1">
      <alignment horizontal="center" vertical="top" wrapText="1"/>
    </xf>
    <xf numFmtId="4" fontId="3" fillId="3" borderId="1" xfId="55" applyNumberFormat="1" applyFont="1" applyFill="1" applyBorder="1" applyAlignment="1" applyProtection="1">
      <alignment horizontal="right" vertical="top"/>
    </xf>
    <xf numFmtId="4" fontId="2" fillId="3" borderId="1" xfId="55" applyNumberFormat="1" applyFont="1" applyFill="1" applyBorder="1" applyAlignment="1" applyProtection="1">
      <alignment horizontal="left" vertical="top" wrapText="1"/>
    </xf>
    <xf numFmtId="3" fontId="3" fillId="3" borderId="1" xfId="1" applyNumberFormat="1" applyFont="1" applyFill="1" applyBorder="1" applyAlignment="1" applyProtection="1">
      <alignment horizontal="right" wrapText="1"/>
      <protection locked="0"/>
    </xf>
    <xf numFmtId="4" fontId="3" fillId="5" borderId="1" xfId="58" applyNumberFormat="1" applyFont="1" applyFill="1" applyBorder="1" applyAlignment="1" applyProtection="1">
      <alignment horizontal="right" vertical="top"/>
    </xf>
    <xf numFmtId="3" fontId="3" fillId="5" borderId="1" xfId="1" applyNumberFormat="1" applyFont="1" applyFill="1" applyBorder="1" applyAlignment="1" applyProtection="1">
      <alignment horizontal="right" vertical="top"/>
    </xf>
    <xf numFmtId="3" fontId="8" fillId="4" borderId="1" xfId="49" applyNumberFormat="1" applyFont="1" applyFill="1" applyBorder="1" applyAlignment="1" applyProtection="1">
      <alignment horizontal="right" vertical="top"/>
    </xf>
    <xf numFmtId="4" fontId="8" fillId="4" borderId="1" xfId="49" applyNumberFormat="1" applyFont="1" applyFill="1" applyBorder="1" applyAlignment="1" applyProtection="1">
      <alignment horizontal="right" vertical="top"/>
    </xf>
    <xf numFmtId="3" fontId="8" fillId="4" borderId="1" xfId="1" applyNumberFormat="1" applyFont="1" applyFill="1" applyBorder="1" applyAlignment="1" applyProtection="1">
      <alignment horizontal="right" vertical="center"/>
    </xf>
    <xf numFmtId="4" fontId="3" fillId="0" borderId="1" xfId="55" applyNumberFormat="1" applyFont="1" applyFill="1" applyBorder="1" applyAlignment="1" applyProtection="1">
      <alignment horizontal="right" vertical="top"/>
    </xf>
    <xf numFmtId="4" fontId="3" fillId="0" borderId="1" xfId="55" applyNumberFormat="1" applyFont="1" applyFill="1" applyBorder="1" applyAlignment="1" applyProtection="1">
      <alignment horizontal="left" vertical="top" wrapText="1"/>
    </xf>
    <xf numFmtId="3" fontId="3" fillId="6" borderId="14" xfId="1" applyNumberFormat="1" applyFont="1" applyFill="1" applyBorder="1" applyAlignment="1" applyProtection="1">
      <alignment horizontal="right" wrapText="1"/>
      <protection locked="0"/>
    </xf>
    <xf numFmtId="4" fontId="3" fillId="4" borderId="1" xfId="58" applyNumberFormat="1" applyFont="1" applyFill="1" applyBorder="1" applyAlignment="1" applyProtection="1">
      <alignment horizontal="right" vertical="center"/>
    </xf>
    <xf numFmtId="3" fontId="3" fillId="4" borderId="1" xfId="1" applyNumberFormat="1" applyFont="1" applyFill="1" applyBorder="1" applyAlignment="1" applyProtection="1">
      <alignment horizontal="right" vertical="top"/>
    </xf>
    <xf numFmtId="3" fontId="2" fillId="4" borderId="1" xfId="1" applyNumberFormat="1" applyFont="1" applyFill="1" applyBorder="1" applyAlignment="1" applyProtection="1">
      <alignment horizontal="right" vertical="top" wrapText="1"/>
    </xf>
    <xf numFmtId="4" fontId="8" fillId="2" borderId="1" xfId="49" applyNumberFormat="1" applyFont="1" applyBorder="1" applyAlignment="1" applyProtection="1">
      <alignment horizontal="right" vertical="top"/>
    </xf>
    <xf numFmtId="3" fontId="5" fillId="4" borderId="1" xfId="1" applyNumberFormat="1" applyFont="1" applyFill="1" applyBorder="1" applyAlignment="1" applyProtection="1">
      <alignment horizontal="right" vertical="top"/>
    </xf>
    <xf numFmtId="4" fontId="2" fillId="0" borderId="1" xfId="55" applyNumberFormat="1" applyFont="1" applyFill="1" applyBorder="1" applyAlignment="1" applyProtection="1">
      <alignment horizontal="left" vertical="top" wrapText="1"/>
    </xf>
    <xf numFmtId="4" fontId="3" fillId="7" borderId="1" xfId="55" applyNumberFormat="1" applyFont="1" applyFill="1" applyBorder="1" applyAlignment="1" applyProtection="1">
      <alignment horizontal="left" vertical="top" wrapText="1"/>
    </xf>
    <xf numFmtId="3" fontId="3" fillId="7" borderId="1" xfId="1" applyNumberFormat="1" applyFont="1" applyFill="1" applyBorder="1" applyAlignment="1" applyProtection="1">
      <alignment horizontal="right" vertical="center" wrapText="1"/>
    </xf>
    <xf numFmtId="4" fontId="3" fillId="5" borderId="1" xfId="58" applyNumberFormat="1" applyFont="1" applyFill="1" applyBorder="1" applyAlignment="1" applyProtection="1">
      <alignment horizontal="right" vertical="center"/>
    </xf>
    <xf numFmtId="3" fontId="3" fillId="5" borderId="1" xfId="1" applyNumberFormat="1" applyFont="1" applyFill="1" applyBorder="1" applyAlignment="1" applyProtection="1">
      <alignment horizontal="right" vertical="center"/>
    </xf>
    <xf numFmtId="3" fontId="5" fillId="2" borderId="1" xfId="1" applyNumberFormat="1" applyFont="1" applyFill="1" applyBorder="1" applyAlignment="1" applyProtection="1">
      <alignment horizontal="right" vertical="top"/>
    </xf>
    <xf numFmtId="4" fontId="3" fillId="3" borderId="1" xfId="55" applyNumberFormat="1" applyFont="1" applyFill="1" applyBorder="1" applyAlignment="1" applyProtection="1">
      <alignment horizontal="left" vertical="top" wrapText="1"/>
    </xf>
    <xf numFmtId="3" fontId="8" fillId="4" borderId="1" xfId="1" applyNumberFormat="1" applyFont="1" applyFill="1" applyBorder="1" applyAlignment="1" applyProtection="1">
      <alignment horizontal="right" vertical="top"/>
    </xf>
    <xf numFmtId="3" fontId="8" fillId="2" borderId="1" xfId="1" applyNumberFormat="1" applyFont="1" applyFill="1" applyBorder="1" applyAlignment="1" applyProtection="1">
      <alignment horizontal="right" vertical="top"/>
    </xf>
    <xf numFmtId="4" fontId="5" fillId="4" borderId="1" xfId="55" applyNumberFormat="1" applyFont="1" applyFill="1" applyBorder="1" applyAlignment="1" applyProtection="1">
      <alignment vertical="top"/>
    </xf>
    <xf numFmtId="4" fontId="2" fillId="3" borderId="1" xfId="55" applyNumberFormat="1" applyFont="1" applyFill="1" applyBorder="1" applyAlignment="1" applyProtection="1">
      <alignment vertical="top" wrapText="1"/>
    </xf>
    <xf numFmtId="4" fontId="2" fillId="2" borderId="1" xfId="49" applyNumberFormat="1" applyFont="1" applyBorder="1" applyAlignment="1" applyProtection="1">
      <alignment horizontal="right" vertical="top" wrapText="1"/>
    </xf>
    <xf numFmtId="3" fontId="2" fillId="2" borderId="1" xfId="1" applyNumberFormat="1" applyFont="1" applyFill="1" applyBorder="1" applyAlignment="1" applyProtection="1">
      <alignment horizontal="right" vertical="top" wrapText="1"/>
    </xf>
    <xf numFmtId="4" fontId="3" fillId="0" borderId="1" xfId="55" applyNumberFormat="1" applyFont="1" applyFill="1" applyBorder="1" applyAlignment="1" applyProtection="1">
      <alignment vertical="top" wrapText="1"/>
    </xf>
    <xf numFmtId="3" fontId="2" fillId="5" borderId="1" xfId="1" applyNumberFormat="1" applyFont="1" applyFill="1" applyBorder="1" applyAlignment="1" applyProtection="1">
      <alignment horizontal="right" wrapText="1"/>
    </xf>
    <xf numFmtId="4" fontId="3" fillId="2" borderId="1" xfId="49" applyNumberFormat="1" applyFont="1" applyBorder="1" applyAlignment="1" applyProtection="1">
      <alignment horizontal="right" vertical="top"/>
    </xf>
    <xf numFmtId="4" fontId="3" fillId="3" borderId="1" xfId="55" applyNumberFormat="1" applyFont="1" applyFill="1" applyBorder="1" applyAlignment="1" applyProtection="1">
      <alignment vertical="top" wrapText="1"/>
    </xf>
    <xf numFmtId="3" fontId="2" fillId="5" borderId="1" xfId="1" applyNumberFormat="1" applyFont="1" applyFill="1" applyBorder="1" applyAlignment="1" applyProtection="1">
      <alignment horizontal="right" vertical="top"/>
    </xf>
    <xf numFmtId="3" fontId="3" fillId="3" borderId="1" xfId="1" applyNumberFormat="1" applyFont="1" applyFill="1" applyBorder="1" applyAlignment="1" applyProtection="1">
      <alignment wrapText="1"/>
      <protection locked="0"/>
    </xf>
    <xf numFmtId="4" fontId="3" fillId="5" borderId="1" xfId="58" applyNumberFormat="1" applyFont="1" applyFill="1" applyBorder="1" applyAlignment="1" applyProtection="1">
      <alignment vertical="top"/>
    </xf>
    <xf numFmtId="3" fontId="3" fillId="5" borderId="1" xfId="1" applyNumberFormat="1" applyFont="1" applyFill="1" applyBorder="1" applyAlignment="1" applyProtection="1">
      <alignment vertical="top"/>
    </xf>
    <xf numFmtId="4" fontId="3" fillId="2" borderId="1" xfId="49" applyNumberFormat="1" applyFont="1" applyBorder="1" applyAlignment="1" applyProtection="1">
      <alignment vertical="top"/>
    </xf>
    <xf numFmtId="3" fontId="3" fillId="4" borderId="1" xfId="1" applyNumberFormat="1" applyFont="1" applyFill="1" applyBorder="1" applyAlignment="1" applyProtection="1">
      <alignment vertical="top"/>
    </xf>
    <xf numFmtId="3" fontId="8" fillId="2" borderId="1" xfId="1" applyNumberFormat="1" applyFont="1" applyFill="1" applyBorder="1" applyAlignment="1" applyProtection="1">
      <alignment vertical="top"/>
    </xf>
    <xf numFmtId="4" fontId="3" fillId="3" borderId="1" xfId="55" applyNumberFormat="1" applyFont="1" applyFill="1" applyBorder="1" applyAlignment="1" applyProtection="1">
      <alignment horizontal="center" vertical="top"/>
    </xf>
    <xf numFmtId="178" fontId="2" fillId="6" borderId="1" xfId="55" applyNumberFormat="1" applyFont="1" applyFill="1" applyBorder="1" applyAlignment="1" applyProtection="1">
      <alignment horizontal="right" vertical="top"/>
    </xf>
    <xf numFmtId="4" fontId="2" fillId="6" borderId="1" xfId="55" applyNumberFormat="1" applyFont="1" applyFill="1" applyBorder="1" applyAlignment="1" applyProtection="1">
      <alignment horizontal="left" vertical="top" wrapText="1"/>
    </xf>
    <xf numFmtId="4" fontId="2" fillId="6" borderId="1" xfId="55" applyNumberFormat="1" applyFont="1" applyFill="1" applyBorder="1" applyAlignment="1" applyProtection="1">
      <alignment horizontal="left" vertical="top"/>
    </xf>
    <xf numFmtId="3" fontId="5" fillId="4" borderId="1" xfId="1" applyNumberFormat="1" applyFont="1" applyFill="1" applyBorder="1" applyAlignment="1" applyProtection="1">
      <alignment vertical="top" wrapText="1"/>
    </xf>
    <xf numFmtId="4" fontId="3" fillId="5" borderId="1" xfId="49" applyNumberFormat="1" applyFont="1" applyFill="1" applyBorder="1" applyAlignment="1" applyProtection="1">
      <alignment vertical="top"/>
    </xf>
    <xf numFmtId="4" fontId="5" fillId="3" borderId="1" xfId="51" applyNumberFormat="1" applyFont="1" applyFill="1" applyBorder="1" applyAlignment="1" applyProtection="1">
      <alignment vertical="top"/>
    </xf>
    <xf numFmtId="3" fontId="2" fillId="4" borderId="1" xfId="1" applyNumberFormat="1" applyFont="1" applyFill="1" applyBorder="1" applyAlignment="1" applyProtection="1">
      <alignment horizontal="right" vertical="top"/>
    </xf>
    <xf numFmtId="4" fontId="8" fillId="0" borderId="1" xfId="55" applyNumberFormat="1" applyFont="1" applyFill="1" applyBorder="1" applyAlignment="1" applyProtection="1">
      <alignment horizontal="left" vertical="top" wrapText="1"/>
    </xf>
    <xf numFmtId="4" fontId="3" fillId="0" borderId="1" xfId="55" applyNumberFormat="1" applyFont="1" applyFill="1" applyBorder="1" applyAlignment="1" applyProtection="1">
      <alignment horizontal="right" vertical="center"/>
    </xf>
    <xf numFmtId="4" fontId="2" fillId="0" borderId="1" xfId="55" applyNumberFormat="1" applyFont="1" applyFill="1" applyBorder="1" applyAlignment="1" applyProtection="1">
      <alignment horizontal="left" vertical="center" wrapText="1"/>
    </xf>
    <xf numFmtId="3" fontId="2" fillId="4" borderId="1" xfId="1" applyNumberFormat="1" applyFont="1" applyFill="1" applyBorder="1" applyAlignment="1" applyProtection="1">
      <alignment horizontal="right" vertical="center" wrapText="1"/>
    </xf>
    <xf numFmtId="4" fontId="3" fillId="2" borderId="1" xfId="49" applyNumberFormat="1" applyFont="1" applyBorder="1" applyAlignment="1" applyProtection="1">
      <alignment horizontal="right" vertical="center"/>
    </xf>
    <xf numFmtId="3" fontId="2" fillId="2" borderId="1" xfId="1" applyNumberFormat="1" applyFont="1" applyFill="1" applyBorder="1" applyAlignment="1" applyProtection="1">
      <alignment horizontal="right" vertical="top"/>
    </xf>
    <xf numFmtId="4" fontId="2" fillId="2" borderId="1" xfId="49" applyNumberFormat="1" applyFont="1" applyBorder="1" applyAlignment="1" applyProtection="1">
      <alignment horizontal="right" vertical="top"/>
    </xf>
    <xf numFmtId="3" fontId="3" fillId="0" borderId="1" xfId="1" applyNumberFormat="1" applyFont="1" applyFill="1" applyBorder="1" applyAlignment="1" applyProtection="1">
      <alignment horizontal="right" vertical="top"/>
      <protection locked="0"/>
    </xf>
    <xf numFmtId="4" fontId="5" fillId="0" borderId="1" xfId="55" applyNumberFormat="1" applyFont="1" applyFill="1" applyBorder="1" applyAlignment="1" applyProtection="1">
      <alignment horizontal="left" vertical="top" wrapText="1"/>
    </xf>
    <xf numFmtId="4" fontId="2" fillId="4" borderId="1" xfId="49" applyNumberFormat="1" applyFont="1" applyFill="1" applyBorder="1" applyAlignment="1" applyProtection="1">
      <alignment vertical="top"/>
    </xf>
    <xf numFmtId="3" fontId="2" fillId="2" borderId="1" xfId="1" applyNumberFormat="1" applyFont="1" applyFill="1" applyBorder="1" applyAlignment="1" applyProtection="1">
      <alignment vertical="top"/>
    </xf>
    <xf numFmtId="4" fontId="2" fillId="2" borderId="1" xfId="49" applyNumberFormat="1" applyFont="1" applyBorder="1" applyAlignment="1" applyProtection="1">
      <alignment vertical="top"/>
    </xf>
    <xf numFmtId="4" fontId="5" fillId="0" borderId="1" xfId="55" applyNumberFormat="1" applyFont="1" applyFill="1" applyBorder="1" applyAlignment="1" applyProtection="1">
      <alignment horizontal="left" vertical="top"/>
    </xf>
    <xf numFmtId="4" fontId="8" fillId="0" borderId="1" xfId="55" applyNumberFormat="1" applyFont="1" applyFill="1" applyBorder="1" applyAlignment="1" applyProtection="1">
      <alignment horizontal="left" vertical="top"/>
    </xf>
    <xf numFmtId="4" fontId="3" fillId="3" borderId="1" xfId="0" applyNumberFormat="1" applyFont="1" applyFill="1" applyBorder="1" applyAlignment="1" applyProtection="1">
      <alignment wrapText="1"/>
      <protection locked="0"/>
    </xf>
    <xf numFmtId="3" fontId="3" fillId="0" borderId="1" xfId="1" applyNumberFormat="1" applyFont="1" applyFill="1" applyBorder="1" applyAlignment="1" applyProtection="1">
      <alignment vertical="top"/>
      <protection locked="0"/>
    </xf>
    <xf numFmtId="4" fontId="3" fillId="0" borderId="1" xfId="54" applyNumberFormat="1" applyFont="1" applyFill="1" applyBorder="1" applyAlignment="1" applyProtection="1">
      <alignment vertical="top"/>
      <protection locked="0"/>
    </xf>
    <xf numFmtId="4" fontId="5" fillId="0" borderId="1" xfId="55" applyNumberFormat="1" applyFont="1" applyFill="1" applyBorder="1" applyAlignment="1" applyProtection="1">
      <alignment horizontal="left" vertical="center" wrapText="1"/>
    </xf>
    <xf numFmtId="4" fontId="2" fillId="4" borderId="1" xfId="49" applyNumberFormat="1" applyFont="1" applyFill="1" applyBorder="1" applyAlignment="1" applyProtection="1">
      <alignment vertical="center"/>
    </xf>
    <xf numFmtId="3" fontId="3" fillId="5" borderId="1" xfId="1" applyNumberFormat="1" applyFont="1" applyFill="1" applyBorder="1" applyAlignment="1" applyProtection="1">
      <alignment vertical="center"/>
    </xf>
    <xf numFmtId="4" fontId="2" fillId="2" borderId="1" xfId="49" applyNumberFormat="1" applyFont="1" applyBorder="1" applyAlignment="1" applyProtection="1">
      <alignment vertical="center"/>
    </xf>
    <xf numFmtId="3" fontId="2" fillId="2" borderId="1" xfId="1" applyNumberFormat="1" applyFont="1" applyFill="1" applyBorder="1" applyAlignment="1" applyProtection="1">
      <alignment vertical="center"/>
    </xf>
    <xf numFmtId="3" fontId="2" fillId="4" borderId="1" xfId="1" applyNumberFormat="1" applyFont="1" applyFill="1" applyBorder="1" applyAlignment="1" applyProtection="1">
      <alignment vertical="top"/>
    </xf>
    <xf numFmtId="4" fontId="3" fillId="3" borderId="1" xfId="55" applyNumberFormat="1" applyFont="1" applyFill="1" applyBorder="1" applyAlignment="1" applyProtection="1">
      <alignment horizontal="right" vertical="center"/>
    </xf>
    <xf numFmtId="4" fontId="3" fillId="3" borderId="1" xfId="55" applyNumberFormat="1" applyFont="1" applyFill="1" applyBorder="1" applyAlignment="1" applyProtection="1">
      <alignment horizontal="left" vertical="center" wrapText="1"/>
    </xf>
    <xf numFmtId="3" fontId="3" fillId="3" borderId="1" xfId="1" applyNumberFormat="1" applyFont="1" applyFill="1" applyBorder="1" applyAlignment="1" applyProtection="1">
      <alignment vertical="center" wrapText="1"/>
      <protection locked="0"/>
    </xf>
    <xf numFmtId="4" fontId="3" fillId="5" borderId="1" xfId="58" applyNumberFormat="1" applyFont="1" applyFill="1" applyBorder="1" applyAlignment="1" applyProtection="1">
      <alignment vertical="center"/>
    </xf>
    <xf numFmtId="0" fontId="0" fillId="0" borderId="1" xfId="0" applyFill="1" applyBorder="1" applyAlignment="1" applyProtection="1">
      <alignment horizontal="left" vertical="top" wrapText="1"/>
    </xf>
    <xf numFmtId="0" fontId="0" fillId="7" borderId="1" xfId="0" applyFill="1" applyBorder="1" applyAlignment="1" applyProtection="1">
      <alignment horizontal="left" vertical="top" wrapText="1"/>
    </xf>
    <xf numFmtId="4" fontId="2" fillId="4" borderId="1" xfId="55" applyNumberFormat="1" applyFont="1" applyFill="1" applyBorder="1" applyAlignment="1" applyProtection="1">
      <alignment horizontal="left" vertical="top" wrapText="1"/>
    </xf>
    <xf numFmtId="4" fontId="3" fillId="0" borderId="1" xfId="55" applyNumberFormat="1" applyFont="1" applyFill="1" applyBorder="1" applyAlignment="1" applyProtection="1">
      <alignment vertical="top"/>
    </xf>
    <xf numFmtId="4" fontId="8" fillId="2" borderId="1" xfId="49" applyNumberFormat="1" applyFont="1" applyBorder="1" applyAlignment="1" applyProtection="1">
      <alignment vertical="top"/>
    </xf>
    <xf numFmtId="4" fontId="3" fillId="5" borderId="1" xfId="54" applyNumberFormat="1" applyFont="1" applyFill="1" applyBorder="1" applyAlignment="1" applyProtection="1">
      <alignment vertical="top"/>
    </xf>
    <xf numFmtId="4" fontId="3" fillId="3" borderId="1" xfId="55" applyNumberFormat="1" applyFont="1" applyFill="1" applyBorder="1" applyAlignment="1" applyProtection="1">
      <alignment vertical="top"/>
    </xf>
    <xf numFmtId="3" fontId="8" fillId="5" borderId="1" xfId="1" applyNumberFormat="1" applyFont="1" applyFill="1" applyBorder="1" applyAlignment="1" applyProtection="1">
      <alignment vertical="top"/>
    </xf>
    <xf numFmtId="4" fontId="3" fillId="3" borderId="1" xfId="55" applyNumberFormat="1" applyFont="1" applyFill="1" applyBorder="1" applyAlignment="1" applyProtection="1">
      <alignment horizontal="center" vertical="top" wrapText="1"/>
    </xf>
    <xf numFmtId="4" fontId="8" fillId="6" borderId="1" xfId="55" applyNumberFormat="1" applyFont="1" applyFill="1" applyBorder="1" applyAlignment="1" applyProtection="1">
      <alignment horizontal="center" vertical="top"/>
    </xf>
    <xf numFmtId="3" fontId="9" fillId="6" borderId="1" xfId="1" applyNumberFormat="1" applyFont="1" applyFill="1" applyBorder="1" applyAlignment="1" applyProtection="1">
      <alignment vertical="top"/>
    </xf>
    <xf numFmtId="4" fontId="9" fillId="6" borderId="1" xfId="0" applyNumberFormat="1" applyFont="1" applyFill="1" applyBorder="1" applyAlignment="1" applyProtection="1">
      <alignment vertical="top"/>
    </xf>
    <xf numFmtId="4" fontId="5" fillId="3" borderId="1" xfId="55" applyNumberFormat="1" applyFont="1" applyFill="1" applyBorder="1" applyAlignment="1" applyProtection="1">
      <alignment horizontal="left" vertical="top" wrapText="1"/>
    </xf>
    <xf numFmtId="3" fontId="2" fillId="4" borderId="1" xfId="1" applyNumberFormat="1" applyFont="1" applyFill="1" applyBorder="1" applyAlignment="1" applyProtection="1">
      <alignment vertical="top" wrapText="1"/>
    </xf>
    <xf numFmtId="4" fontId="2" fillId="2" borderId="1" xfId="49" applyNumberFormat="1" applyFont="1" applyBorder="1" applyAlignment="1" applyProtection="1">
      <alignment vertical="top" wrapText="1"/>
    </xf>
    <xf numFmtId="3" fontId="2" fillId="2" borderId="1" xfId="1" applyNumberFormat="1" applyFont="1" applyFill="1" applyBorder="1" applyAlignment="1" applyProtection="1">
      <alignment vertical="top" wrapText="1"/>
    </xf>
    <xf numFmtId="3" fontId="3" fillId="0" borderId="1" xfId="1" applyNumberFormat="1" applyFont="1" applyFill="1" applyBorder="1" applyAlignment="1" applyProtection="1">
      <alignment wrapText="1"/>
      <protection locked="0"/>
    </xf>
    <xf numFmtId="4" fontId="2" fillId="0" borderId="1" xfId="55" applyNumberFormat="1" applyFont="1" applyFill="1" applyBorder="1" applyAlignment="1" applyProtection="1">
      <alignment horizontal="left" vertical="top"/>
    </xf>
    <xf numFmtId="4" fontId="3" fillId="3" borderId="1" xfId="55" applyNumberFormat="1" applyFont="1" applyFill="1" applyBorder="1" applyAlignment="1" applyProtection="1">
      <alignment horizontal="left" vertical="top"/>
    </xf>
    <xf numFmtId="4" fontId="3" fillId="6" borderId="1" xfId="53" applyNumberFormat="1" applyFont="1" applyFill="1" applyBorder="1" applyAlignment="1" applyProtection="1">
      <alignment horizontal="left" vertical="top"/>
    </xf>
    <xf numFmtId="4" fontId="3" fillId="0" borderId="1" xfId="55" applyNumberFormat="1" applyFont="1" applyFill="1" applyBorder="1" applyAlignment="1" applyProtection="1">
      <alignment horizontal="left" vertical="top"/>
    </xf>
    <xf numFmtId="4" fontId="2" fillId="4" borderId="1" xfId="49" applyNumberFormat="1" applyFont="1" applyFill="1" applyBorder="1" applyAlignment="1" applyProtection="1">
      <alignment vertical="top" wrapText="1"/>
    </xf>
    <xf numFmtId="4" fontId="2" fillId="2" borderId="1" xfId="49" applyNumberFormat="1" applyFont="1" applyBorder="1" applyAlignment="1" applyProtection="1">
      <alignment horizontal="center" vertical="top" wrapText="1"/>
    </xf>
    <xf numFmtId="4" fontId="3" fillId="5" borderId="1" xfId="49" applyNumberFormat="1" applyFont="1" applyFill="1" applyBorder="1" applyAlignment="1" applyProtection="1">
      <alignment vertical="top" wrapText="1"/>
    </xf>
    <xf numFmtId="3" fontId="3" fillId="5" borderId="1" xfId="1" applyNumberFormat="1" applyFont="1" applyFill="1" applyBorder="1" applyAlignment="1" applyProtection="1">
      <alignment vertical="top" wrapText="1"/>
    </xf>
    <xf numFmtId="3" fontId="9" fillId="0" borderId="1" xfId="1" applyNumberFormat="1" applyFont="1" applyFill="1" applyBorder="1" applyAlignment="1" applyProtection="1">
      <protection locked="0"/>
    </xf>
    <xf numFmtId="4" fontId="5" fillId="4" borderId="1" xfId="52" applyNumberFormat="1" applyFont="1" applyFill="1" applyBorder="1" applyAlignment="1" applyProtection="1">
      <alignment vertical="top" wrapText="1"/>
    </xf>
    <xf numFmtId="4" fontId="9" fillId="6" borderId="1" xfId="55" applyNumberFormat="1" applyFont="1" applyFill="1" applyBorder="1" applyAlignment="1" applyProtection="1">
      <alignment vertical="top"/>
    </xf>
    <xf numFmtId="4" fontId="3" fillId="6" borderId="2" xfId="53" applyNumberFormat="1" applyFont="1" applyFill="1" applyBorder="1" applyAlignment="1" applyProtection="1">
      <alignment horizontal="left" vertical="top"/>
    </xf>
    <xf numFmtId="10" fontId="3" fillId="5" borderId="2" xfId="3" applyNumberFormat="1" applyFont="1" applyFill="1" applyBorder="1" applyAlignment="1" applyProtection="1">
      <alignment vertical="top"/>
    </xf>
    <xf numFmtId="4" fontId="9" fillId="0" borderId="1" xfId="0" applyNumberFormat="1" applyFont="1" applyBorder="1" applyProtection="1"/>
    <xf numFmtId="4" fontId="5" fillId="4" borderId="3" xfId="56" applyNumberFormat="1" applyFont="1" applyFill="1" applyBorder="1" applyAlignment="1" applyProtection="1">
      <alignment wrapText="1"/>
    </xf>
    <xf numFmtId="4" fontId="9" fillId="0" borderId="3" xfId="0" applyNumberFormat="1" applyFont="1" applyBorder="1" applyProtection="1"/>
    <xf numFmtId="4" fontId="9" fillId="0" borderId="4" xfId="0" applyNumberFormat="1" applyFont="1" applyBorder="1" applyProtection="1"/>
    <xf numFmtId="3" fontId="9" fillId="0" borderId="4" xfId="1" applyNumberFormat="1" applyFont="1" applyBorder="1" applyProtection="1"/>
    <xf numFmtId="3" fontId="9" fillId="0" borderId="15" xfId="1" applyNumberFormat="1" applyFont="1" applyBorder="1" applyProtection="1"/>
  </cellXfs>
  <cellStyles count="5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greyed" xfId="49"/>
    <cellStyle name="Heading 1 2" xfId="50"/>
    <cellStyle name="Heading 2 2" xfId="51"/>
    <cellStyle name="HeadingTable" xfId="52"/>
    <cellStyle name="highlightText" xfId="53"/>
    <cellStyle name="inputExposure" xfId="54"/>
    <cellStyle name="Normal 2" xfId="55"/>
    <cellStyle name="Normal 3" xfId="56"/>
    <cellStyle name="Normal 5" xfId="57"/>
    <cellStyle name="showParameterE" xfId="58"/>
  </cellStyles>
  <tableStyles count="0" defaultTableStyle="TableStyleMedium2" defaultPivotStyle="PivotStyleLight16"/>
  <colors>
    <mruColors>
      <color rgb="00FFFF00"/>
      <color rgb="00C0C0C0"/>
      <color rgb="00BFBFBF"/>
      <color rgb="00FFFFFF"/>
      <color rgb="00D9D9D9"/>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71</xdr:row>
      <xdr:rowOff>0</xdr:rowOff>
    </xdr:from>
    <xdr:to>
      <xdr:col>1</xdr:col>
      <xdr:colOff>109855</xdr:colOff>
      <xdr:row>71</xdr:row>
      <xdr:rowOff>180975</xdr:rowOff>
    </xdr:to>
    <xdr:sp>
      <xdr:nvSpPr>
        <xdr:cNvPr id="1649" name="Text Box 3261"/>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0" name="Text Box 3262"/>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1" name="Text Box 3263"/>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2" name="Text Box 3264"/>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3" name="Text Box 3265"/>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4" name="Text Box 3266"/>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5" name="Text Box 3267"/>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6" name="Text Box 3268"/>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7" name="Text Box 3261"/>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8" name="Text Box 3262"/>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59" name="Text Box 3263"/>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60" name="Text Box 3264"/>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61" name="Text Box 3265"/>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62" name="Text Box 3266"/>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63" name="Text Box 3267"/>
        <xdr:cNvSpPr txBox="1"/>
      </xdr:nvSpPr>
      <xdr:spPr>
        <a:xfrm>
          <a:off x="638175" y="13204825"/>
          <a:ext cx="109855" cy="180975"/>
        </a:xfrm>
        <a:prstGeom prst="rect">
          <a:avLst/>
        </a:prstGeom>
        <a:noFill/>
        <a:ln w="9525">
          <a:noFill/>
        </a:ln>
      </xdr:spPr>
    </xdr:sp>
    <xdr:clientData/>
  </xdr:twoCellAnchor>
  <xdr:twoCellAnchor editAs="oneCell">
    <xdr:from>
      <xdr:col>1</xdr:col>
      <xdr:colOff>0</xdr:colOff>
      <xdr:row>71</xdr:row>
      <xdr:rowOff>0</xdr:rowOff>
    </xdr:from>
    <xdr:to>
      <xdr:col>1</xdr:col>
      <xdr:colOff>109855</xdr:colOff>
      <xdr:row>71</xdr:row>
      <xdr:rowOff>180975</xdr:rowOff>
    </xdr:to>
    <xdr:sp>
      <xdr:nvSpPr>
        <xdr:cNvPr id="1664" name="Text Box 3268"/>
        <xdr:cNvSpPr txBox="1"/>
      </xdr:nvSpPr>
      <xdr:spPr>
        <a:xfrm>
          <a:off x="638175" y="13204825"/>
          <a:ext cx="109855" cy="180975"/>
        </a:xfrm>
        <a:prstGeom prst="rect">
          <a:avLst/>
        </a:prstGeom>
        <a:noFill/>
        <a:ln w="9525">
          <a:noFill/>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H257"/>
  <sheetViews>
    <sheetView showGridLines="0" tabSelected="1" zoomScaleSheetLayoutView="60" workbookViewId="0">
      <selection activeCell="F10" sqref="F10"/>
    </sheetView>
  </sheetViews>
  <sheetFormatPr defaultColWidth="0" defaultRowHeight="15" zeroHeight="1" outlineLevelCol="7"/>
  <cols>
    <col min="1" max="1" width="9.13636363636364" style="1" customWidth="1"/>
    <col min="2" max="2" width="11" style="1" customWidth="1"/>
    <col min="3" max="3" width="71.4272727272727" style="1" customWidth="1"/>
    <col min="4" max="4" width="11.4272727272727" style="1" customWidth="1"/>
    <col min="5" max="8" width="15.7090909090909" style="1" customWidth="1"/>
    <col min="9" max="9" width="9.13636363636364" style="1" customWidth="1"/>
    <col min="10" max="16384" width="9.13636363636364" style="1" hidden="1"/>
  </cols>
  <sheetData>
    <row r="1" ht="14.5"/>
    <row r="2" ht="14.5" spans="2:8">
      <c r="B2" s="2" t="s">
        <v>0</v>
      </c>
      <c r="C2" s="2"/>
      <c r="D2" s="2"/>
      <c r="E2" s="3"/>
      <c r="F2" s="3"/>
      <c r="G2" s="3"/>
      <c r="H2" s="3"/>
    </row>
    <row r="3" ht="14.5" spans="2:8">
      <c r="B3" s="4" t="s">
        <v>1</v>
      </c>
      <c r="C3" s="5" t="s">
        <v>2</v>
      </c>
      <c r="D3" s="6"/>
      <c r="E3" s="7"/>
      <c r="F3" s="8"/>
      <c r="G3" s="9"/>
      <c r="H3" s="10"/>
    </row>
    <row r="4" ht="14.5" spans="2:8">
      <c r="B4" s="11" t="s">
        <v>3</v>
      </c>
      <c r="C4" s="12" t="s">
        <v>4</v>
      </c>
      <c r="D4" s="13"/>
      <c r="E4" s="14"/>
      <c r="F4" s="15"/>
      <c r="G4" s="16"/>
      <c r="H4" s="17"/>
    </row>
    <row r="5" ht="14.5" spans="2:8">
      <c r="B5" s="11" t="s">
        <v>5</v>
      </c>
      <c r="C5" s="12"/>
      <c r="D5" s="13"/>
      <c r="E5" s="18"/>
      <c r="F5" s="19"/>
      <c r="G5" s="20"/>
      <c r="H5" s="21"/>
    </row>
    <row r="6" ht="14.5" spans="2:8">
      <c r="B6" s="22"/>
      <c r="C6" s="22"/>
      <c r="D6" s="22"/>
      <c r="E6" s="23"/>
      <c r="F6" s="23"/>
      <c r="G6" s="23"/>
      <c r="H6" s="23"/>
    </row>
    <row r="7" ht="14.5" spans="2:8">
      <c r="B7" s="24">
        <v>1</v>
      </c>
      <c r="C7" s="25" t="s">
        <v>6</v>
      </c>
      <c r="D7" s="25"/>
      <c r="E7" s="25"/>
      <c r="F7" s="25"/>
      <c r="G7" s="25"/>
      <c r="H7" s="25"/>
    </row>
    <row r="8" ht="14.5" spans="2:8">
      <c r="B8" s="26" t="s">
        <v>7</v>
      </c>
      <c r="C8" s="26"/>
      <c r="D8" s="26"/>
      <c r="E8" s="26"/>
      <c r="F8" s="26"/>
      <c r="G8" s="26"/>
      <c r="H8" s="26"/>
    </row>
    <row r="9" ht="14.5" spans="2:8">
      <c r="B9" s="27" t="s">
        <v>8</v>
      </c>
      <c r="C9" s="25" t="s">
        <v>9</v>
      </c>
      <c r="D9" s="25"/>
      <c r="E9" s="25"/>
      <c r="F9" s="28" t="s">
        <v>10</v>
      </c>
      <c r="G9" s="29" t="s">
        <v>11</v>
      </c>
      <c r="H9" s="28" t="s">
        <v>12</v>
      </c>
    </row>
    <row r="10" ht="14.5" spans="2:8">
      <c r="B10" s="30" t="s">
        <v>13</v>
      </c>
      <c r="C10" s="31" t="s">
        <v>14</v>
      </c>
      <c r="D10" s="31"/>
      <c r="E10" s="31"/>
      <c r="F10" s="32">
        <v>0</v>
      </c>
      <c r="G10" s="33">
        <v>1</v>
      </c>
      <c r="H10" s="34">
        <f>IF(AND(ISNUMBER(F10),ISNUMBER(G10)),F10*G10,"")</f>
        <v>0</v>
      </c>
    </row>
    <row r="11" ht="14.5" spans="2:8">
      <c r="B11" s="30" t="s">
        <v>15</v>
      </c>
      <c r="C11" s="31" t="s">
        <v>16</v>
      </c>
      <c r="D11" s="31"/>
      <c r="E11" s="31"/>
      <c r="F11" s="35">
        <f>F12</f>
        <v>0</v>
      </c>
      <c r="G11" s="36">
        <v>0</v>
      </c>
      <c r="H11" s="37">
        <f>0</f>
        <v>0</v>
      </c>
    </row>
    <row r="12" ht="14.5" spans="2:8">
      <c r="B12" s="38" t="s">
        <v>17</v>
      </c>
      <c r="C12" s="39" t="s">
        <v>18</v>
      </c>
      <c r="D12" s="39"/>
      <c r="E12" s="39"/>
      <c r="F12" s="40">
        <v>0</v>
      </c>
      <c r="G12" s="41">
        <v>1</v>
      </c>
      <c r="H12" s="42">
        <f>F12*G12</f>
        <v>0</v>
      </c>
    </row>
    <row r="13" ht="14.5" spans="2:8">
      <c r="B13" s="30" t="s">
        <v>19</v>
      </c>
      <c r="C13" s="31" t="s">
        <v>20</v>
      </c>
      <c r="D13" s="31"/>
      <c r="E13" s="31"/>
      <c r="F13" s="43">
        <f>SUM(F14:F18)</f>
        <v>0</v>
      </c>
      <c r="G13" s="44"/>
      <c r="H13" s="45">
        <f>SUM(H14:H18)</f>
        <v>0</v>
      </c>
    </row>
    <row r="14" ht="14.5" spans="2:8">
      <c r="B14" s="38" t="s">
        <v>21</v>
      </c>
      <c r="C14" s="39" t="s">
        <v>22</v>
      </c>
      <c r="D14" s="39"/>
      <c r="E14" s="39"/>
      <c r="F14" s="32">
        <v>0</v>
      </c>
      <c r="G14" s="33">
        <v>1</v>
      </c>
      <c r="H14" s="34">
        <f>IF(AND(ISNUMBER(F14),ISNUMBER(G14)),F14*G14,"")</f>
        <v>0</v>
      </c>
    </row>
    <row r="15" ht="14.5" spans="2:8">
      <c r="B15" s="38" t="s">
        <v>23</v>
      </c>
      <c r="C15" s="39" t="s">
        <v>24</v>
      </c>
      <c r="D15" s="39"/>
      <c r="E15" s="39"/>
      <c r="F15" s="32">
        <v>0</v>
      </c>
      <c r="G15" s="33">
        <v>1</v>
      </c>
      <c r="H15" s="34">
        <f>IF(AND(ISNUMBER(F15),ISNUMBER(G15)),F15*G15,"")</f>
        <v>0</v>
      </c>
    </row>
    <row r="16" ht="14.5" spans="2:8">
      <c r="B16" s="38" t="s">
        <v>25</v>
      </c>
      <c r="C16" s="39" t="s">
        <v>26</v>
      </c>
      <c r="D16" s="39"/>
      <c r="E16" s="39"/>
      <c r="F16" s="32">
        <v>0</v>
      </c>
      <c r="G16" s="33">
        <v>1</v>
      </c>
      <c r="H16" s="34">
        <f>IF(AND(ISNUMBER(F16),ISNUMBER(G16)),F16*G16,"")</f>
        <v>0</v>
      </c>
    </row>
    <row r="17" ht="14.5" spans="2:8">
      <c r="B17" s="38" t="s">
        <v>27</v>
      </c>
      <c r="C17" s="39" t="s">
        <v>28</v>
      </c>
      <c r="D17" s="39"/>
      <c r="E17" s="39"/>
      <c r="F17" s="32">
        <v>0</v>
      </c>
      <c r="G17" s="33">
        <v>1</v>
      </c>
      <c r="H17" s="34">
        <f>IF(AND(ISNUMBER(F17),ISNUMBER(G17)),F17*G17,"")</f>
        <v>0</v>
      </c>
    </row>
    <row r="18" ht="14.5" spans="2:8">
      <c r="B18" s="38" t="s">
        <v>29</v>
      </c>
      <c r="C18" s="39" t="s">
        <v>30</v>
      </c>
      <c r="D18" s="39"/>
      <c r="E18" s="39"/>
      <c r="F18" s="32">
        <v>0</v>
      </c>
      <c r="G18" s="33">
        <v>1</v>
      </c>
      <c r="H18" s="34">
        <f>IF(AND(ISNUMBER(F18),ISNUMBER(G18)),F18*G18,"")</f>
        <v>0</v>
      </c>
    </row>
    <row r="19" ht="14.5" spans="2:8">
      <c r="B19" s="30" t="s">
        <v>31</v>
      </c>
      <c r="C19" s="46" t="s">
        <v>32</v>
      </c>
      <c r="D19" s="46"/>
      <c r="E19" s="46"/>
      <c r="F19" s="45">
        <f>SUM(F20:F21)</f>
        <v>0</v>
      </c>
      <c r="G19" s="44"/>
      <c r="H19" s="45">
        <f>SUM(H20:H21)</f>
        <v>0</v>
      </c>
    </row>
    <row r="20" ht="14.5" spans="2:8">
      <c r="B20" s="38" t="s">
        <v>33</v>
      </c>
      <c r="C20" s="47" t="s">
        <v>34</v>
      </c>
      <c r="D20" s="47"/>
      <c r="E20" s="47"/>
      <c r="F20" s="48">
        <f>0</f>
        <v>0</v>
      </c>
      <c r="G20" s="49">
        <v>1</v>
      </c>
      <c r="H20" s="50">
        <f>IF(AND(ISNUMBER(F20),ISNUMBER(G20)),F20*G20,"")</f>
        <v>0</v>
      </c>
    </row>
    <row r="21" ht="24.75" customHeight="1" spans="2:8">
      <c r="B21" s="38" t="s">
        <v>35</v>
      </c>
      <c r="C21" s="47" t="s">
        <v>36</v>
      </c>
      <c r="D21" s="47"/>
      <c r="E21" s="47"/>
      <c r="F21" s="48">
        <f>0</f>
        <v>0</v>
      </c>
      <c r="G21" s="49">
        <v>1</v>
      </c>
      <c r="H21" s="50">
        <f>IF(AND(ISNUMBER(F21),ISNUMBER(G21)),F21*G21,"")</f>
        <v>0</v>
      </c>
    </row>
    <row r="22" ht="14.5" spans="2:8">
      <c r="B22" s="30" t="s">
        <v>37</v>
      </c>
      <c r="C22" s="46" t="s">
        <v>38</v>
      </c>
      <c r="D22" s="46"/>
      <c r="E22" s="46"/>
      <c r="F22" s="51">
        <f>F10+F11+F13+F19</f>
        <v>0</v>
      </c>
      <c r="G22" s="36"/>
      <c r="H22" s="42">
        <f>H10+H12+H13+H19</f>
        <v>0</v>
      </c>
    </row>
    <row r="23" ht="14.5" spans="2:8">
      <c r="B23" s="30" t="s">
        <v>39</v>
      </c>
      <c r="C23" s="46" t="s">
        <v>40</v>
      </c>
      <c r="D23" s="46"/>
      <c r="E23" s="46"/>
      <c r="F23" s="32">
        <v>0</v>
      </c>
      <c r="G23" s="44"/>
      <c r="H23" s="34">
        <f>IF(F23&gt;(H22*0.25),(H22*0.25),F23)</f>
        <v>0</v>
      </c>
    </row>
    <row r="24" ht="14.5" spans="2:8">
      <c r="B24" s="30" t="s">
        <v>41</v>
      </c>
      <c r="C24" s="52" t="s">
        <v>42</v>
      </c>
      <c r="D24" s="52"/>
      <c r="E24" s="52"/>
      <c r="F24" s="32">
        <v>0</v>
      </c>
      <c r="G24" s="44"/>
      <c r="H24" s="53"/>
    </row>
    <row r="25" ht="14.5" spans="2:8">
      <c r="B25" s="30" t="s">
        <v>43</v>
      </c>
      <c r="C25" s="52" t="s">
        <v>44</v>
      </c>
      <c r="D25" s="52"/>
      <c r="E25" s="52"/>
      <c r="F25" s="54"/>
      <c r="G25" s="44"/>
      <c r="H25" s="34">
        <f>IF(AND(ISNUMBER(H22),ISNUMBER(F24)),MAX(H22+F24+H23,0),"")</f>
        <v>0</v>
      </c>
    </row>
    <row r="26" ht="14.5" spans="2:8">
      <c r="B26" s="26" t="s">
        <v>45</v>
      </c>
      <c r="C26" s="26"/>
      <c r="D26" s="26"/>
      <c r="E26" s="26"/>
      <c r="F26" s="26"/>
      <c r="G26" s="26"/>
      <c r="H26" s="26"/>
    </row>
    <row r="27" ht="14.5" spans="2:8">
      <c r="B27" s="27" t="s">
        <v>8</v>
      </c>
      <c r="C27" s="55" t="s">
        <v>9</v>
      </c>
      <c r="D27" s="55"/>
      <c r="E27" s="55"/>
      <c r="F27" s="28" t="s">
        <v>10</v>
      </c>
      <c r="G27" s="29" t="s">
        <v>11</v>
      </c>
      <c r="H27" s="28" t="s">
        <v>12</v>
      </c>
    </row>
    <row r="28" ht="14.5" spans="2:8">
      <c r="B28" s="30" t="s">
        <v>46</v>
      </c>
      <c r="C28" s="56" t="s">
        <v>47</v>
      </c>
      <c r="D28" s="56"/>
      <c r="E28" s="56"/>
      <c r="F28" s="43">
        <f>SUM(F29:F36)</f>
        <v>0</v>
      </c>
      <c r="G28" s="57"/>
      <c r="H28" s="58"/>
    </row>
    <row r="29" ht="14.5" spans="2:8">
      <c r="B29" s="38" t="s">
        <v>48</v>
      </c>
      <c r="C29" s="59" t="s">
        <v>49</v>
      </c>
      <c r="D29" s="59"/>
      <c r="E29" s="59"/>
      <c r="F29" s="32">
        <v>0</v>
      </c>
      <c r="G29" s="33">
        <v>0.85</v>
      </c>
      <c r="H29" s="34">
        <f t="shared" ref="H29:H36" si="0">IF(AND(ISNUMBER(F29),ISNUMBER(G29)),F29*G29,"")</f>
        <v>0</v>
      </c>
    </row>
    <row r="30" ht="14.5" spans="2:8">
      <c r="B30" s="38" t="s">
        <v>50</v>
      </c>
      <c r="C30" s="59" t="s">
        <v>51</v>
      </c>
      <c r="D30" s="59"/>
      <c r="E30" s="59"/>
      <c r="F30" s="32">
        <v>0</v>
      </c>
      <c r="G30" s="33">
        <v>0.85</v>
      </c>
      <c r="H30" s="34">
        <f t="shared" si="0"/>
        <v>0</v>
      </c>
    </row>
    <row r="31" ht="14.5" spans="2:8">
      <c r="B31" s="38" t="s">
        <v>52</v>
      </c>
      <c r="C31" s="59" t="s">
        <v>53</v>
      </c>
      <c r="D31" s="59"/>
      <c r="E31" s="59"/>
      <c r="F31" s="32">
        <v>0</v>
      </c>
      <c r="G31" s="33">
        <v>0.85</v>
      </c>
      <c r="H31" s="34">
        <f t="shared" si="0"/>
        <v>0</v>
      </c>
    </row>
    <row r="32" ht="14.5" spans="2:8">
      <c r="B32" s="38" t="s">
        <v>54</v>
      </c>
      <c r="C32" s="59" t="s">
        <v>55</v>
      </c>
      <c r="D32" s="59"/>
      <c r="E32" s="59"/>
      <c r="F32" s="32">
        <v>0</v>
      </c>
      <c r="G32" s="33">
        <v>0.85</v>
      </c>
      <c r="H32" s="34">
        <f t="shared" si="0"/>
        <v>0</v>
      </c>
    </row>
    <row r="33" ht="14.5" spans="2:8">
      <c r="B33" s="38" t="s">
        <v>56</v>
      </c>
      <c r="C33" s="59" t="s">
        <v>57</v>
      </c>
      <c r="D33" s="59"/>
      <c r="E33" s="59"/>
      <c r="F33" s="32">
        <v>0</v>
      </c>
      <c r="G33" s="33">
        <v>0.85</v>
      </c>
      <c r="H33" s="34">
        <f t="shared" si="0"/>
        <v>0</v>
      </c>
    </row>
    <row r="34" ht="14.5" spans="2:8">
      <c r="B34" s="38" t="s">
        <v>58</v>
      </c>
      <c r="C34" s="59" t="s">
        <v>59</v>
      </c>
      <c r="D34" s="59"/>
      <c r="E34" s="59"/>
      <c r="F34" s="32">
        <v>0</v>
      </c>
      <c r="G34" s="33">
        <v>0.85</v>
      </c>
      <c r="H34" s="34">
        <f t="shared" si="0"/>
        <v>0</v>
      </c>
    </row>
    <row r="35" ht="14.5" spans="2:8">
      <c r="B35" s="38" t="s">
        <v>60</v>
      </c>
      <c r="C35" s="59" t="s">
        <v>61</v>
      </c>
      <c r="D35" s="59"/>
      <c r="E35" s="59"/>
      <c r="F35" s="32">
        <v>0</v>
      </c>
      <c r="G35" s="33">
        <v>0.85</v>
      </c>
      <c r="H35" s="34">
        <f t="shared" si="0"/>
        <v>0</v>
      </c>
    </row>
    <row r="36" ht="14.5" spans="2:8">
      <c r="B36" s="38" t="s">
        <v>62</v>
      </c>
      <c r="C36" s="59" t="s">
        <v>63</v>
      </c>
      <c r="D36" s="59"/>
      <c r="E36" s="59"/>
      <c r="F36" s="32">
        <v>0</v>
      </c>
      <c r="G36" s="33">
        <v>0.7</v>
      </c>
      <c r="H36" s="34">
        <f t="shared" si="0"/>
        <v>0</v>
      </c>
    </row>
    <row r="37" ht="14.5" spans="2:8">
      <c r="B37" s="30" t="s">
        <v>64</v>
      </c>
      <c r="C37" s="56" t="s">
        <v>65</v>
      </c>
      <c r="D37" s="56"/>
      <c r="E37" s="56"/>
      <c r="F37" s="60">
        <f>SUM(F29:F36)</f>
        <v>0</v>
      </c>
      <c r="G37" s="61"/>
      <c r="H37" s="42">
        <f>IF(AND(ISNUMBER(H29),ISNUMBER(H30),ISNUMBER(H31),ISNUMBER(H32),ISNUMBER(H33),ISNUMBER(H34),ISNUMBER(H35),ISNUMBER(H36)),SUM(H29:H36),"")</f>
        <v>0</v>
      </c>
    </row>
    <row r="38" ht="14.5" spans="2:8">
      <c r="B38" s="30" t="s">
        <v>66</v>
      </c>
      <c r="C38" s="62" t="s">
        <v>67</v>
      </c>
      <c r="D38" s="62"/>
      <c r="E38" s="62"/>
      <c r="F38" s="32">
        <v>0</v>
      </c>
      <c r="G38" s="61"/>
      <c r="H38" s="34"/>
    </row>
    <row r="39" ht="14.5" spans="2:8">
      <c r="B39" s="30" t="s">
        <v>68</v>
      </c>
      <c r="C39" s="62" t="s">
        <v>69</v>
      </c>
      <c r="D39" s="62"/>
      <c r="E39" s="62"/>
      <c r="F39" s="63">
        <f>IF(AND(ISNUMBER(F37),ISNUMBER(F38)),F37+F38,"")</f>
        <v>0</v>
      </c>
      <c r="G39" s="33"/>
      <c r="H39" s="34">
        <f>H37+F38</f>
        <v>0</v>
      </c>
    </row>
    <row r="40" ht="14.5" spans="2:8">
      <c r="B40" s="26" t="s">
        <v>70</v>
      </c>
      <c r="C40" s="26"/>
      <c r="D40" s="26"/>
      <c r="E40" s="26"/>
      <c r="F40" s="26"/>
      <c r="G40" s="26"/>
      <c r="H40" s="26"/>
    </row>
    <row r="41" ht="14.5" spans="2:8">
      <c r="B41" s="27" t="s">
        <v>8</v>
      </c>
      <c r="C41" s="55" t="s">
        <v>9</v>
      </c>
      <c r="D41" s="55"/>
      <c r="E41" s="55"/>
      <c r="F41" s="28" t="s">
        <v>10</v>
      </c>
      <c r="G41" s="29" t="s">
        <v>11</v>
      </c>
      <c r="H41" s="28" t="s">
        <v>12</v>
      </c>
    </row>
    <row r="42" ht="14.5" spans="2:8">
      <c r="B42" s="30" t="s">
        <v>71</v>
      </c>
      <c r="C42" s="62" t="s">
        <v>72</v>
      </c>
      <c r="D42" s="62"/>
      <c r="E42" s="62"/>
      <c r="F42" s="64">
        <v>0</v>
      </c>
      <c r="G42" s="65">
        <v>0.75</v>
      </c>
      <c r="H42" s="66">
        <f>IF(AND(ISNUMBER(F42),ISNUMBER(G42)),F42*G42,"")</f>
        <v>0</v>
      </c>
    </row>
    <row r="43" ht="14.5" spans="2:8">
      <c r="B43" s="30" t="s">
        <v>73</v>
      </c>
      <c r="C43" s="62" t="s">
        <v>74</v>
      </c>
      <c r="D43" s="62"/>
      <c r="E43" s="62"/>
      <c r="F43" s="64">
        <v>0</v>
      </c>
      <c r="G43" s="65">
        <v>0.5</v>
      </c>
      <c r="H43" s="66">
        <f>IF(AND(ISNUMBER(F43),ISNUMBER(G43)),F43*G43,"")</f>
        <v>0</v>
      </c>
    </row>
    <row r="44" ht="14.5" spans="2:8">
      <c r="B44" s="38" t="s">
        <v>75</v>
      </c>
      <c r="C44" s="62" t="s">
        <v>76</v>
      </c>
      <c r="D44" s="62"/>
      <c r="E44" s="62"/>
      <c r="F44" s="64">
        <v>0</v>
      </c>
      <c r="G44" s="65">
        <v>0.5</v>
      </c>
      <c r="H44" s="66">
        <f>IF(AND(ISNUMBER(F44),ISNUMBER(G44)),F44*G44,"")</f>
        <v>0</v>
      </c>
    </row>
    <row r="45" ht="14.5" spans="2:8">
      <c r="B45" s="30" t="s">
        <v>77</v>
      </c>
      <c r="C45" s="62" t="s">
        <v>78</v>
      </c>
      <c r="D45" s="62"/>
      <c r="E45" s="62"/>
      <c r="F45" s="64">
        <v>0</v>
      </c>
      <c r="G45" s="65">
        <v>0.5</v>
      </c>
      <c r="H45" s="66">
        <f>IF(AND(ISNUMBER(F45),ISNUMBER(G45)),F45*G45,"")</f>
        <v>0</v>
      </c>
    </row>
    <row r="46" ht="14.5" spans="2:8">
      <c r="B46" s="30" t="s">
        <v>79</v>
      </c>
      <c r="C46" s="56" t="s">
        <v>80</v>
      </c>
      <c r="D46" s="56"/>
      <c r="E46" s="56"/>
      <c r="F46" s="66">
        <f>IF(ISNUMBER(F42),F42,"")</f>
        <v>0</v>
      </c>
      <c r="G46" s="67"/>
      <c r="H46" s="68">
        <f>IF(ISNUMBER(H42),H42,"")</f>
        <v>0</v>
      </c>
    </row>
    <row r="47" ht="14.5" spans="2:8">
      <c r="B47" s="38" t="s">
        <v>81</v>
      </c>
      <c r="C47" s="62" t="s">
        <v>82</v>
      </c>
      <c r="D47" s="62"/>
      <c r="E47" s="62"/>
      <c r="F47" s="66">
        <f>IF(OR(ISNUMBER(F127),ISNUMBER(F140),ISNUMBER(F213)),SUM(F127,F140)-SUM(F213),"")</f>
        <v>0</v>
      </c>
      <c r="G47" s="67"/>
      <c r="H47" s="66"/>
    </row>
    <row r="48" ht="14.5" spans="2:8">
      <c r="B48" s="30" t="s">
        <v>83</v>
      </c>
      <c r="C48" s="62" t="s">
        <v>84</v>
      </c>
      <c r="D48" s="62"/>
      <c r="E48" s="62"/>
      <c r="F48" s="66">
        <f>IF(OR(ISNUMBER(F46),ISNUMBER(F47)),SUM(F46,F47),"")</f>
        <v>0</v>
      </c>
      <c r="G48" s="65">
        <v>0.75</v>
      </c>
      <c r="H48" s="66">
        <f>IF(AND(ISNUMBER(F48),ISNUMBER(G48)),F48*G48,"")</f>
        <v>0</v>
      </c>
    </row>
    <row r="49" ht="14.5" spans="2:8">
      <c r="B49" s="30" t="s">
        <v>85</v>
      </c>
      <c r="C49" s="56" t="s">
        <v>86</v>
      </c>
      <c r="D49" s="56"/>
      <c r="E49" s="56"/>
      <c r="F49" s="66">
        <f>IF(OR(ISNUMBER(F43),ISNUMBER(F44),ISNUMBER(F45)),SUM(F43:F45),"")</f>
        <v>0</v>
      </c>
      <c r="G49" s="67"/>
      <c r="H49" s="68">
        <f>IF(OR(ISNUMBER(H43),ISNUMBER(H44),ISNUMBER(H45)),SUM(H43:H45),"")</f>
        <v>0</v>
      </c>
    </row>
    <row r="50" ht="14.5" spans="2:8">
      <c r="B50" s="38" t="s">
        <v>87</v>
      </c>
      <c r="C50" s="62" t="s">
        <v>88</v>
      </c>
      <c r="D50" s="62"/>
      <c r="E50" s="62"/>
      <c r="F50" s="66">
        <f>IF(OR(ISNUMBER(F130),ISNUMBER(F144),ISNUMBER(F147),ISNUMBER(F216)),SUM(F130,F144,F147)-SUM(F216),"")</f>
        <v>0</v>
      </c>
      <c r="G50" s="67"/>
      <c r="H50" s="66"/>
    </row>
    <row r="51" ht="14.5" spans="2:8">
      <c r="B51" s="30" t="s">
        <v>89</v>
      </c>
      <c r="C51" s="62" t="s">
        <v>90</v>
      </c>
      <c r="D51" s="62"/>
      <c r="E51" s="62"/>
      <c r="F51" s="66">
        <f>IF(OR(ISNUMBER(F49),ISNUMBER(F50)),SUM(F49,F50),"")</f>
        <v>0</v>
      </c>
      <c r="G51" s="65">
        <v>0.5</v>
      </c>
      <c r="H51" s="66">
        <f>IF(AND(ISNUMBER(F51),ISNUMBER(G51)),F51*G51,"")</f>
        <v>0</v>
      </c>
    </row>
    <row r="52" ht="14.5" spans="2:8">
      <c r="B52" s="30" t="s">
        <v>91</v>
      </c>
      <c r="C52" s="62" t="s">
        <v>92</v>
      </c>
      <c r="D52" s="62"/>
      <c r="E52" s="62"/>
      <c r="F52" s="66">
        <f>IF(OR(ISNUMBER(F48),ISNUMBER(F51)),SUM(F48,F51),"")</f>
        <v>0</v>
      </c>
      <c r="G52" s="67"/>
      <c r="H52" s="66">
        <f>IF(OR(ISNUMBER(H48),ISNUMBER(H51)),SUM(H48,H51),"")</f>
        <v>0</v>
      </c>
    </row>
    <row r="53" ht="14.5" spans="2:8">
      <c r="B53" s="30" t="s">
        <v>93</v>
      </c>
      <c r="C53" s="52" t="s">
        <v>94</v>
      </c>
      <c r="D53" s="52"/>
      <c r="E53" s="52"/>
      <c r="F53" s="69"/>
      <c r="G53" s="67"/>
      <c r="H53" s="66">
        <f>IF(AND(ISNUMBER(H25),ISNUMBER(H39)),MAX(SUM(H52)-15/85*(H25+H39),SUM(H52)-15/60*H25,0),"")</f>
        <v>0</v>
      </c>
    </row>
    <row r="54" ht="14.5" spans="2:8">
      <c r="B54" s="30" t="s">
        <v>95</v>
      </c>
      <c r="C54" s="52" t="s">
        <v>96</v>
      </c>
      <c r="D54" s="52"/>
      <c r="E54" s="52"/>
      <c r="F54" s="69"/>
      <c r="G54" s="67"/>
      <c r="H54" s="66">
        <f>IF(AND(ISNUMBER(H39),ISNUMBER(H53)),MAX((SUM(H39,H52)-H53)-2/3*H25,0),"")</f>
        <v>0</v>
      </c>
    </row>
    <row r="55" ht="14.5" spans="2:8">
      <c r="B55" s="26"/>
      <c r="C55" s="26"/>
      <c r="D55" s="26"/>
      <c r="E55" s="26"/>
      <c r="F55" s="26"/>
      <c r="G55" s="26"/>
      <c r="H55" s="26"/>
    </row>
    <row r="56" ht="14.5" spans="2:8">
      <c r="B56" s="70"/>
      <c r="C56" s="70"/>
      <c r="D56" s="70"/>
      <c r="E56" s="70"/>
      <c r="F56" s="70"/>
      <c r="G56" s="70"/>
      <c r="H56" s="28" t="s">
        <v>12</v>
      </c>
    </row>
    <row r="57" ht="14.5" spans="2:8">
      <c r="B57" s="71">
        <v>1.4</v>
      </c>
      <c r="C57" s="72" t="s">
        <v>97</v>
      </c>
      <c r="D57" s="72"/>
      <c r="E57" s="72"/>
      <c r="F57" s="72"/>
      <c r="G57" s="72"/>
      <c r="H57" s="34">
        <f>IF(AND(ISNUMBER(H22),ISNUMBER(H37)),SUM(H22,H37,H46,H49)-SUM(H53,H54),"")</f>
        <v>0</v>
      </c>
    </row>
    <row r="58" ht="14.5" spans="2:8">
      <c r="B58" s="73" t="s">
        <v>98</v>
      </c>
      <c r="C58" s="73"/>
      <c r="D58" s="73"/>
      <c r="E58" s="73"/>
      <c r="F58" s="73"/>
      <c r="G58" s="73"/>
      <c r="H58" s="73"/>
    </row>
    <row r="59" ht="14.5" spans="2:8">
      <c r="B59" s="27" t="s">
        <v>8</v>
      </c>
      <c r="C59" s="55" t="s">
        <v>9</v>
      </c>
      <c r="D59" s="55"/>
      <c r="E59" s="55"/>
      <c r="F59" s="74" t="s">
        <v>10</v>
      </c>
      <c r="G59" s="75"/>
      <c r="H59" s="75"/>
    </row>
    <row r="60" ht="14.5" spans="2:8">
      <c r="B60" s="30" t="s">
        <v>99</v>
      </c>
      <c r="C60" s="62" t="s">
        <v>100</v>
      </c>
      <c r="D60" s="62"/>
      <c r="E60" s="62"/>
      <c r="F60" s="32">
        <v>0</v>
      </c>
      <c r="G60" s="75"/>
      <c r="H60" s="75"/>
    </row>
    <row r="61" ht="14.5" spans="2:8">
      <c r="B61" s="30" t="s">
        <v>101</v>
      </c>
      <c r="C61" s="62" t="s">
        <v>102</v>
      </c>
      <c r="D61" s="62"/>
      <c r="E61" s="62"/>
      <c r="F61" s="32">
        <v>0</v>
      </c>
      <c r="G61" s="75"/>
      <c r="H61" s="75"/>
    </row>
    <row r="62" ht="14.5" spans="2:8">
      <c r="B62" s="30" t="s">
        <v>103</v>
      </c>
      <c r="C62" s="62" t="s">
        <v>104</v>
      </c>
      <c r="D62" s="62"/>
      <c r="E62" s="62"/>
      <c r="F62" s="32">
        <v>0</v>
      </c>
      <c r="G62" s="75"/>
      <c r="H62" s="75"/>
    </row>
    <row r="63" ht="14.5" spans="2:8">
      <c r="B63" s="30" t="s">
        <v>105</v>
      </c>
      <c r="C63" s="62" t="s">
        <v>106</v>
      </c>
      <c r="D63" s="62"/>
      <c r="E63" s="62"/>
      <c r="F63" s="32">
        <v>0</v>
      </c>
      <c r="G63" s="75"/>
      <c r="H63" s="75"/>
    </row>
    <row r="64" ht="14.5" spans="2:8">
      <c r="B64" s="30" t="s">
        <v>107</v>
      </c>
      <c r="C64" s="62" t="s">
        <v>108</v>
      </c>
      <c r="D64" s="62"/>
      <c r="E64" s="62"/>
      <c r="F64" s="32">
        <v>0</v>
      </c>
      <c r="G64" s="75"/>
      <c r="H64" s="75"/>
    </row>
    <row r="65" ht="14.5" spans="2:8">
      <c r="B65" s="30" t="s">
        <v>109</v>
      </c>
      <c r="C65" s="62" t="s">
        <v>110</v>
      </c>
      <c r="D65" s="62"/>
      <c r="E65" s="62"/>
      <c r="F65" s="32">
        <v>0</v>
      </c>
      <c r="G65" s="75"/>
      <c r="H65" s="75"/>
    </row>
    <row r="66" ht="14.5" spans="2:8">
      <c r="B66" s="30" t="s">
        <v>111</v>
      </c>
      <c r="C66" s="62" t="s">
        <v>112</v>
      </c>
      <c r="D66" s="62"/>
      <c r="E66" s="62"/>
      <c r="F66" s="32">
        <v>0</v>
      </c>
      <c r="G66" s="75"/>
      <c r="H66" s="75"/>
    </row>
    <row r="67" ht="14.5" spans="2:8">
      <c r="B67" s="30" t="s">
        <v>113</v>
      </c>
      <c r="C67" s="62" t="s">
        <v>114</v>
      </c>
      <c r="D67" s="62"/>
      <c r="E67" s="62"/>
      <c r="F67" s="32">
        <v>0</v>
      </c>
      <c r="G67" s="75"/>
      <c r="H67" s="75"/>
    </row>
    <row r="68" ht="14.5" spans="2:8">
      <c r="B68" s="76" t="s">
        <v>115</v>
      </c>
      <c r="C68" s="76"/>
      <c r="D68" s="76"/>
      <c r="E68" s="76"/>
      <c r="F68" s="76"/>
      <c r="G68" s="76"/>
      <c r="H68" s="76"/>
    </row>
    <row r="69" ht="14.5" spans="2:8">
      <c r="B69" s="76" t="s">
        <v>116</v>
      </c>
      <c r="C69" s="76"/>
      <c r="D69" s="76"/>
      <c r="E69" s="76"/>
      <c r="F69" s="76"/>
      <c r="G69" s="76"/>
      <c r="H69" s="76"/>
    </row>
    <row r="70" ht="14.5" spans="2:8">
      <c r="B70" s="76" t="s">
        <v>117</v>
      </c>
      <c r="C70" s="76"/>
      <c r="D70" s="76"/>
      <c r="E70" s="76"/>
      <c r="F70" s="76"/>
      <c r="G70" s="76"/>
      <c r="H70" s="76"/>
    </row>
    <row r="71" ht="14.5" spans="2:8">
      <c r="B71" s="27" t="s">
        <v>8</v>
      </c>
      <c r="C71" s="25" t="s">
        <v>9</v>
      </c>
      <c r="D71" s="25"/>
      <c r="E71" s="25"/>
      <c r="F71" s="28" t="s">
        <v>118</v>
      </c>
      <c r="G71" s="29" t="s">
        <v>11</v>
      </c>
      <c r="H71" s="28" t="s">
        <v>12</v>
      </c>
    </row>
    <row r="72" ht="14.5" spans="2:8">
      <c r="B72" s="30" t="s">
        <v>119</v>
      </c>
      <c r="C72" s="31" t="s">
        <v>120</v>
      </c>
      <c r="D72" s="31"/>
      <c r="E72" s="31"/>
      <c r="F72" s="77">
        <f>F73+F76</f>
        <v>0</v>
      </c>
      <c r="G72" s="61" t="s">
        <v>121</v>
      </c>
      <c r="H72" s="34"/>
    </row>
    <row r="73" ht="14.5" spans="2:8">
      <c r="B73" s="38" t="s">
        <v>122</v>
      </c>
      <c r="C73" s="46" t="s">
        <v>123</v>
      </c>
      <c r="D73" s="46"/>
      <c r="E73" s="46"/>
      <c r="F73" s="77">
        <f>SUM(F74:F75)</f>
        <v>0</v>
      </c>
      <c r="G73" s="61"/>
      <c r="H73" s="34"/>
    </row>
    <row r="74" ht="14.5" spans="2:8">
      <c r="B74" s="38" t="s">
        <v>124</v>
      </c>
      <c r="C74" s="78" t="s">
        <v>125</v>
      </c>
      <c r="D74" s="78"/>
      <c r="E74" s="78"/>
      <c r="F74" s="32">
        <v>0</v>
      </c>
      <c r="G74" s="33">
        <v>0.05</v>
      </c>
      <c r="H74" s="34">
        <f>IF(AND(ISNUMBER(F74),ISNUMBER(G74)),F74*G74,"")</f>
        <v>0</v>
      </c>
    </row>
    <row r="75" ht="14.5" spans="2:8">
      <c r="B75" s="38" t="s">
        <v>126</v>
      </c>
      <c r="C75" s="78" t="s">
        <v>127</v>
      </c>
      <c r="D75" s="78"/>
      <c r="E75" s="78"/>
      <c r="F75" s="32">
        <v>0</v>
      </c>
      <c r="G75" s="33">
        <v>0.05</v>
      </c>
      <c r="H75" s="34">
        <f>IF(AND(ISNUMBER(F75),ISNUMBER(G75)),F75*G75,"")</f>
        <v>0</v>
      </c>
    </row>
    <row r="76" ht="26.25" customHeight="1" spans="2:8">
      <c r="B76" s="79" t="s">
        <v>128</v>
      </c>
      <c r="C76" s="80" t="s">
        <v>129</v>
      </c>
      <c r="D76" s="80"/>
      <c r="E76" s="80"/>
      <c r="F76" s="81">
        <f>SUM(F77:F81)</f>
        <v>0</v>
      </c>
      <c r="G76" s="82"/>
      <c r="H76" s="50"/>
    </row>
    <row r="77" ht="14.5" spans="2:8">
      <c r="B77" s="38" t="s">
        <v>130</v>
      </c>
      <c r="C77" s="78" t="s">
        <v>131</v>
      </c>
      <c r="D77" s="78"/>
      <c r="E77" s="78"/>
      <c r="F77" s="32">
        <v>0</v>
      </c>
      <c r="G77" s="33">
        <v>0.05</v>
      </c>
      <c r="H77" s="34">
        <f>IF(AND(ISNUMBER(F77),ISNUMBER(G77)),F77*G77,"")</f>
        <v>0</v>
      </c>
    </row>
    <row r="78" ht="14.5" spans="2:8">
      <c r="B78" s="38" t="s">
        <v>132</v>
      </c>
      <c r="C78" s="39" t="s">
        <v>133</v>
      </c>
      <c r="D78" s="39"/>
      <c r="E78" s="39"/>
      <c r="F78" s="32">
        <v>0</v>
      </c>
      <c r="G78" s="33">
        <v>0.1</v>
      </c>
      <c r="H78" s="34">
        <f>IF(AND(ISNUMBER(F78),ISNUMBER(G78)),F78*G78,"")</f>
        <v>0</v>
      </c>
    </row>
    <row r="79" ht="14.5" spans="2:8">
      <c r="B79" s="38" t="s">
        <v>134</v>
      </c>
      <c r="C79" s="39" t="s">
        <v>135</v>
      </c>
      <c r="D79" s="39"/>
      <c r="E79" s="39"/>
      <c r="F79" s="32">
        <v>0</v>
      </c>
      <c r="G79" s="33">
        <v>0.1</v>
      </c>
      <c r="H79" s="34">
        <f>IF(AND(ISNUMBER(F79),ISNUMBER(G79)),F79*G79,"")</f>
        <v>0</v>
      </c>
    </row>
    <row r="80" ht="14.5" spans="2:8">
      <c r="B80" s="38" t="s">
        <v>136</v>
      </c>
      <c r="C80" s="39" t="s">
        <v>137</v>
      </c>
      <c r="D80" s="39"/>
      <c r="E80" s="39"/>
      <c r="F80" s="32">
        <v>0</v>
      </c>
      <c r="G80" s="33">
        <v>0.1</v>
      </c>
      <c r="H80" s="34">
        <f>IF(AND(ISNUMBER(F80),ISNUMBER(G80)),F80*G80,"")</f>
        <v>0</v>
      </c>
    </row>
    <row r="81" ht="14.5" spans="2:8">
      <c r="B81" s="38" t="s">
        <v>138</v>
      </c>
      <c r="C81" s="39" t="s">
        <v>139</v>
      </c>
      <c r="D81" s="39"/>
      <c r="E81" s="39"/>
      <c r="F81" s="32">
        <v>0</v>
      </c>
      <c r="G81" s="33">
        <v>0</v>
      </c>
      <c r="H81" s="34">
        <f>IF(AND(ISNUMBER(F81),ISNUMBER(G81)),F81*G81,"")</f>
        <v>0</v>
      </c>
    </row>
    <row r="82" ht="14.5" spans="2:8">
      <c r="B82" s="30" t="s">
        <v>140</v>
      </c>
      <c r="C82" s="31" t="s">
        <v>141</v>
      </c>
      <c r="D82" s="31"/>
      <c r="E82" s="31"/>
      <c r="F82" s="83"/>
      <c r="G82" s="84"/>
      <c r="H82" s="34">
        <f>IF(AND(ISNUMBER(H74),ISNUMBER(H75),ISNUMBER(H77),ISNUMBER(H78),ISNUMBER(H79),ISNUMBER(H80),ISNUMBER(H81)),SUM(H74,H77,H78,H80,H81,H79,H75),"")</f>
        <v>0</v>
      </c>
    </row>
    <row r="83" ht="14.5" spans="2:8">
      <c r="B83" s="30" t="s">
        <v>142</v>
      </c>
      <c r="C83" s="31" t="s">
        <v>143</v>
      </c>
      <c r="D83" s="31"/>
      <c r="E83" s="31"/>
      <c r="F83" s="83"/>
      <c r="G83" s="84"/>
      <c r="H83" s="63">
        <f>H82</f>
        <v>0</v>
      </c>
    </row>
    <row r="84" ht="14.5" spans="2:8">
      <c r="B84" s="26" t="s">
        <v>144</v>
      </c>
      <c r="C84" s="26"/>
      <c r="D84" s="26"/>
      <c r="E84" s="26"/>
      <c r="F84" s="26"/>
      <c r="G84" s="26"/>
      <c r="H84" s="26"/>
    </row>
    <row r="85" ht="14.5" spans="2:8">
      <c r="B85" s="27" t="s">
        <v>8</v>
      </c>
      <c r="C85" s="25" t="s">
        <v>9</v>
      </c>
      <c r="D85" s="25"/>
      <c r="E85" s="25"/>
      <c r="F85" s="28" t="s">
        <v>118</v>
      </c>
      <c r="G85" s="29" t="s">
        <v>11</v>
      </c>
      <c r="H85" s="28" t="s">
        <v>12</v>
      </c>
    </row>
    <row r="86" ht="14.5" spans="2:8">
      <c r="B86" s="38" t="s">
        <v>145</v>
      </c>
      <c r="C86" s="46" t="s">
        <v>146</v>
      </c>
      <c r="D86" s="46"/>
      <c r="E86" s="46"/>
      <c r="F86" s="77">
        <f>F87+F105</f>
        <v>0</v>
      </c>
      <c r="G86" s="84"/>
      <c r="H86" s="83"/>
    </row>
    <row r="87" ht="14.5" spans="2:8">
      <c r="B87" s="38" t="s">
        <v>147</v>
      </c>
      <c r="C87" s="46" t="s">
        <v>148</v>
      </c>
      <c r="D87" s="46"/>
      <c r="E87" s="46"/>
      <c r="F87" s="77">
        <f>F88+F93+F97+F101</f>
        <v>0</v>
      </c>
      <c r="G87" s="84"/>
      <c r="H87" s="83"/>
    </row>
    <row r="88" ht="14.5" spans="2:8">
      <c r="B88" s="38" t="s">
        <v>149</v>
      </c>
      <c r="C88" s="46" t="s">
        <v>150</v>
      </c>
      <c r="D88" s="46"/>
      <c r="E88" s="46"/>
      <c r="F88" s="77">
        <f>SUM(F89:F92)</f>
        <v>0</v>
      </c>
      <c r="G88" s="84"/>
      <c r="H88" s="83"/>
    </row>
    <row r="89" ht="14.5" spans="2:8">
      <c r="B89" s="38" t="s">
        <v>151</v>
      </c>
      <c r="C89" s="39" t="s">
        <v>152</v>
      </c>
      <c r="D89" s="39"/>
      <c r="E89" s="39"/>
      <c r="F89" s="32">
        <v>0</v>
      </c>
      <c r="G89" s="33">
        <v>0.03</v>
      </c>
      <c r="H89" s="34">
        <f>IF(AND(ISNUMBER(F89),ISNUMBER(G89)),F89*G89,"")</f>
        <v>0</v>
      </c>
    </row>
    <row r="90" ht="14.5" spans="2:8">
      <c r="B90" s="38" t="s">
        <v>153</v>
      </c>
      <c r="C90" s="39" t="s">
        <v>154</v>
      </c>
      <c r="D90" s="39"/>
      <c r="E90" s="39"/>
      <c r="F90" s="32">
        <v>0</v>
      </c>
      <c r="G90" s="33">
        <v>0.05</v>
      </c>
      <c r="H90" s="34">
        <f>IF(AND(ISNUMBER(F90),ISNUMBER(G90)),F90*G90,"")</f>
        <v>0</v>
      </c>
    </row>
    <row r="91" ht="14.5" spans="2:8">
      <c r="B91" s="38" t="s">
        <v>155</v>
      </c>
      <c r="C91" s="39" t="s">
        <v>156</v>
      </c>
      <c r="D91" s="39"/>
      <c r="E91" s="39"/>
      <c r="F91" s="32">
        <v>0</v>
      </c>
      <c r="G91" s="33">
        <v>0.25</v>
      </c>
      <c r="H91" s="34">
        <f>IF(AND(ISNUMBER(F91),ISNUMBER(G91)),F91*G91,"")</f>
        <v>0</v>
      </c>
    </row>
    <row r="92" ht="14.5" spans="2:8">
      <c r="B92" s="38" t="s">
        <v>157</v>
      </c>
      <c r="C92" s="39" t="s">
        <v>158</v>
      </c>
      <c r="D92" s="39"/>
      <c r="E92" s="39"/>
      <c r="F92" s="32">
        <v>0</v>
      </c>
      <c r="G92" s="33">
        <v>0.25</v>
      </c>
      <c r="H92" s="34">
        <f>IF(AND(ISNUMBER(F92),ISNUMBER(G92)),F92*G92,"")</f>
        <v>0</v>
      </c>
    </row>
    <row r="93" ht="14.5" spans="2:8">
      <c r="B93" s="38" t="s">
        <v>159</v>
      </c>
      <c r="C93" s="46" t="s">
        <v>160</v>
      </c>
      <c r="D93" s="46"/>
      <c r="E93" s="46"/>
      <c r="F93" s="77">
        <f>SUM(F94:F96)</f>
        <v>0</v>
      </c>
      <c r="G93" s="61"/>
      <c r="H93" s="34"/>
    </row>
    <row r="94" ht="14.5" spans="2:8">
      <c r="B94" s="38" t="s">
        <v>161</v>
      </c>
      <c r="C94" s="39" t="s">
        <v>152</v>
      </c>
      <c r="D94" s="39"/>
      <c r="E94" s="39"/>
      <c r="F94" s="85">
        <v>0</v>
      </c>
      <c r="G94" s="33">
        <v>0.03</v>
      </c>
      <c r="H94" s="34">
        <f>IF(AND(ISNUMBER(F94),ISNUMBER(G94)),F94*G94,"")</f>
        <v>0</v>
      </c>
    </row>
    <row r="95" ht="14.5" spans="2:8">
      <c r="B95" s="38" t="s">
        <v>162</v>
      </c>
      <c r="C95" s="39" t="s">
        <v>154</v>
      </c>
      <c r="D95" s="39"/>
      <c r="E95" s="39"/>
      <c r="F95" s="85">
        <v>0</v>
      </c>
      <c r="G95" s="33">
        <v>0.05</v>
      </c>
      <c r="H95" s="34">
        <f>IF(AND(ISNUMBER(F95),ISNUMBER(G95)),F95*G95,"")</f>
        <v>0</v>
      </c>
    </row>
    <row r="96" ht="14.5" spans="2:8">
      <c r="B96" s="38" t="s">
        <v>163</v>
      </c>
      <c r="C96" s="39" t="s">
        <v>156</v>
      </c>
      <c r="D96" s="39"/>
      <c r="E96" s="39"/>
      <c r="F96" s="85">
        <v>0</v>
      </c>
      <c r="G96" s="33">
        <v>0.25</v>
      </c>
      <c r="H96" s="34">
        <f>IF(AND(ISNUMBER(F96),ISNUMBER(G96)),F96*G96,"")</f>
        <v>0</v>
      </c>
    </row>
    <row r="97" ht="14.5" spans="2:8">
      <c r="B97" s="38" t="s">
        <v>164</v>
      </c>
      <c r="C97" s="46" t="s">
        <v>165</v>
      </c>
      <c r="D97" s="46"/>
      <c r="E97" s="46"/>
      <c r="F97" s="77">
        <f>SUM(F98:F100)</f>
        <v>0</v>
      </c>
      <c r="G97" s="61"/>
      <c r="H97" s="34"/>
    </row>
    <row r="98" ht="14.5" spans="2:8">
      <c r="B98" s="38" t="s">
        <v>166</v>
      </c>
      <c r="C98" s="39" t="s">
        <v>152</v>
      </c>
      <c r="D98" s="39"/>
      <c r="E98" s="39"/>
      <c r="F98" s="85">
        <v>0</v>
      </c>
      <c r="G98" s="33">
        <v>0.03</v>
      </c>
      <c r="H98" s="34">
        <f>IF(AND(ISNUMBER(F98),ISNUMBER(G98)),F98*G98,"")</f>
        <v>0</v>
      </c>
    </row>
    <row r="99" ht="14.5" spans="2:8">
      <c r="B99" s="38" t="s">
        <v>167</v>
      </c>
      <c r="C99" s="39" t="s">
        <v>154</v>
      </c>
      <c r="D99" s="39"/>
      <c r="E99" s="39"/>
      <c r="F99" s="85">
        <v>0</v>
      </c>
      <c r="G99" s="33">
        <v>0.05</v>
      </c>
      <c r="H99" s="34">
        <f>IF(AND(ISNUMBER(F99),ISNUMBER(G99)),F99*G99,"")</f>
        <v>0</v>
      </c>
    </row>
    <row r="100" ht="14.5" spans="2:8">
      <c r="B100" s="38" t="s">
        <v>168</v>
      </c>
      <c r="C100" s="39" t="s">
        <v>156</v>
      </c>
      <c r="D100" s="39"/>
      <c r="E100" s="39"/>
      <c r="F100" s="85">
        <v>0</v>
      </c>
      <c r="G100" s="33">
        <v>0.25</v>
      </c>
      <c r="H100" s="34">
        <f>IF(AND(ISNUMBER(F100),ISNUMBER(G100)),F100*G100,"")</f>
        <v>0</v>
      </c>
    </row>
    <row r="101" ht="14.5" spans="2:8">
      <c r="B101" s="38" t="s">
        <v>169</v>
      </c>
      <c r="C101" s="46" t="s">
        <v>170</v>
      </c>
      <c r="D101" s="46"/>
      <c r="E101" s="46"/>
      <c r="F101" s="77">
        <f>SUM(F102:F104)</f>
        <v>0</v>
      </c>
      <c r="G101" s="61"/>
      <c r="H101" s="34"/>
    </row>
    <row r="102" ht="14.5" spans="2:8">
      <c r="B102" s="38" t="s">
        <v>171</v>
      </c>
      <c r="C102" s="39" t="s">
        <v>152</v>
      </c>
      <c r="D102" s="39"/>
      <c r="E102" s="39"/>
      <c r="F102" s="85">
        <v>0</v>
      </c>
      <c r="G102" s="33">
        <v>0.03</v>
      </c>
      <c r="H102" s="34">
        <f>IF(AND(ISNUMBER(F102),ISNUMBER(G102)),F102*G102,"")</f>
        <v>0</v>
      </c>
    </row>
    <row r="103" ht="14.5" spans="2:8">
      <c r="B103" s="38" t="s">
        <v>172</v>
      </c>
      <c r="C103" s="39" t="s">
        <v>154</v>
      </c>
      <c r="D103" s="39"/>
      <c r="E103" s="39"/>
      <c r="F103" s="85">
        <v>0</v>
      </c>
      <c r="G103" s="33">
        <v>0.05</v>
      </c>
      <c r="H103" s="34">
        <f>IF(AND(ISNUMBER(F103),ISNUMBER(G103)),F103*G103,"")</f>
        <v>0</v>
      </c>
    </row>
    <row r="104" ht="14.5" spans="2:8">
      <c r="B104" s="38" t="s">
        <v>173</v>
      </c>
      <c r="C104" s="39" t="s">
        <v>156</v>
      </c>
      <c r="D104" s="39"/>
      <c r="E104" s="39"/>
      <c r="F104" s="85">
        <v>0</v>
      </c>
      <c r="G104" s="33">
        <v>0.25</v>
      </c>
      <c r="H104" s="34">
        <f>IF(AND(ISNUMBER(F104),ISNUMBER(G104)),F104*G104,"")</f>
        <v>0</v>
      </c>
    </row>
    <row r="105" ht="14.5" spans="2:8">
      <c r="B105" s="38" t="s">
        <v>174</v>
      </c>
      <c r="C105" s="46" t="s">
        <v>175</v>
      </c>
      <c r="D105" s="46"/>
      <c r="E105" s="46"/>
      <c r="F105" s="77">
        <f>F106+F109+F110+F111+F112</f>
        <v>0</v>
      </c>
      <c r="G105" s="84"/>
      <c r="H105" s="83"/>
    </row>
    <row r="106" ht="14.5" spans="2:8">
      <c r="B106" s="38" t="s">
        <v>176</v>
      </c>
      <c r="C106" s="39" t="s">
        <v>177</v>
      </c>
      <c r="D106" s="39"/>
      <c r="E106" s="39"/>
      <c r="F106" s="77">
        <f>F107+F108</f>
        <v>0</v>
      </c>
      <c r="G106" s="84"/>
      <c r="H106" s="83"/>
    </row>
    <row r="107" ht="14.5" spans="2:8">
      <c r="B107" s="38" t="s">
        <v>178</v>
      </c>
      <c r="C107" s="39" t="s">
        <v>179</v>
      </c>
      <c r="D107" s="39"/>
      <c r="E107" s="39"/>
      <c r="F107" s="32">
        <v>0</v>
      </c>
      <c r="G107" s="33">
        <v>0.4</v>
      </c>
      <c r="H107" s="34">
        <f t="shared" ref="H107:H112" si="1">IF(AND(ISNUMBER(F107),ISNUMBER(G107)),F107*G107,"")</f>
        <v>0</v>
      </c>
    </row>
    <row r="108" ht="14.5" spans="2:8">
      <c r="B108" s="38" t="s">
        <v>180</v>
      </c>
      <c r="C108" s="39" t="s">
        <v>181</v>
      </c>
      <c r="D108" s="39"/>
      <c r="E108" s="39"/>
      <c r="F108" s="32">
        <v>0</v>
      </c>
      <c r="G108" s="33">
        <v>0.4</v>
      </c>
      <c r="H108" s="34">
        <f t="shared" si="1"/>
        <v>0</v>
      </c>
    </row>
    <row r="109" ht="14.5" spans="2:8">
      <c r="B109" s="38" t="s">
        <v>182</v>
      </c>
      <c r="C109" s="52" t="s">
        <v>183</v>
      </c>
      <c r="D109" s="52"/>
      <c r="E109" s="52"/>
      <c r="F109" s="32">
        <v>0</v>
      </c>
      <c r="G109" s="33">
        <v>1</v>
      </c>
      <c r="H109" s="34">
        <f t="shared" si="1"/>
        <v>0</v>
      </c>
    </row>
    <row r="110" ht="14.5" spans="2:8">
      <c r="B110" s="38" t="s">
        <v>184</v>
      </c>
      <c r="C110" s="52" t="s">
        <v>170</v>
      </c>
      <c r="D110" s="52"/>
      <c r="E110" s="52"/>
      <c r="F110" s="32">
        <v>0</v>
      </c>
      <c r="G110" s="33">
        <v>1</v>
      </c>
      <c r="H110" s="34">
        <f t="shared" si="1"/>
        <v>0</v>
      </c>
    </row>
    <row r="111" ht="14.5" spans="2:8">
      <c r="B111" s="38" t="s">
        <v>185</v>
      </c>
      <c r="C111" s="52" t="s">
        <v>186</v>
      </c>
      <c r="D111" s="52"/>
      <c r="E111" s="52"/>
      <c r="F111" s="32">
        <v>0</v>
      </c>
      <c r="G111" s="33">
        <v>1</v>
      </c>
      <c r="H111" s="34">
        <f t="shared" si="1"/>
        <v>0</v>
      </c>
    </row>
    <row r="112" ht="14.5" spans="2:8">
      <c r="B112" s="38" t="s">
        <v>187</v>
      </c>
      <c r="C112" s="52" t="s">
        <v>188</v>
      </c>
      <c r="D112" s="52"/>
      <c r="E112" s="52"/>
      <c r="F112" s="32">
        <v>0</v>
      </c>
      <c r="G112" s="33">
        <v>1</v>
      </c>
      <c r="H112" s="34">
        <f t="shared" si="1"/>
        <v>0</v>
      </c>
    </row>
    <row r="113" ht="14.5" spans="2:8">
      <c r="B113" s="38" t="s">
        <v>189</v>
      </c>
      <c r="C113" s="31" t="s">
        <v>190</v>
      </c>
      <c r="D113" s="31"/>
      <c r="E113" s="31"/>
      <c r="F113" s="34"/>
      <c r="G113" s="61"/>
      <c r="H113" s="34">
        <f>IF(AND(ISNUMBER(H89),ISNUMBER(H90),ISNUMBER(H91),ISNUMBER(H92),ISNUMBER(H94),ISNUMBER(H95),ISNUMBER(H96),ISNUMBER(H98),ISNUMBER(H99),ISNUMBER(H100),ISNUMBER(H102),ISNUMBER(H103),ISNUMBER(H104),ISNUMBER(H107),ISNUMBER(H108),ISNUMBER(H109),ISNUMBER(H110),ISNUMBER(H111),ISNUMBER(H112)),SUM(H89:H92,H94:H96,H98:H100,H102:H104,H107:H112),"")</f>
        <v>0</v>
      </c>
    </row>
    <row r="114" ht="14.5" spans="2:8">
      <c r="B114" s="38" t="s">
        <v>191</v>
      </c>
      <c r="C114" s="31" t="s">
        <v>192</v>
      </c>
      <c r="D114" s="31"/>
      <c r="E114" s="31"/>
      <c r="F114" s="34"/>
      <c r="G114" s="61"/>
      <c r="H114" s="34">
        <f>IF(SUM(H89:H104)&gt;(H113*40%),(H113*40%),SUM(H89:H104))</f>
        <v>0</v>
      </c>
    </row>
    <row r="115" ht="14.5" spans="2:8">
      <c r="B115" s="38" t="s">
        <v>193</v>
      </c>
      <c r="C115" s="31" t="s">
        <v>194</v>
      </c>
      <c r="D115" s="31"/>
      <c r="E115" s="31"/>
      <c r="F115" s="34"/>
      <c r="G115" s="61"/>
      <c r="H115" s="34">
        <f>SUM(H107:H112)</f>
        <v>0</v>
      </c>
    </row>
    <row r="116" ht="14.5" spans="2:8">
      <c r="B116" s="38" t="s">
        <v>195</v>
      </c>
      <c r="C116" s="31" t="s">
        <v>196</v>
      </c>
      <c r="D116" s="31"/>
      <c r="E116" s="31"/>
      <c r="F116" s="34"/>
      <c r="G116" s="61"/>
      <c r="H116" s="34">
        <f>H114+H115</f>
        <v>0</v>
      </c>
    </row>
    <row r="117" ht="14.5" spans="2:8">
      <c r="B117" s="26" t="s">
        <v>197</v>
      </c>
      <c r="C117" s="26"/>
      <c r="D117" s="26"/>
      <c r="E117" s="26"/>
      <c r="F117" s="26"/>
      <c r="G117" s="26"/>
      <c r="H117" s="26"/>
    </row>
    <row r="118" ht="21" spans="2:8">
      <c r="B118" s="27" t="s">
        <v>8</v>
      </c>
      <c r="C118" s="25" t="s">
        <v>9</v>
      </c>
      <c r="D118" s="25"/>
      <c r="E118" s="29" t="s">
        <v>198</v>
      </c>
      <c r="F118" s="28" t="s">
        <v>199</v>
      </c>
      <c r="G118" s="29" t="s">
        <v>11</v>
      </c>
      <c r="H118" s="28" t="s">
        <v>12</v>
      </c>
    </row>
    <row r="119" ht="14.5" spans="2:8">
      <c r="B119" s="38" t="s">
        <v>200</v>
      </c>
      <c r="C119" s="86" t="s">
        <v>201</v>
      </c>
      <c r="D119" s="86"/>
      <c r="E119" s="87">
        <f>E120+E123+E126+E129</f>
        <v>0</v>
      </c>
      <c r="F119" s="88"/>
      <c r="G119" s="89"/>
      <c r="H119" s="66"/>
    </row>
    <row r="120" ht="14.5" spans="2:8">
      <c r="B120" s="38" t="s">
        <v>202</v>
      </c>
      <c r="C120" s="90" t="s">
        <v>203</v>
      </c>
      <c r="D120" s="90"/>
      <c r="E120" s="87">
        <f>E121+E122</f>
        <v>0</v>
      </c>
      <c r="F120" s="66"/>
      <c r="G120" s="89"/>
      <c r="H120" s="66"/>
    </row>
    <row r="121" ht="14.5" spans="2:8">
      <c r="B121" s="38" t="s">
        <v>204</v>
      </c>
      <c r="C121" s="91" t="s">
        <v>205</v>
      </c>
      <c r="D121" s="91"/>
      <c r="E121" s="92">
        <v>0</v>
      </c>
      <c r="F121" s="93">
        <v>0</v>
      </c>
      <c r="G121" s="65">
        <v>0</v>
      </c>
      <c r="H121" s="66">
        <f>IF(AND(ISNUMBER(E121),ISNUMBER(G121)),E121*G121,"")</f>
        <v>0</v>
      </c>
    </row>
    <row r="122" ht="14.5" spans="2:8">
      <c r="B122" s="38" t="s">
        <v>206</v>
      </c>
      <c r="C122" s="91" t="s">
        <v>207</v>
      </c>
      <c r="D122" s="91"/>
      <c r="E122" s="94">
        <v>0</v>
      </c>
      <c r="F122" s="93">
        <v>0</v>
      </c>
      <c r="G122" s="65">
        <v>0</v>
      </c>
      <c r="H122" s="66">
        <f>IF(AND(ISNUMBER(E122),ISNUMBER(G122)),E122*G122,"")</f>
        <v>0</v>
      </c>
    </row>
    <row r="123" ht="14.5" spans="2:8">
      <c r="B123" s="38" t="s">
        <v>208</v>
      </c>
      <c r="C123" s="90" t="s">
        <v>209</v>
      </c>
      <c r="D123" s="90"/>
      <c r="E123" s="87">
        <f>E124+E125</f>
        <v>0</v>
      </c>
      <c r="F123" s="66"/>
      <c r="G123" s="89"/>
      <c r="H123" s="66"/>
    </row>
    <row r="124" ht="14.5" spans="2:8">
      <c r="B124" s="38" t="s">
        <v>210</v>
      </c>
      <c r="C124" s="91" t="s">
        <v>205</v>
      </c>
      <c r="D124" s="91"/>
      <c r="E124" s="94">
        <v>0</v>
      </c>
      <c r="F124" s="93">
        <v>0</v>
      </c>
      <c r="G124" s="65">
        <v>0</v>
      </c>
      <c r="H124" s="66">
        <f>IF(AND(ISNUMBER(E124),ISNUMBER(G124)),E124*G124,"")</f>
        <v>0</v>
      </c>
    </row>
    <row r="125" ht="14.5" spans="2:8">
      <c r="B125" s="38" t="s">
        <v>211</v>
      </c>
      <c r="C125" s="91" t="s">
        <v>207</v>
      </c>
      <c r="D125" s="91"/>
      <c r="E125" s="94">
        <v>0</v>
      </c>
      <c r="F125" s="93">
        <v>0</v>
      </c>
      <c r="G125" s="65">
        <v>0</v>
      </c>
      <c r="H125" s="66">
        <f>IF(AND(ISNUMBER(E125),ISNUMBER(G125)),E125*G125,"")</f>
        <v>0</v>
      </c>
    </row>
    <row r="126" ht="14.5" spans="2:8">
      <c r="B126" s="38" t="s">
        <v>212</v>
      </c>
      <c r="C126" s="90" t="s">
        <v>213</v>
      </c>
      <c r="D126" s="90"/>
      <c r="E126" s="87">
        <f>E127+E128</f>
        <v>0</v>
      </c>
      <c r="F126" s="66"/>
      <c r="G126" s="89"/>
      <c r="H126" s="66"/>
    </row>
    <row r="127" ht="14.5" spans="2:8">
      <c r="B127" s="38" t="s">
        <v>214</v>
      </c>
      <c r="C127" s="91" t="s">
        <v>205</v>
      </c>
      <c r="D127" s="91"/>
      <c r="E127" s="94">
        <v>0</v>
      </c>
      <c r="F127" s="93">
        <v>0</v>
      </c>
      <c r="G127" s="65">
        <v>0</v>
      </c>
      <c r="H127" s="66">
        <f>IF(AND(ISNUMBER(E127),ISNUMBER(G127)),E127*G127,"")</f>
        <v>0</v>
      </c>
    </row>
    <row r="128" ht="14.5" spans="2:8">
      <c r="B128" s="38" t="s">
        <v>215</v>
      </c>
      <c r="C128" s="91" t="s">
        <v>207</v>
      </c>
      <c r="D128" s="91"/>
      <c r="E128" s="94">
        <v>0</v>
      </c>
      <c r="F128" s="93">
        <v>0</v>
      </c>
      <c r="G128" s="65">
        <v>0</v>
      </c>
      <c r="H128" s="66">
        <f>IF(AND(ISNUMBER(E128),ISNUMBER(G128)),E128*G128,"")</f>
        <v>0</v>
      </c>
    </row>
    <row r="129" ht="14.5" spans="2:8">
      <c r="B129" s="38" t="s">
        <v>216</v>
      </c>
      <c r="C129" s="90" t="s">
        <v>217</v>
      </c>
      <c r="D129" s="90"/>
      <c r="E129" s="87">
        <f>E130+E131+E132</f>
        <v>0</v>
      </c>
      <c r="F129" s="66"/>
      <c r="G129" s="89"/>
      <c r="H129" s="66"/>
    </row>
    <row r="130" ht="14.5" spans="2:8">
      <c r="B130" s="38" t="s">
        <v>218</v>
      </c>
      <c r="C130" s="91" t="s">
        <v>205</v>
      </c>
      <c r="D130" s="91"/>
      <c r="E130" s="94">
        <v>0</v>
      </c>
      <c r="F130" s="93">
        <v>0</v>
      </c>
      <c r="G130" s="65">
        <v>0</v>
      </c>
      <c r="H130" s="66">
        <f>IF(AND(ISNUMBER(E130),ISNUMBER(G130)),E130*G130,"")</f>
        <v>0</v>
      </c>
    </row>
    <row r="131" ht="14.5" spans="2:8">
      <c r="B131" s="38" t="s">
        <v>219</v>
      </c>
      <c r="C131" s="91" t="s">
        <v>207</v>
      </c>
      <c r="D131" s="91"/>
      <c r="E131" s="94">
        <v>0</v>
      </c>
      <c r="F131" s="93">
        <v>0</v>
      </c>
      <c r="G131" s="65">
        <v>0</v>
      </c>
      <c r="H131" s="66">
        <f>IF(AND(ISNUMBER(E131),ISNUMBER(G131)),E131*G131,"")</f>
        <v>0</v>
      </c>
    </row>
    <row r="132" ht="14.5" spans="2:8">
      <c r="B132" s="38" t="s">
        <v>220</v>
      </c>
      <c r="C132" s="91" t="s">
        <v>221</v>
      </c>
      <c r="D132" s="91"/>
      <c r="E132" s="94">
        <v>0</v>
      </c>
      <c r="F132" s="93">
        <v>0</v>
      </c>
      <c r="G132" s="65">
        <v>0</v>
      </c>
      <c r="H132" s="66">
        <f>IF(AND(ISNUMBER(E132),ISNUMBER(G132)),E132*G132,"")</f>
        <v>0</v>
      </c>
    </row>
    <row r="133" ht="28.5" customHeight="1" spans="2:8">
      <c r="B133" s="79" t="s">
        <v>222</v>
      </c>
      <c r="C133" s="95" t="s">
        <v>223</v>
      </c>
      <c r="D133" s="95"/>
      <c r="E133" s="96">
        <f>E134+E135</f>
        <v>0</v>
      </c>
      <c r="F133" s="97"/>
      <c r="G133" s="98"/>
      <c r="H133" s="97"/>
    </row>
    <row r="134" ht="14.5" spans="2:8">
      <c r="B134" s="38" t="s">
        <v>224</v>
      </c>
      <c r="C134" s="91" t="s">
        <v>205</v>
      </c>
      <c r="D134" s="91"/>
      <c r="E134" s="94">
        <v>0</v>
      </c>
      <c r="F134" s="93">
        <v>0</v>
      </c>
      <c r="G134" s="65">
        <v>0</v>
      </c>
      <c r="H134" s="66">
        <f>IF(AND(ISNUMBER(E134),ISNUMBER(G134)),E134*G134,"")</f>
        <v>0</v>
      </c>
    </row>
    <row r="135" ht="14.5" spans="2:8">
      <c r="B135" s="38" t="s">
        <v>225</v>
      </c>
      <c r="C135" s="91" t="s">
        <v>207</v>
      </c>
      <c r="D135" s="91"/>
      <c r="E135" s="94">
        <v>0</v>
      </c>
      <c r="F135" s="93">
        <v>0</v>
      </c>
      <c r="G135" s="65">
        <v>0</v>
      </c>
      <c r="H135" s="66">
        <f>IF(AND(ISNUMBER(E135),ISNUMBER(G135)),E135*G135,"")</f>
        <v>0</v>
      </c>
    </row>
    <row r="136" ht="23.25" customHeight="1" spans="2:8">
      <c r="B136" s="79" t="s">
        <v>226</v>
      </c>
      <c r="C136" s="95" t="s">
        <v>227</v>
      </c>
      <c r="D136" s="95"/>
      <c r="E136" s="96">
        <f>E137+E138</f>
        <v>0</v>
      </c>
      <c r="F136" s="97"/>
      <c r="G136" s="98"/>
      <c r="H136" s="97"/>
    </row>
    <row r="137" ht="14.5" spans="2:8">
      <c r="B137" s="38" t="s">
        <v>228</v>
      </c>
      <c r="C137" s="91" t="s">
        <v>205</v>
      </c>
      <c r="D137" s="91"/>
      <c r="E137" s="94">
        <v>0</v>
      </c>
      <c r="F137" s="93">
        <v>0</v>
      </c>
      <c r="G137" s="65">
        <v>0.15</v>
      </c>
      <c r="H137" s="66">
        <f>IF(AND(ISNUMBER(E137),ISNUMBER(G137)),E137*G137,"")</f>
        <v>0</v>
      </c>
    </row>
    <row r="138" ht="14.5" spans="2:8">
      <c r="B138" s="38" t="s">
        <v>229</v>
      </c>
      <c r="C138" s="91" t="s">
        <v>207</v>
      </c>
      <c r="D138" s="91"/>
      <c r="E138" s="94">
        <v>0</v>
      </c>
      <c r="F138" s="93">
        <v>0</v>
      </c>
      <c r="G138" s="65">
        <v>0.15</v>
      </c>
      <c r="H138" s="66">
        <f>IF(AND(ISNUMBER(E138),ISNUMBER(G138)),E138*G138,"")</f>
        <v>0</v>
      </c>
    </row>
    <row r="139" ht="34.5" customHeight="1" spans="2:8">
      <c r="B139" s="79" t="s">
        <v>230</v>
      </c>
      <c r="C139" s="95" t="s">
        <v>231</v>
      </c>
      <c r="D139" s="95"/>
      <c r="E139" s="96">
        <f>E140+E141</f>
        <v>0</v>
      </c>
      <c r="F139" s="97"/>
      <c r="G139" s="98"/>
      <c r="H139" s="97"/>
    </row>
    <row r="140" ht="14.5" spans="2:8">
      <c r="B140" s="38" t="s">
        <v>232</v>
      </c>
      <c r="C140" s="91" t="s">
        <v>205</v>
      </c>
      <c r="D140" s="91"/>
      <c r="E140" s="94">
        <v>0</v>
      </c>
      <c r="F140" s="93">
        <v>0</v>
      </c>
      <c r="G140" s="65">
        <v>0.25</v>
      </c>
      <c r="H140" s="66">
        <f>IF(AND(ISNUMBER(E140),ISNUMBER(G140)),E140*G140,"")</f>
        <v>0</v>
      </c>
    </row>
    <row r="141" ht="14.5" spans="2:8">
      <c r="B141" s="38" t="s">
        <v>233</v>
      </c>
      <c r="C141" s="91" t="s">
        <v>207</v>
      </c>
      <c r="D141" s="91"/>
      <c r="E141" s="94">
        <v>0</v>
      </c>
      <c r="F141" s="93">
        <v>0</v>
      </c>
      <c r="G141" s="65">
        <v>0.25</v>
      </c>
      <c r="H141" s="66">
        <f>IF(AND(ISNUMBER(E141),ISNUMBER(G141)),E141*G141,"")</f>
        <v>0</v>
      </c>
    </row>
    <row r="142" ht="24.75" customHeight="1" spans="2:8">
      <c r="B142" s="79" t="s">
        <v>234</v>
      </c>
      <c r="C142" s="95" t="s">
        <v>235</v>
      </c>
      <c r="D142" s="95"/>
      <c r="E142" s="96">
        <f>E143+E146+E149</f>
        <v>0</v>
      </c>
      <c r="F142" s="99"/>
      <c r="G142" s="98"/>
      <c r="H142" s="97"/>
    </row>
    <row r="143" ht="14.5" spans="2:8">
      <c r="B143" s="38" t="s">
        <v>236</v>
      </c>
      <c r="C143" s="86" t="s">
        <v>237</v>
      </c>
      <c r="D143" s="86"/>
      <c r="E143" s="87">
        <f>E144+E145</f>
        <v>0</v>
      </c>
      <c r="F143" s="66"/>
      <c r="G143" s="89"/>
      <c r="H143" s="66"/>
    </row>
    <row r="144" ht="14.5" spans="2:8">
      <c r="B144" s="38" t="s">
        <v>238</v>
      </c>
      <c r="C144" s="91" t="s">
        <v>205</v>
      </c>
      <c r="D144" s="91"/>
      <c r="E144" s="94">
        <v>0</v>
      </c>
      <c r="F144" s="93">
        <v>0</v>
      </c>
      <c r="G144" s="65">
        <v>0.25</v>
      </c>
      <c r="H144" s="66">
        <f>IF(AND(ISNUMBER(E144),ISNUMBER(G144)),E144*G144,"")</f>
        <v>0</v>
      </c>
    </row>
    <row r="145" ht="14.5" spans="2:8">
      <c r="B145" s="38" t="s">
        <v>239</v>
      </c>
      <c r="C145" s="91" t="s">
        <v>207</v>
      </c>
      <c r="D145" s="91"/>
      <c r="E145" s="94">
        <v>0</v>
      </c>
      <c r="F145" s="93">
        <v>0</v>
      </c>
      <c r="G145" s="65">
        <v>0.25</v>
      </c>
      <c r="H145" s="66">
        <f>IF(AND(ISNUMBER(E145),ISNUMBER(G145)),E145*G145,"")</f>
        <v>0</v>
      </c>
    </row>
    <row r="146" ht="14.5" spans="2:8">
      <c r="B146" s="38" t="s">
        <v>240</v>
      </c>
      <c r="C146" s="86" t="s">
        <v>241</v>
      </c>
      <c r="D146" s="86"/>
      <c r="E146" s="87">
        <f>E147+E148</f>
        <v>0</v>
      </c>
      <c r="F146" s="66"/>
      <c r="G146" s="89"/>
      <c r="H146" s="66"/>
    </row>
    <row r="147" ht="14.5" spans="2:8">
      <c r="B147" s="38" t="s">
        <v>242</v>
      </c>
      <c r="C147" s="91" t="s">
        <v>205</v>
      </c>
      <c r="D147" s="91"/>
      <c r="E147" s="94">
        <v>0</v>
      </c>
      <c r="F147" s="93">
        <v>0</v>
      </c>
      <c r="G147" s="65">
        <v>0.5</v>
      </c>
      <c r="H147" s="66">
        <f>IF(AND(ISNUMBER(E147),ISNUMBER(G147)),E147*G147,"")</f>
        <v>0</v>
      </c>
    </row>
    <row r="148" ht="14.5" spans="2:8">
      <c r="B148" s="38" t="s">
        <v>243</v>
      </c>
      <c r="C148" s="91" t="s">
        <v>207</v>
      </c>
      <c r="D148" s="91"/>
      <c r="E148" s="94">
        <v>0</v>
      </c>
      <c r="F148" s="93">
        <v>0</v>
      </c>
      <c r="G148" s="65">
        <v>0.5</v>
      </c>
      <c r="H148" s="66">
        <f>IF(AND(ISNUMBER(E148),ISNUMBER(G148)),E148*G148,"")</f>
        <v>0</v>
      </c>
    </row>
    <row r="149" ht="30" customHeight="1" spans="2:8">
      <c r="B149" s="79" t="s">
        <v>244</v>
      </c>
      <c r="C149" s="95" t="s">
        <v>245</v>
      </c>
      <c r="D149" s="95"/>
      <c r="E149" s="96">
        <f>E150+E151</f>
        <v>0</v>
      </c>
      <c r="F149" s="99"/>
      <c r="G149" s="98"/>
      <c r="H149" s="97"/>
    </row>
    <row r="150" ht="14.5" spans="2:8">
      <c r="B150" s="38" t="s">
        <v>246</v>
      </c>
      <c r="C150" s="78" t="s">
        <v>247</v>
      </c>
      <c r="D150" s="78"/>
      <c r="E150" s="94">
        <v>0</v>
      </c>
      <c r="F150" s="93">
        <v>0</v>
      </c>
      <c r="G150" s="65">
        <v>0.25</v>
      </c>
      <c r="H150" s="66">
        <f>IF(AND(ISNUMBER(E150),ISNUMBER(G150)),E150*G150,"")</f>
        <v>0</v>
      </c>
    </row>
    <row r="151" ht="14.5" spans="2:8">
      <c r="B151" s="38" t="s">
        <v>248</v>
      </c>
      <c r="C151" s="78" t="s">
        <v>249</v>
      </c>
      <c r="D151" s="78"/>
      <c r="E151" s="92">
        <v>0</v>
      </c>
      <c r="F151" s="93">
        <v>0</v>
      </c>
      <c r="G151" s="65">
        <v>1</v>
      </c>
      <c r="H151" s="66">
        <f>IF(AND(ISNUMBER(E151),ISNUMBER(G151)),E151*G151,"")</f>
        <v>0</v>
      </c>
    </row>
    <row r="152" ht="14.5" spans="2:8">
      <c r="B152" s="38" t="s">
        <v>250</v>
      </c>
      <c r="C152" s="46" t="s">
        <v>251</v>
      </c>
      <c r="D152" s="46"/>
      <c r="E152" s="87">
        <f>E119+E133+E136+E139+E142</f>
        <v>0</v>
      </c>
      <c r="F152" s="88"/>
      <c r="G152" s="89"/>
      <c r="H152" s="66">
        <f>IF(AND(ISNUMBER(H121),ISNUMBER(H122),ISNUMBER(H124),ISNUMBER(H125),ISNUMBER(H127),ISNUMBER(H128),ISNUMBER(H130),ISNUMBER(H131),ISNUMBER(H132),ISNUMBER(H134),ISNUMBER(H135),ISNUMBER(H137),ISNUMBER(H138),ISNUMBER(H140),ISNUMBER(H141),ISNUMBER(H144),ISNUMBER(H145),ISNUMBER(H147),ISNUMBER(H148),ISNUMBER(H150),ISNUMBER(H151)),SUM(H121:H122,H124:H125,H127:H128,H130:H132,H134:H135,H137:H138,H140:H141,H144:H145,H147:H148,H150:H151),"")</f>
        <v>0</v>
      </c>
    </row>
    <row r="153" ht="14.5" spans="2:8">
      <c r="B153" s="26" t="s">
        <v>252</v>
      </c>
      <c r="C153" s="26"/>
      <c r="D153" s="26"/>
      <c r="E153" s="26"/>
      <c r="F153" s="26"/>
      <c r="G153" s="26"/>
      <c r="H153" s="26"/>
    </row>
    <row r="154" ht="14.5" spans="2:8">
      <c r="B154" s="27" t="s">
        <v>8</v>
      </c>
      <c r="C154" s="25" t="s">
        <v>9</v>
      </c>
      <c r="D154" s="25"/>
      <c r="E154" s="25"/>
      <c r="F154" s="28" t="s">
        <v>118</v>
      </c>
      <c r="G154" s="29" t="s">
        <v>11</v>
      </c>
      <c r="H154" s="28" t="s">
        <v>12</v>
      </c>
    </row>
    <row r="155" ht="14.5" spans="2:8">
      <c r="B155" s="30" t="s">
        <v>253</v>
      </c>
      <c r="C155" s="52" t="s">
        <v>254</v>
      </c>
      <c r="D155" s="52"/>
      <c r="E155" s="52"/>
      <c r="F155" s="64">
        <v>0</v>
      </c>
      <c r="G155" s="65">
        <v>1</v>
      </c>
      <c r="H155" s="66">
        <f>IF(AND(ISNUMBER(F155),ISNUMBER(G155)),F155*G155,"")</f>
        <v>0</v>
      </c>
    </row>
    <row r="156" ht="14.5" spans="2:8">
      <c r="B156" s="30" t="s">
        <v>255</v>
      </c>
      <c r="C156" s="52" t="s">
        <v>256</v>
      </c>
      <c r="D156" s="52"/>
      <c r="E156" s="52"/>
      <c r="F156" s="64">
        <v>0</v>
      </c>
      <c r="G156" s="65">
        <v>1</v>
      </c>
      <c r="H156" s="66">
        <f>IF(AND(ISNUMBER(F156),ISNUMBER(G156)),F156*G156,"")</f>
        <v>0</v>
      </c>
    </row>
    <row r="157" ht="14.5" spans="2:8">
      <c r="B157" s="38" t="s">
        <v>257</v>
      </c>
      <c r="C157" s="39" t="s">
        <v>258</v>
      </c>
      <c r="D157" s="39"/>
      <c r="E157" s="39"/>
      <c r="F157" s="100">
        <f>F158+F159</f>
        <v>0</v>
      </c>
      <c r="G157" s="89"/>
      <c r="H157" s="88"/>
    </row>
    <row r="158" ht="14.5" spans="2:8">
      <c r="B158" s="38" t="s">
        <v>259</v>
      </c>
      <c r="C158" s="39" t="s">
        <v>260</v>
      </c>
      <c r="D158" s="39"/>
      <c r="E158" s="39"/>
      <c r="F158" s="64">
        <v>0</v>
      </c>
      <c r="G158" s="65">
        <v>0</v>
      </c>
      <c r="H158" s="66">
        <f t="shared" ref="H158:H165" si="2">IF(AND(ISNUMBER(F158),ISNUMBER(G158)),F158*G158,"")</f>
        <v>0</v>
      </c>
    </row>
    <row r="159" ht="14.5" spans="2:8">
      <c r="B159" s="38" t="s">
        <v>261</v>
      </c>
      <c r="C159" s="39" t="s">
        <v>262</v>
      </c>
      <c r="D159" s="39"/>
      <c r="E159" s="39"/>
      <c r="F159" s="64">
        <v>0</v>
      </c>
      <c r="G159" s="65">
        <v>0.2</v>
      </c>
      <c r="H159" s="66">
        <f t="shared" si="2"/>
        <v>0</v>
      </c>
    </row>
    <row r="160" ht="14.5" spans="2:8">
      <c r="B160" s="38" t="s">
        <v>263</v>
      </c>
      <c r="C160" s="39" t="s">
        <v>264</v>
      </c>
      <c r="D160" s="39"/>
      <c r="E160" s="39"/>
      <c r="F160" s="64">
        <v>0</v>
      </c>
      <c r="G160" s="65">
        <v>1</v>
      </c>
      <c r="H160" s="66">
        <f t="shared" si="2"/>
        <v>0</v>
      </c>
    </row>
    <row r="161" ht="14.5" spans="2:8">
      <c r="B161" s="101" t="s">
        <v>265</v>
      </c>
      <c r="C161" s="102" t="s">
        <v>266</v>
      </c>
      <c r="D161" s="102"/>
      <c r="E161" s="102"/>
      <c r="F161" s="103">
        <v>0</v>
      </c>
      <c r="G161" s="104">
        <v>1</v>
      </c>
      <c r="H161" s="97">
        <f t="shared" si="2"/>
        <v>0</v>
      </c>
    </row>
    <row r="162" ht="14.5" spans="2:8">
      <c r="B162" s="30" t="s">
        <v>267</v>
      </c>
      <c r="C162" s="52" t="s">
        <v>268</v>
      </c>
      <c r="D162" s="52"/>
      <c r="E162" s="52"/>
      <c r="F162" s="64">
        <v>0</v>
      </c>
      <c r="G162" s="65">
        <v>1</v>
      </c>
      <c r="H162" s="66">
        <f t="shared" si="2"/>
        <v>0</v>
      </c>
    </row>
    <row r="163" ht="14.5" spans="2:8">
      <c r="B163" s="30" t="s">
        <v>269</v>
      </c>
      <c r="C163" s="52" t="s">
        <v>270</v>
      </c>
      <c r="D163" s="52"/>
      <c r="E163" s="52"/>
      <c r="F163" s="64">
        <v>0</v>
      </c>
      <c r="G163" s="65">
        <v>1</v>
      </c>
      <c r="H163" s="66">
        <f t="shared" si="2"/>
        <v>0</v>
      </c>
    </row>
    <row r="164" ht="14.5" spans="2:8">
      <c r="B164" s="30" t="s">
        <v>271</v>
      </c>
      <c r="C164" s="52" t="s">
        <v>272</v>
      </c>
      <c r="D164" s="52"/>
      <c r="E164" s="52"/>
      <c r="F164" s="64">
        <v>0</v>
      </c>
      <c r="G164" s="65">
        <v>1</v>
      </c>
      <c r="H164" s="66">
        <f t="shared" si="2"/>
        <v>0</v>
      </c>
    </row>
    <row r="165" ht="14.5" spans="2:8">
      <c r="B165" s="30" t="s">
        <v>273</v>
      </c>
      <c r="C165" s="52" t="s">
        <v>274</v>
      </c>
      <c r="D165" s="52"/>
      <c r="E165" s="52"/>
      <c r="F165" s="64">
        <v>0</v>
      </c>
      <c r="G165" s="65">
        <v>1</v>
      </c>
      <c r="H165" s="66">
        <f t="shared" si="2"/>
        <v>0</v>
      </c>
    </row>
    <row r="166" ht="14.5" spans="2:8">
      <c r="B166" s="30" t="s">
        <v>275</v>
      </c>
      <c r="C166" s="46" t="s">
        <v>276</v>
      </c>
      <c r="D166" s="46"/>
      <c r="E166" s="46"/>
      <c r="F166" s="100">
        <f>F167+F168+F169</f>
        <v>0</v>
      </c>
      <c r="G166" s="89"/>
      <c r="H166" s="88"/>
    </row>
    <row r="167" ht="14.5" spans="2:8">
      <c r="B167" s="38" t="s">
        <v>277</v>
      </c>
      <c r="C167" s="39" t="s">
        <v>278</v>
      </c>
      <c r="D167" s="39"/>
      <c r="E167" s="39"/>
      <c r="F167" s="64">
        <v>0</v>
      </c>
      <c r="G167" s="65">
        <v>1</v>
      </c>
      <c r="H167" s="66">
        <f>IF(AND(ISNUMBER(F167),ISNUMBER(G167)),F167*G167,"")</f>
        <v>0</v>
      </c>
    </row>
    <row r="168" ht="14.5" spans="2:8">
      <c r="B168" s="38" t="s">
        <v>279</v>
      </c>
      <c r="C168" s="39" t="s">
        <v>280</v>
      </c>
      <c r="D168" s="39"/>
      <c r="E168" s="39"/>
      <c r="F168" s="64">
        <v>0</v>
      </c>
      <c r="G168" s="65">
        <v>1</v>
      </c>
      <c r="H168" s="66">
        <f>IF(AND(ISNUMBER(F168),ISNUMBER(G168)),F168*G168,"")</f>
        <v>0</v>
      </c>
    </row>
    <row r="169" ht="14.5" spans="2:8">
      <c r="B169" s="38" t="s">
        <v>281</v>
      </c>
      <c r="C169" s="39" t="s">
        <v>282</v>
      </c>
      <c r="D169" s="39"/>
      <c r="E169" s="39"/>
      <c r="F169" s="64">
        <v>0</v>
      </c>
      <c r="G169" s="65">
        <v>1</v>
      </c>
      <c r="H169" s="66">
        <f>IF(AND(ISNUMBER(F169),ISNUMBER(G169)),F169*G169,"")</f>
        <v>0</v>
      </c>
    </row>
    <row r="170" ht="14.5" spans="2:8">
      <c r="B170" s="38" t="s">
        <v>283</v>
      </c>
      <c r="C170" s="46" t="s">
        <v>284</v>
      </c>
      <c r="D170" s="46"/>
      <c r="E170" s="46"/>
      <c r="F170" s="64">
        <v>0</v>
      </c>
      <c r="G170" s="65">
        <v>0.05</v>
      </c>
      <c r="H170" s="66">
        <f>IF(AND(ISNUMBER(F170),ISNUMBER(G170)),F170*G170,"")</f>
        <v>0</v>
      </c>
    </row>
    <row r="171" ht="14.5" spans="2:8">
      <c r="B171" s="38" t="s">
        <v>285</v>
      </c>
      <c r="C171" s="46" t="s">
        <v>286</v>
      </c>
      <c r="D171" s="46"/>
      <c r="E171" s="46"/>
      <c r="F171" s="100">
        <f>F172+F173+F174+F175+F176</f>
        <v>0</v>
      </c>
      <c r="G171" s="89"/>
      <c r="H171" s="88"/>
    </row>
    <row r="172" ht="14.5" spans="2:8">
      <c r="B172" s="38" t="s">
        <v>287</v>
      </c>
      <c r="C172" s="39" t="s">
        <v>288</v>
      </c>
      <c r="D172" s="39"/>
      <c r="E172" s="39"/>
      <c r="F172" s="64">
        <v>0</v>
      </c>
      <c r="G172" s="65">
        <v>0.1</v>
      </c>
      <c r="H172" s="66">
        <f>IF(AND(ISNUMBER(F172),ISNUMBER(G172)),F172*G172,"")</f>
        <v>0</v>
      </c>
    </row>
    <row r="173" ht="14.5" spans="2:8">
      <c r="B173" s="38" t="s">
        <v>289</v>
      </c>
      <c r="C173" s="39" t="s">
        <v>290</v>
      </c>
      <c r="D173" s="39"/>
      <c r="E173" s="39"/>
      <c r="F173" s="64">
        <v>0</v>
      </c>
      <c r="G173" s="65">
        <v>0.1</v>
      </c>
      <c r="H173" s="66">
        <f>IF(AND(ISNUMBER(F173),ISNUMBER(G173)),F173*G173,"")</f>
        <v>0</v>
      </c>
    </row>
    <row r="174" ht="14.5" spans="2:8">
      <c r="B174" s="38" t="s">
        <v>291</v>
      </c>
      <c r="C174" s="39" t="s">
        <v>292</v>
      </c>
      <c r="D174" s="105"/>
      <c r="E174" s="105"/>
      <c r="F174" s="64">
        <v>0</v>
      </c>
      <c r="G174" s="65">
        <v>0.4</v>
      </c>
      <c r="H174" s="66">
        <f>F174*G174</f>
        <v>0</v>
      </c>
    </row>
    <row r="175" ht="14.5" spans="2:8">
      <c r="B175" s="38" t="s">
        <v>293</v>
      </c>
      <c r="C175" s="39" t="s">
        <v>294</v>
      </c>
      <c r="D175" s="105"/>
      <c r="E175" s="105"/>
      <c r="F175" s="64">
        <v>0</v>
      </c>
      <c r="G175" s="65">
        <v>0.4</v>
      </c>
      <c r="H175" s="66">
        <f>F175*G175</f>
        <v>0</v>
      </c>
    </row>
    <row r="176" ht="14.5" spans="2:8">
      <c r="B176" s="38" t="s">
        <v>295</v>
      </c>
      <c r="C176" s="39" t="s">
        <v>296</v>
      </c>
      <c r="D176" s="105"/>
      <c r="E176" s="105"/>
      <c r="F176" s="64">
        <v>0</v>
      </c>
      <c r="G176" s="65">
        <v>1</v>
      </c>
      <c r="H176" s="66">
        <f>F176*G176</f>
        <v>0</v>
      </c>
    </row>
    <row r="177" ht="14.5" spans="2:8">
      <c r="B177" s="38" t="s">
        <v>297</v>
      </c>
      <c r="C177" s="46" t="s">
        <v>298</v>
      </c>
      <c r="D177" s="46"/>
      <c r="E177" s="46"/>
      <c r="F177" s="100">
        <f>F178+F179+F180+F181+F182</f>
        <v>0</v>
      </c>
      <c r="G177" s="89"/>
      <c r="H177" s="88"/>
    </row>
    <row r="178" ht="14.5" spans="2:8">
      <c r="B178" s="38" t="s">
        <v>299</v>
      </c>
      <c r="C178" s="39" t="s">
        <v>288</v>
      </c>
      <c r="D178" s="39"/>
      <c r="E178" s="39"/>
      <c r="F178" s="64">
        <v>0</v>
      </c>
      <c r="G178" s="65">
        <v>0.3</v>
      </c>
      <c r="H178" s="66">
        <f>IF(AND(ISNUMBER(F178),ISNUMBER(G178)),F178*G178,"")</f>
        <v>0</v>
      </c>
    </row>
    <row r="179" ht="14.5" spans="2:8">
      <c r="B179" s="38" t="s">
        <v>300</v>
      </c>
      <c r="C179" s="39" t="s">
        <v>290</v>
      </c>
      <c r="D179" s="39"/>
      <c r="E179" s="39"/>
      <c r="F179" s="64">
        <v>0</v>
      </c>
      <c r="G179" s="65">
        <v>0.3</v>
      </c>
      <c r="H179" s="66">
        <f>IF(AND(ISNUMBER(F179),ISNUMBER(G179)),F179*G179,"")</f>
        <v>0</v>
      </c>
    </row>
    <row r="180" ht="14.5" spans="2:8">
      <c r="B180" s="38" t="s">
        <v>301</v>
      </c>
      <c r="C180" s="39" t="s">
        <v>292</v>
      </c>
      <c r="D180" s="105"/>
      <c r="E180" s="105"/>
      <c r="F180" s="64">
        <v>0</v>
      </c>
      <c r="G180" s="65">
        <v>0.4</v>
      </c>
      <c r="H180" s="66">
        <f>F180*G180</f>
        <v>0</v>
      </c>
    </row>
    <row r="181" ht="14.5" spans="2:8">
      <c r="B181" s="38" t="s">
        <v>302</v>
      </c>
      <c r="C181" s="39" t="s">
        <v>294</v>
      </c>
      <c r="D181" s="105"/>
      <c r="E181" s="105"/>
      <c r="F181" s="64">
        <v>0</v>
      </c>
      <c r="G181" s="65">
        <v>1</v>
      </c>
      <c r="H181" s="66">
        <f>IF(AND(ISNUMBER(F181),ISNUMBER(G181)),F181*G181,"")</f>
        <v>0</v>
      </c>
    </row>
    <row r="182" ht="14.5" spans="2:8">
      <c r="B182" s="38" t="s">
        <v>303</v>
      </c>
      <c r="C182" s="47" t="s">
        <v>304</v>
      </c>
      <c r="D182" s="106"/>
      <c r="E182" s="106"/>
      <c r="F182" s="64">
        <v>0</v>
      </c>
      <c r="G182" s="65">
        <v>1</v>
      </c>
      <c r="H182" s="66">
        <f>F182*G182</f>
        <v>0</v>
      </c>
    </row>
    <row r="183" ht="14.5" spans="2:8">
      <c r="B183" s="38" t="s">
        <v>305</v>
      </c>
      <c r="C183" s="107" t="s">
        <v>306</v>
      </c>
      <c r="D183" s="29" t="s">
        <v>118</v>
      </c>
      <c r="E183" s="29" t="s">
        <v>307</v>
      </c>
      <c r="F183" s="28" t="s">
        <v>308</v>
      </c>
      <c r="G183" s="29" t="s">
        <v>11</v>
      </c>
      <c r="H183" s="28" t="s">
        <v>12</v>
      </c>
    </row>
    <row r="184" ht="14.5" spans="2:8">
      <c r="B184" s="108" t="s">
        <v>309</v>
      </c>
      <c r="C184" s="39" t="s">
        <v>310</v>
      </c>
      <c r="D184" s="92">
        <v>0</v>
      </c>
      <c r="E184" s="109"/>
      <c r="F184" s="69"/>
      <c r="G184" s="65">
        <v>1</v>
      </c>
      <c r="H184" s="66">
        <f>IF(AND(ISNUMBER(D184),ISNUMBER(G184)),D184*G184,"")</f>
        <v>0</v>
      </c>
    </row>
    <row r="185" ht="14.5" spans="2:8">
      <c r="B185" s="108" t="s">
        <v>311</v>
      </c>
      <c r="C185" s="39" t="s">
        <v>312</v>
      </c>
      <c r="D185" s="94">
        <v>0</v>
      </c>
      <c r="E185" s="110">
        <f>IF(AND(ISNUMBER(F231),ISNUMBER(H231)),F231-H231,"")</f>
        <v>0</v>
      </c>
      <c r="F185" s="69"/>
      <c r="G185" s="67"/>
      <c r="H185" s="66"/>
    </row>
    <row r="186" ht="14.5" spans="2:8">
      <c r="B186" s="108" t="s">
        <v>313</v>
      </c>
      <c r="C186" s="39" t="s">
        <v>314</v>
      </c>
      <c r="D186" s="94">
        <v>0</v>
      </c>
      <c r="E186" s="110">
        <f>IF(AND(ISNUMBER(F232),ISNUMBER(H232)),F232-H232,"")</f>
        <v>0</v>
      </c>
      <c r="F186" s="69"/>
      <c r="G186" s="67"/>
      <c r="H186" s="66"/>
    </row>
    <row r="187" ht="14.5" spans="2:8">
      <c r="B187" s="108" t="s">
        <v>315</v>
      </c>
      <c r="C187" s="39" t="s">
        <v>288</v>
      </c>
      <c r="D187" s="94">
        <v>0</v>
      </c>
      <c r="E187" s="110">
        <f>IF(AND(ISNUMBER(F233),ISNUMBER(H233)),F233-H233,"")</f>
        <v>0</v>
      </c>
      <c r="F187" s="69"/>
      <c r="G187" s="67"/>
      <c r="H187" s="66"/>
    </row>
    <row r="188" ht="14.5" spans="2:8">
      <c r="B188" s="108" t="s">
        <v>316</v>
      </c>
      <c r="C188" s="39" t="s">
        <v>317</v>
      </c>
      <c r="D188" s="94">
        <v>0</v>
      </c>
      <c r="E188" s="110">
        <f>F237-H237</f>
        <v>0</v>
      </c>
      <c r="F188" s="69"/>
      <c r="G188" s="67"/>
      <c r="H188" s="66"/>
    </row>
    <row r="189" ht="14.5" spans="2:8">
      <c r="B189" s="111" t="s">
        <v>318</v>
      </c>
      <c r="C189" s="52" t="s">
        <v>319</v>
      </c>
      <c r="D189" s="110">
        <f>IF(AND(ISNUMBER(D185),ISNUMBER(D186),ISNUMBER(D187),ISNUMBER(D188)),SUM(D185:D188),"")</f>
        <v>0</v>
      </c>
      <c r="E189" s="110">
        <f>IF(AND(ISNUMBER(E185),ISNUMBER(E186),ISNUMBER(E187),ISNUMBER(E188)),SUM(E185:E188),"")</f>
        <v>0</v>
      </c>
      <c r="F189" s="112">
        <f>IF(AND(ISNUMBER(D189),ISNUMBER(E189)),MAX(D189-E189,0),"")</f>
        <v>0</v>
      </c>
      <c r="G189" s="65">
        <v>1</v>
      </c>
      <c r="H189" s="66">
        <f>IF(AND(ISNUMBER(F189),ISNUMBER(G189)),F189*G189,"")</f>
        <v>0</v>
      </c>
    </row>
    <row r="190" ht="14.5" spans="2:8">
      <c r="B190" s="111" t="s">
        <v>320</v>
      </c>
      <c r="C190" s="46" t="s">
        <v>321</v>
      </c>
      <c r="D190" s="67"/>
      <c r="E190" s="109"/>
      <c r="F190" s="69"/>
      <c r="G190" s="67"/>
      <c r="H190" s="66">
        <f>IF(AND(ISNUMBER(H184),ISNUMBER(H189)),H184+H189,"")</f>
        <v>0</v>
      </c>
    </row>
    <row r="191" ht="14.5" spans="2:8">
      <c r="B191" s="30"/>
      <c r="C191" s="52"/>
      <c r="D191" s="113"/>
      <c r="E191" s="114"/>
      <c r="F191" s="115"/>
      <c r="G191" s="116"/>
      <c r="H191" s="28" t="s">
        <v>12</v>
      </c>
    </row>
    <row r="192" ht="14.5" spans="2:8">
      <c r="B192" s="30"/>
      <c r="C192" s="73" t="s">
        <v>322</v>
      </c>
      <c r="D192" s="73"/>
      <c r="E192" s="73"/>
      <c r="F192" s="73"/>
      <c r="G192" s="73"/>
      <c r="H192" s="53">
        <f>H155+H156+H158+H159+H160+H161+H162+H163+H164+H165+H167+H168+H169+H170+H172+H173+H174+H175+H176+H178+H179+H180+H181+H182+H190</f>
        <v>0</v>
      </c>
    </row>
    <row r="193" ht="14.5" spans="2:8">
      <c r="B193" s="26" t="s">
        <v>323</v>
      </c>
      <c r="C193" s="26"/>
      <c r="D193" s="26"/>
      <c r="E193" s="26"/>
      <c r="F193" s="26"/>
      <c r="G193" s="26"/>
      <c r="H193" s="26"/>
    </row>
    <row r="194" ht="14.5" spans="2:8">
      <c r="B194" s="27" t="s">
        <v>8</v>
      </c>
      <c r="C194" s="25" t="s">
        <v>9</v>
      </c>
      <c r="D194" s="25"/>
      <c r="E194" s="25"/>
      <c r="F194" s="28" t="s">
        <v>118</v>
      </c>
      <c r="G194" s="29" t="s">
        <v>11</v>
      </c>
      <c r="H194" s="28" t="s">
        <v>12</v>
      </c>
    </row>
    <row r="195" ht="14.5" spans="2:8">
      <c r="B195" s="30" t="s">
        <v>324</v>
      </c>
      <c r="C195" s="117" t="s">
        <v>325</v>
      </c>
      <c r="D195" s="117"/>
      <c r="E195" s="117"/>
      <c r="F195" s="118">
        <f>F196+F197</f>
        <v>0</v>
      </c>
      <c r="G195" s="119"/>
      <c r="H195" s="120"/>
    </row>
    <row r="196" ht="14.5" spans="2:8">
      <c r="B196" s="38" t="s">
        <v>326</v>
      </c>
      <c r="C196" s="39" t="s">
        <v>327</v>
      </c>
      <c r="D196" s="39"/>
      <c r="E196" s="39"/>
      <c r="F196" s="64">
        <v>0</v>
      </c>
      <c r="G196" s="65">
        <v>0.05</v>
      </c>
      <c r="H196" s="66">
        <f>IF(AND(ISNUMBER(F196),ISNUMBER(G196)),F196*G196,"")</f>
        <v>0</v>
      </c>
    </row>
    <row r="197" ht="14.5" spans="2:8">
      <c r="B197" s="38" t="s">
        <v>328</v>
      </c>
      <c r="C197" s="39" t="s">
        <v>329</v>
      </c>
      <c r="D197" s="105"/>
      <c r="E197" s="105"/>
      <c r="F197" s="121">
        <v>0</v>
      </c>
      <c r="G197" s="65">
        <v>0.05</v>
      </c>
      <c r="H197" s="66">
        <f>F197*G197</f>
        <v>0</v>
      </c>
    </row>
    <row r="198" ht="14.5" spans="2:8">
      <c r="B198" s="38" t="s">
        <v>330</v>
      </c>
      <c r="C198" s="122" t="s">
        <v>331</v>
      </c>
      <c r="D198" s="122"/>
      <c r="E198" s="122"/>
      <c r="F198" s="120"/>
      <c r="G198" s="119"/>
      <c r="H198" s="66">
        <f>SUM(H196:H197)</f>
        <v>0</v>
      </c>
    </row>
    <row r="199" ht="14.5" spans="2:8">
      <c r="B199" s="26" t="s">
        <v>332</v>
      </c>
      <c r="C199" s="26"/>
      <c r="D199" s="26"/>
      <c r="E199" s="26"/>
      <c r="F199" s="26"/>
      <c r="G199" s="26"/>
      <c r="H199" s="26"/>
    </row>
    <row r="200" ht="14.5" spans="2:8">
      <c r="B200" s="123"/>
      <c r="C200" s="124" t="s">
        <v>333</v>
      </c>
      <c r="D200" s="124"/>
      <c r="E200" s="124"/>
      <c r="F200" s="124"/>
      <c r="G200" s="124"/>
      <c r="H200" s="66">
        <f>H83+H116+H152+H192+H198</f>
        <v>0</v>
      </c>
    </row>
    <row r="201" ht="14.5" spans="2:8">
      <c r="B201" s="26" t="s">
        <v>334</v>
      </c>
      <c r="C201" s="26"/>
      <c r="D201" s="26"/>
      <c r="E201" s="26"/>
      <c r="F201" s="26"/>
      <c r="G201" s="26"/>
      <c r="H201" s="26"/>
    </row>
    <row r="202" ht="14.5" spans="2:8">
      <c r="B202" s="26" t="s">
        <v>335</v>
      </c>
      <c r="C202" s="26"/>
      <c r="D202" s="26"/>
      <c r="E202" s="26"/>
      <c r="F202" s="26"/>
      <c r="G202" s="26"/>
      <c r="H202" s="26"/>
    </row>
    <row r="203" ht="21" spans="2:8">
      <c r="B203" s="27" t="s">
        <v>8</v>
      </c>
      <c r="C203" s="25" t="s">
        <v>9</v>
      </c>
      <c r="D203" s="25"/>
      <c r="E203" s="29" t="s">
        <v>336</v>
      </c>
      <c r="F203" s="28" t="s">
        <v>337</v>
      </c>
      <c r="G203" s="29" t="s">
        <v>11</v>
      </c>
      <c r="H203" s="28" t="s">
        <v>12</v>
      </c>
    </row>
    <row r="204" ht="14.5" spans="2:8">
      <c r="B204" s="125" t="s">
        <v>338</v>
      </c>
      <c r="C204" s="39" t="s">
        <v>339</v>
      </c>
      <c r="D204" s="39"/>
      <c r="E204" s="119">
        <f>E227</f>
        <v>0</v>
      </c>
      <c r="F204" s="120"/>
      <c r="G204" s="119"/>
      <c r="H204" s="120"/>
    </row>
    <row r="205" ht="14.5" spans="2:8">
      <c r="B205" s="38" t="s">
        <v>340</v>
      </c>
      <c r="C205" s="39" t="s">
        <v>341</v>
      </c>
      <c r="D205" s="39"/>
      <c r="E205" s="119">
        <f>E206+E209+E212+E215</f>
        <v>0</v>
      </c>
      <c r="F205" s="120"/>
      <c r="G205" s="119"/>
      <c r="H205" s="120"/>
    </row>
    <row r="206" ht="14.5" spans="2:8">
      <c r="B206" s="125" t="s">
        <v>342</v>
      </c>
      <c r="C206" s="39" t="s">
        <v>343</v>
      </c>
      <c r="D206" s="39"/>
      <c r="E206" s="119">
        <f>E207+E208</f>
        <v>0</v>
      </c>
      <c r="F206" s="120"/>
      <c r="G206" s="119"/>
      <c r="H206" s="120"/>
    </row>
    <row r="207" ht="14.5" spans="2:8">
      <c r="B207" s="38" t="s">
        <v>344</v>
      </c>
      <c r="C207" s="39" t="s">
        <v>205</v>
      </c>
      <c r="D207" s="39"/>
      <c r="E207" s="92">
        <v>0</v>
      </c>
      <c r="F207" s="93">
        <v>0</v>
      </c>
      <c r="G207" s="65">
        <v>0</v>
      </c>
      <c r="H207" s="66">
        <f>IF(AND(ISNUMBER(E207),ISNUMBER(G207)),E207*G207,"")</f>
        <v>0</v>
      </c>
    </row>
    <row r="208" ht="14.5" spans="2:8">
      <c r="B208" s="38" t="s">
        <v>345</v>
      </c>
      <c r="C208" s="39" t="s">
        <v>207</v>
      </c>
      <c r="D208" s="39"/>
      <c r="E208" s="92">
        <v>0</v>
      </c>
      <c r="F208" s="93">
        <v>0</v>
      </c>
      <c r="G208" s="65">
        <v>0</v>
      </c>
      <c r="H208" s="66">
        <f>IF(AND(ISNUMBER(E208),ISNUMBER(G208)),E208*G208,"")</f>
        <v>0</v>
      </c>
    </row>
    <row r="209" ht="14.5" spans="2:8">
      <c r="B209" s="125" t="s">
        <v>346</v>
      </c>
      <c r="C209" s="39" t="s">
        <v>347</v>
      </c>
      <c r="D209" s="39"/>
      <c r="E209" s="126">
        <f>E210+E211</f>
        <v>0</v>
      </c>
      <c r="F209" s="120"/>
      <c r="G209" s="119"/>
      <c r="H209" s="120"/>
    </row>
    <row r="210" ht="14.5" spans="2:8">
      <c r="B210" s="38" t="s">
        <v>348</v>
      </c>
      <c r="C210" s="39" t="s">
        <v>205</v>
      </c>
      <c r="D210" s="39"/>
      <c r="E210" s="94">
        <v>0</v>
      </c>
      <c r="F210" s="93">
        <v>0</v>
      </c>
      <c r="G210" s="65">
        <v>0.15</v>
      </c>
      <c r="H210" s="66">
        <f>IF(AND(ISNUMBER(E210),ISNUMBER(G210)),E210*G210,"")</f>
        <v>0</v>
      </c>
    </row>
    <row r="211" ht="14.5" spans="2:8">
      <c r="B211" s="38" t="s">
        <v>349</v>
      </c>
      <c r="C211" s="39" t="s">
        <v>207</v>
      </c>
      <c r="D211" s="39"/>
      <c r="E211" s="94">
        <v>0</v>
      </c>
      <c r="F211" s="93">
        <v>0</v>
      </c>
      <c r="G211" s="65">
        <v>0.15</v>
      </c>
      <c r="H211" s="66">
        <f>IF(AND(ISNUMBER(E211),ISNUMBER(G211)),E211*G211,"")</f>
        <v>0</v>
      </c>
    </row>
    <row r="212" ht="14.5" spans="2:8">
      <c r="B212" s="125" t="s">
        <v>350</v>
      </c>
      <c r="C212" s="39" t="s">
        <v>351</v>
      </c>
      <c r="D212" s="39"/>
      <c r="E212" s="126">
        <f>E213+E214</f>
        <v>0</v>
      </c>
      <c r="F212" s="120"/>
      <c r="G212" s="119"/>
      <c r="H212" s="120"/>
    </row>
    <row r="213" ht="14.5" spans="2:8">
      <c r="B213" s="38" t="s">
        <v>352</v>
      </c>
      <c r="C213" s="39" t="s">
        <v>205</v>
      </c>
      <c r="D213" s="39"/>
      <c r="E213" s="94">
        <v>0</v>
      </c>
      <c r="F213" s="93">
        <v>0</v>
      </c>
      <c r="G213" s="65">
        <v>0.25</v>
      </c>
      <c r="H213" s="66">
        <f>IF(AND(ISNUMBER(E213),ISNUMBER(G213)),E213*G213,"")</f>
        <v>0</v>
      </c>
    </row>
    <row r="214" ht="14.5" spans="2:8">
      <c r="B214" s="38" t="s">
        <v>353</v>
      </c>
      <c r="C214" s="39" t="s">
        <v>207</v>
      </c>
      <c r="D214" s="39"/>
      <c r="E214" s="94">
        <v>0</v>
      </c>
      <c r="F214" s="93">
        <v>0</v>
      </c>
      <c r="G214" s="65">
        <v>0.25</v>
      </c>
      <c r="H214" s="66">
        <f>IF(AND(ISNUMBER(E214),ISNUMBER(G214)),E214*G214,"")</f>
        <v>0</v>
      </c>
    </row>
    <row r="215" ht="14.5" spans="2:8">
      <c r="B215" s="125" t="s">
        <v>354</v>
      </c>
      <c r="C215" s="39" t="s">
        <v>355</v>
      </c>
      <c r="D215" s="39"/>
      <c r="E215" s="126">
        <f>E216+E217+E218+E219</f>
        <v>0</v>
      </c>
      <c r="F215" s="120"/>
      <c r="G215" s="119"/>
      <c r="H215" s="120"/>
    </row>
    <row r="216" ht="14.5" spans="2:8">
      <c r="B216" s="38" t="s">
        <v>356</v>
      </c>
      <c r="C216" s="39" t="s">
        <v>205</v>
      </c>
      <c r="D216" s="39"/>
      <c r="E216" s="92">
        <v>0</v>
      </c>
      <c r="F216" s="93">
        <v>0</v>
      </c>
      <c r="G216" s="65">
        <v>0.5</v>
      </c>
      <c r="H216" s="66">
        <f>IF(AND(ISNUMBER(E216),ISNUMBER(G216)),E216*G216,"")</f>
        <v>0</v>
      </c>
    </row>
    <row r="217" ht="14.5" spans="2:8">
      <c r="B217" s="38" t="s">
        <v>357</v>
      </c>
      <c r="C217" s="39" t="s">
        <v>207</v>
      </c>
      <c r="D217" s="39"/>
      <c r="E217" s="92">
        <v>0</v>
      </c>
      <c r="F217" s="93">
        <v>0</v>
      </c>
      <c r="G217" s="65">
        <v>0.5</v>
      </c>
      <c r="H217" s="66">
        <f>IF(AND(ISNUMBER(E217),ISNUMBER(G217)),E217*G217,"")</f>
        <v>0</v>
      </c>
    </row>
    <row r="218" ht="14.5" spans="2:8">
      <c r="B218" s="38" t="s">
        <v>358</v>
      </c>
      <c r="C218" s="39" t="s">
        <v>359</v>
      </c>
      <c r="D218" s="39"/>
      <c r="E218" s="92">
        <v>0</v>
      </c>
      <c r="F218" s="93">
        <v>0</v>
      </c>
      <c r="G218" s="65">
        <v>0.5</v>
      </c>
      <c r="H218" s="66">
        <f>IF(AND(ISNUMBER(E218),ISNUMBER(G218)),E218*G218,"")</f>
        <v>0</v>
      </c>
    </row>
    <row r="219" ht="14.5" spans="2:8">
      <c r="B219" s="38" t="s">
        <v>360</v>
      </c>
      <c r="C219" s="39" t="s">
        <v>361</v>
      </c>
      <c r="D219" s="39"/>
      <c r="E219" s="92">
        <v>0</v>
      </c>
      <c r="F219" s="93">
        <v>0</v>
      </c>
      <c r="G219" s="65">
        <v>1</v>
      </c>
      <c r="H219" s="66">
        <f>IF(AND(ISNUMBER(E219),ISNUMBER(G219)),E219*G219,"")</f>
        <v>0</v>
      </c>
    </row>
    <row r="220" ht="14.5" spans="2:8">
      <c r="B220" s="125" t="s">
        <v>346</v>
      </c>
      <c r="C220" s="39" t="s">
        <v>362</v>
      </c>
      <c r="D220" s="39"/>
      <c r="E220" s="126">
        <f>SUM(E221:E226)</f>
        <v>0</v>
      </c>
      <c r="F220" s="120"/>
      <c r="G220" s="119"/>
      <c r="H220" s="120"/>
    </row>
    <row r="221" ht="14.5" spans="2:8">
      <c r="B221" s="38" t="s">
        <v>348</v>
      </c>
      <c r="C221" s="39" t="s">
        <v>363</v>
      </c>
      <c r="D221" s="39"/>
      <c r="E221" s="94">
        <v>0</v>
      </c>
      <c r="F221" s="93">
        <v>0</v>
      </c>
      <c r="G221" s="65">
        <v>0</v>
      </c>
      <c r="H221" s="66">
        <f t="shared" ref="H221:H226" si="3">IF(AND(ISNUMBER(E221),ISNUMBER(G221)),E221*G221,"")</f>
        <v>0</v>
      </c>
    </row>
    <row r="222" ht="14.5" spans="2:8">
      <c r="B222" s="38" t="s">
        <v>349</v>
      </c>
      <c r="C222" s="39" t="s">
        <v>364</v>
      </c>
      <c r="D222" s="39"/>
      <c r="E222" s="94">
        <v>0</v>
      </c>
      <c r="F222" s="93">
        <v>0</v>
      </c>
      <c r="G222" s="65">
        <v>0</v>
      </c>
      <c r="H222" s="66">
        <f t="shared" si="3"/>
        <v>0</v>
      </c>
    </row>
    <row r="223" ht="14.5" spans="2:8">
      <c r="B223" s="38" t="s">
        <v>365</v>
      </c>
      <c r="C223" s="39" t="s">
        <v>366</v>
      </c>
      <c r="D223" s="39"/>
      <c r="E223" s="94">
        <v>0</v>
      </c>
      <c r="F223" s="93">
        <v>0</v>
      </c>
      <c r="G223" s="65">
        <v>0</v>
      </c>
      <c r="H223" s="66">
        <f t="shared" si="3"/>
        <v>0</v>
      </c>
    </row>
    <row r="224" ht="14.5" spans="2:8">
      <c r="B224" s="38" t="s">
        <v>367</v>
      </c>
      <c r="C224" s="39" t="s">
        <v>368</v>
      </c>
      <c r="D224" s="39"/>
      <c r="E224" s="94">
        <v>0</v>
      </c>
      <c r="F224" s="93">
        <v>0</v>
      </c>
      <c r="G224" s="65">
        <v>0</v>
      </c>
      <c r="H224" s="66">
        <f t="shared" si="3"/>
        <v>0</v>
      </c>
    </row>
    <row r="225" ht="14.5" spans="2:8">
      <c r="B225" s="38" t="s">
        <v>369</v>
      </c>
      <c r="C225" s="39" t="s">
        <v>359</v>
      </c>
      <c r="D225" s="39"/>
      <c r="E225" s="94">
        <v>0</v>
      </c>
      <c r="F225" s="93">
        <v>0</v>
      </c>
      <c r="G225" s="65">
        <v>0</v>
      </c>
      <c r="H225" s="66">
        <f t="shared" si="3"/>
        <v>0</v>
      </c>
    </row>
    <row r="226" ht="14.5" spans="2:8">
      <c r="B226" s="38" t="s">
        <v>370</v>
      </c>
      <c r="C226" s="39" t="s">
        <v>361</v>
      </c>
      <c r="D226" s="39"/>
      <c r="E226" s="94">
        <v>0</v>
      </c>
      <c r="F226" s="93">
        <v>0</v>
      </c>
      <c r="G226" s="65">
        <v>0</v>
      </c>
      <c r="H226" s="66">
        <f t="shared" si="3"/>
        <v>0</v>
      </c>
    </row>
    <row r="227" ht="14.5" spans="2:8">
      <c r="B227" s="38" t="s">
        <v>371</v>
      </c>
      <c r="C227" s="46" t="s">
        <v>372</v>
      </c>
      <c r="D227" s="46"/>
      <c r="E227" s="119">
        <f>E205+E220</f>
        <v>0</v>
      </c>
      <c r="F227" s="120"/>
      <c r="G227" s="119"/>
      <c r="H227" s="68">
        <f>IF(AND(ISNUMBER(H207),ISNUMBER(H208),ISNUMBER(H210),ISNUMBER(H211),ISNUMBER(H213),ISNUMBER(H214),ISNUMBER(H216),ISNUMBER(H217),ISNUMBER(H218),ISNUMBER(H219),ISNUMBER(H221),ISNUMBER(H222),ISNUMBER(H223),ISNUMBER(H224),ISNUMBER(H225),ISNUMBER(H226)),SUM(H207:H208,H210:H211,H213:H214,H216:H219,H221:H226),"")</f>
        <v>0</v>
      </c>
    </row>
    <row r="228" ht="14.5" spans="2:8">
      <c r="B228" s="26" t="s">
        <v>373</v>
      </c>
      <c r="C228" s="26"/>
      <c r="D228" s="26"/>
      <c r="E228" s="26"/>
      <c r="F228" s="26"/>
      <c r="G228" s="26"/>
      <c r="H228" s="26"/>
    </row>
    <row r="229" ht="14.5" spans="2:8">
      <c r="B229" s="27" t="s">
        <v>8</v>
      </c>
      <c r="C229" s="25" t="s">
        <v>9</v>
      </c>
      <c r="D229" s="25"/>
      <c r="E229" s="25"/>
      <c r="F229" s="28" t="s">
        <v>118</v>
      </c>
      <c r="G229" s="29" t="s">
        <v>11</v>
      </c>
      <c r="H229" s="28" t="s">
        <v>12</v>
      </c>
    </row>
    <row r="230" ht="14.5" spans="2:8">
      <c r="B230" s="30" t="s">
        <v>374</v>
      </c>
      <c r="C230" s="52" t="s">
        <v>375</v>
      </c>
      <c r="D230" s="52"/>
      <c r="E230" s="52"/>
      <c r="F230" s="58">
        <f>F238</f>
        <v>0</v>
      </c>
      <c r="G230" s="127"/>
      <c r="H230" s="58"/>
    </row>
    <row r="231" ht="14.5" spans="2:8">
      <c r="B231" s="38" t="s">
        <v>376</v>
      </c>
      <c r="C231" s="39" t="s">
        <v>377</v>
      </c>
      <c r="D231" s="39"/>
      <c r="E231" s="39"/>
      <c r="F231" s="64">
        <v>0</v>
      </c>
      <c r="G231" s="65">
        <v>0.5</v>
      </c>
      <c r="H231" s="66">
        <f>IF(AND(ISNUMBER(F231),ISNUMBER(G231)),F231*G231,"")</f>
        <v>0</v>
      </c>
    </row>
    <row r="232" ht="14.5" spans="2:8">
      <c r="B232" s="38" t="s">
        <v>378</v>
      </c>
      <c r="C232" s="39" t="s">
        <v>379</v>
      </c>
      <c r="D232" s="39"/>
      <c r="E232" s="39"/>
      <c r="F232" s="64">
        <v>0</v>
      </c>
      <c r="G232" s="65">
        <v>0.5</v>
      </c>
      <c r="H232" s="66">
        <f>IF(AND(ISNUMBER(F232),ISNUMBER(G232)),F232*G232,"")</f>
        <v>0</v>
      </c>
    </row>
    <row r="233" ht="14.5" spans="2:8">
      <c r="B233" s="38" t="s">
        <v>380</v>
      </c>
      <c r="C233" s="39" t="s">
        <v>381</v>
      </c>
      <c r="D233" s="39"/>
      <c r="E233" s="39"/>
      <c r="F233" s="64">
        <v>0</v>
      </c>
      <c r="G233" s="65">
        <v>0.5</v>
      </c>
      <c r="H233" s="66">
        <f>IF(AND(ISNUMBER(F233),ISNUMBER(G233)),F233*G233,"")</f>
        <v>0</v>
      </c>
    </row>
    <row r="234" ht="14.5" spans="2:8">
      <c r="B234" s="38" t="s">
        <v>382</v>
      </c>
      <c r="C234" s="39" t="s">
        <v>383</v>
      </c>
      <c r="D234" s="39"/>
      <c r="E234" s="39"/>
      <c r="F234" s="121">
        <v>0</v>
      </c>
      <c r="G234" s="128">
        <v>1</v>
      </c>
      <c r="H234" s="129">
        <f>F234*G234</f>
        <v>0</v>
      </c>
    </row>
    <row r="235" ht="14.5" spans="2:8">
      <c r="B235" s="38" t="s">
        <v>384</v>
      </c>
      <c r="C235" s="39" t="s">
        <v>385</v>
      </c>
      <c r="D235" s="39"/>
      <c r="E235" s="39"/>
      <c r="F235" s="130">
        <v>0</v>
      </c>
      <c r="G235" s="65">
        <v>0.5</v>
      </c>
      <c r="H235" s="66">
        <f>F235*G235</f>
        <v>0</v>
      </c>
    </row>
    <row r="236" ht="14.5" spans="2:8">
      <c r="B236" s="38" t="s">
        <v>386</v>
      </c>
      <c r="C236" s="39" t="s">
        <v>387</v>
      </c>
      <c r="D236" s="39"/>
      <c r="E236" s="39"/>
      <c r="F236" s="121">
        <v>0</v>
      </c>
      <c r="G236" s="65">
        <v>0.5</v>
      </c>
      <c r="H236" s="66">
        <f>F236*G236</f>
        <v>0</v>
      </c>
    </row>
    <row r="237" ht="14.5" spans="2:8">
      <c r="B237" s="38" t="s">
        <v>388</v>
      </c>
      <c r="C237" s="39" t="s">
        <v>389</v>
      </c>
      <c r="D237" s="39"/>
      <c r="E237" s="39"/>
      <c r="F237" s="64">
        <v>0</v>
      </c>
      <c r="G237" s="65">
        <v>0.5</v>
      </c>
      <c r="H237" s="66">
        <f>F237*G237</f>
        <v>0</v>
      </c>
    </row>
    <row r="238" ht="14.5" spans="2:8">
      <c r="B238" s="30" t="s">
        <v>390</v>
      </c>
      <c r="C238" s="31" t="s">
        <v>391</v>
      </c>
      <c r="D238" s="31"/>
      <c r="E238" s="31"/>
      <c r="F238" s="118">
        <f>SUM(F231:F237)</f>
        <v>0</v>
      </c>
      <c r="G238" s="126"/>
      <c r="H238" s="68">
        <f>SUM(H231:H237)</f>
        <v>0</v>
      </c>
    </row>
    <row r="239" ht="14.5" spans="2:8">
      <c r="B239" s="26" t="s">
        <v>392</v>
      </c>
      <c r="C239" s="26"/>
      <c r="D239" s="26"/>
      <c r="E239" s="26"/>
      <c r="F239" s="26"/>
      <c r="G239" s="26"/>
      <c r="H239" s="26"/>
    </row>
    <row r="240" ht="14.5" spans="2:8">
      <c r="B240" s="27" t="s">
        <v>8</v>
      </c>
      <c r="C240" s="25" t="s">
        <v>9</v>
      </c>
      <c r="D240" s="25"/>
      <c r="E240" s="25"/>
      <c r="F240" s="28" t="s">
        <v>118</v>
      </c>
      <c r="G240" s="29" t="s">
        <v>11</v>
      </c>
      <c r="H240" s="28" t="s">
        <v>12</v>
      </c>
    </row>
    <row r="241" ht="14.5" spans="2:8">
      <c r="B241" s="30" t="s">
        <v>393</v>
      </c>
      <c r="C241" s="52" t="s">
        <v>394</v>
      </c>
      <c r="D241" s="52"/>
      <c r="E241" s="52"/>
      <c r="F241" s="120">
        <f>F245</f>
        <v>0</v>
      </c>
      <c r="G241" s="119"/>
      <c r="H241" s="120"/>
    </row>
    <row r="242" ht="14.5" spans="2:8">
      <c r="B242" s="38" t="s">
        <v>395</v>
      </c>
      <c r="C242" s="39" t="s">
        <v>396</v>
      </c>
      <c r="D242" s="39"/>
      <c r="E242" s="39"/>
      <c r="F242" s="64">
        <v>0</v>
      </c>
      <c r="G242" s="65">
        <v>1</v>
      </c>
      <c r="H242" s="66">
        <f>IF(AND(ISNUMBER(F242),ISNUMBER(G242)),F242*G242,"")</f>
        <v>0</v>
      </c>
    </row>
    <row r="243" ht="14.5" spans="2:8">
      <c r="B243" s="38" t="s">
        <v>397</v>
      </c>
      <c r="C243" s="39" t="s">
        <v>398</v>
      </c>
      <c r="D243" s="39"/>
      <c r="E243" s="39"/>
      <c r="F243" s="64">
        <v>0</v>
      </c>
      <c r="G243" s="65">
        <v>1</v>
      </c>
      <c r="H243" s="66">
        <f>IF(AND(ISNUMBER(F243),ISNUMBER(G243)),F243*G243,"")</f>
        <v>0</v>
      </c>
    </row>
    <row r="244" ht="14.5" spans="2:8">
      <c r="B244" s="38" t="s">
        <v>399</v>
      </c>
      <c r="C244" s="39" t="s">
        <v>400</v>
      </c>
      <c r="D244" s="39"/>
      <c r="E244" s="39"/>
      <c r="F244" s="64">
        <v>0</v>
      </c>
      <c r="G244" s="65">
        <v>1</v>
      </c>
      <c r="H244" s="66">
        <f>IF(AND(ISNUMBER(F244),ISNUMBER(G244)),F244*G244,"")</f>
        <v>0</v>
      </c>
    </row>
    <row r="245" ht="14.5" spans="2:8">
      <c r="B245" s="30" t="s">
        <v>401</v>
      </c>
      <c r="C245" s="31" t="s">
        <v>402</v>
      </c>
      <c r="D245" s="31"/>
      <c r="E245" s="31"/>
      <c r="F245" s="118">
        <f>SUM(F242:F244)</f>
        <v>0</v>
      </c>
      <c r="G245" s="119"/>
      <c r="H245" s="68">
        <f>IF(AND(ISNUMBER(H242),ISNUMBER(H243),ISNUMBER(H244)),H242+H243+H244,"")</f>
        <v>0</v>
      </c>
    </row>
    <row r="246" ht="14.5" spans="2:8">
      <c r="B246" s="76" t="s">
        <v>403</v>
      </c>
      <c r="C246" s="76"/>
      <c r="D246" s="76"/>
      <c r="E246" s="76"/>
      <c r="F246" s="76"/>
      <c r="G246" s="76"/>
      <c r="H246" s="76"/>
    </row>
    <row r="247" ht="14.5" spans="2:8">
      <c r="B247" s="27" t="s">
        <v>8</v>
      </c>
      <c r="C247" s="55" t="s">
        <v>9</v>
      </c>
      <c r="D247" s="55"/>
      <c r="E247" s="55"/>
      <c r="F247" s="74" t="s">
        <v>118</v>
      </c>
      <c r="G247" s="131" t="s">
        <v>11</v>
      </c>
      <c r="H247" s="74" t="s">
        <v>12</v>
      </c>
    </row>
    <row r="248" ht="14.5" spans="2:8">
      <c r="B248" s="30" t="s">
        <v>404</v>
      </c>
      <c r="C248" s="62" t="s">
        <v>405</v>
      </c>
      <c r="D248" s="62"/>
      <c r="E248" s="62"/>
      <c r="F248" s="43">
        <f>H227+H238+H245</f>
        <v>0</v>
      </c>
      <c r="G248" s="57"/>
      <c r="H248" s="34">
        <f>SUM(H227+H238+H245)</f>
        <v>0</v>
      </c>
    </row>
    <row r="249" ht="14.5" spans="2:8">
      <c r="B249" s="30" t="s">
        <v>406</v>
      </c>
      <c r="C249" s="62" t="s">
        <v>407</v>
      </c>
      <c r="D249" s="62"/>
      <c r="E249" s="62"/>
      <c r="F249" s="34">
        <f>H200</f>
        <v>0</v>
      </c>
      <c r="G249" s="33">
        <v>0.75</v>
      </c>
      <c r="H249" s="34">
        <f>IF(AND(ISNUMBER(F249),ISNUMBER(G249)),F249*G249,"")</f>
        <v>0</v>
      </c>
    </row>
    <row r="250" ht="14.5" spans="2:8">
      <c r="B250" s="30" t="s">
        <v>408</v>
      </c>
      <c r="C250" s="132" t="s">
        <v>409</v>
      </c>
      <c r="D250" s="132"/>
      <c r="E250" s="132"/>
      <c r="F250" s="54"/>
      <c r="G250" s="44"/>
      <c r="H250" s="34">
        <f>MIN(H248,H249)</f>
        <v>0</v>
      </c>
    </row>
    <row r="251" ht="14.5" spans="2:8">
      <c r="B251" s="26" t="s">
        <v>410</v>
      </c>
      <c r="C251" s="26"/>
      <c r="D251" s="26"/>
      <c r="E251" s="26"/>
      <c r="F251" s="26"/>
      <c r="G251" s="26"/>
      <c r="H251" s="26"/>
    </row>
    <row r="252" ht="14.5" spans="2:8">
      <c r="B252" s="30">
        <v>3.1</v>
      </c>
      <c r="C252" s="52" t="s">
        <v>411</v>
      </c>
      <c r="D252" s="52"/>
      <c r="E252" s="52"/>
      <c r="F252" s="52"/>
      <c r="G252" s="52"/>
      <c r="H252" s="66">
        <f>H57</f>
        <v>0</v>
      </c>
    </row>
    <row r="253" ht="14.5" spans="2:8">
      <c r="B253" s="30">
        <v>3.2</v>
      </c>
      <c r="C253" s="52" t="s">
        <v>412</v>
      </c>
      <c r="D253" s="52"/>
      <c r="E253" s="52"/>
      <c r="F253" s="52"/>
      <c r="G253" s="52"/>
      <c r="H253" s="66">
        <f>IF(AND(ISNUMBER(H200),ISNUMBER(H250)),H200-H250,"")</f>
        <v>0</v>
      </c>
    </row>
    <row r="254" ht="14.5" spans="2:8">
      <c r="B254" s="30">
        <v>3.3</v>
      </c>
      <c r="C254" s="124" t="s">
        <v>413</v>
      </c>
      <c r="D254" s="133"/>
      <c r="E254" s="133"/>
      <c r="F254" s="133"/>
      <c r="G254" s="133"/>
      <c r="H254" s="134">
        <f>IF(AND(ISNUMBER(H253),ISNUMBER(H252)),H252/MAX(H253,0.001))</f>
        <v>0</v>
      </c>
    </row>
    <row r="255" ht="14.5" spans="2:8">
      <c r="B255" s="135"/>
      <c r="C255" s="136" t="s">
        <v>414</v>
      </c>
      <c r="D255" s="137"/>
      <c r="E255" s="138"/>
      <c r="F255" s="139"/>
      <c r="G255" s="138"/>
      <c r="H255" s="140"/>
    </row>
    <row r="256" ht="14.5"/>
    <row r="257" ht="14.5" hidden="1"/>
  </sheetData>
  <sheetProtection password="DE1B" sheet="1"/>
  <mergeCells count="244">
    <mergeCell ref="B2:H2"/>
    <mergeCell ref="C3:D3"/>
    <mergeCell ref="C5:D5"/>
    <mergeCell ref="B6:H6"/>
    <mergeCell ref="C7:H7"/>
    <mergeCell ref="B8:H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B26:H26"/>
    <mergeCell ref="C27:E27"/>
    <mergeCell ref="C28:E28"/>
    <mergeCell ref="C29:E29"/>
    <mergeCell ref="C30:E30"/>
    <mergeCell ref="C31:E31"/>
    <mergeCell ref="C32:E32"/>
    <mergeCell ref="C33:E33"/>
    <mergeCell ref="C34:E34"/>
    <mergeCell ref="C35:E35"/>
    <mergeCell ref="C36:E36"/>
    <mergeCell ref="C37:E37"/>
    <mergeCell ref="C38:E38"/>
    <mergeCell ref="C39:E39"/>
    <mergeCell ref="B40:H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B55:H55"/>
    <mergeCell ref="B56:G56"/>
    <mergeCell ref="C57:G57"/>
    <mergeCell ref="B58:H58"/>
    <mergeCell ref="C59:E59"/>
    <mergeCell ref="C60:E60"/>
    <mergeCell ref="C61:E61"/>
    <mergeCell ref="C62:E62"/>
    <mergeCell ref="C63:E63"/>
    <mergeCell ref="C64:E64"/>
    <mergeCell ref="C65:E65"/>
    <mergeCell ref="C66:E66"/>
    <mergeCell ref="C67:E67"/>
    <mergeCell ref="B68:H68"/>
    <mergeCell ref="B69:H69"/>
    <mergeCell ref="B70:H70"/>
    <mergeCell ref="C71:E71"/>
    <mergeCell ref="C72:E72"/>
    <mergeCell ref="C73:E73"/>
    <mergeCell ref="C74:E74"/>
    <mergeCell ref="C75:E75"/>
    <mergeCell ref="C76:E76"/>
    <mergeCell ref="C77:E77"/>
    <mergeCell ref="C78:E78"/>
    <mergeCell ref="C79:E79"/>
    <mergeCell ref="C80:E80"/>
    <mergeCell ref="C81:E81"/>
    <mergeCell ref="C82:E82"/>
    <mergeCell ref="C83:E83"/>
    <mergeCell ref="B84:H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B117:H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B153:H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92:G192"/>
    <mergeCell ref="B193:H193"/>
    <mergeCell ref="C194:E194"/>
    <mergeCell ref="C195:E195"/>
    <mergeCell ref="C196:E196"/>
    <mergeCell ref="C197:E197"/>
    <mergeCell ref="C198:E198"/>
    <mergeCell ref="B199:H199"/>
    <mergeCell ref="C200:G200"/>
    <mergeCell ref="B201:H201"/>
    <mergeCell ref="B202:H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B228:H228"/>
    <mergeCell ref="C229:E229"/>
    <mergeCell ref="C230:E230"/>
    <mergeCell ref="C231:E231"/>
    <mergeCell ref="C232:E232"/>
    <mergeCell ref="C233:E233"/>
    <mergeCell ref="C234:E234"/>
    <mergeCell ref="C235:E235"/>
    <mergeCell ref="C236:E236"/>
    <mergeCell ref="C237:E237"/>
    <mergeCell ref="C238:E238"/>
    <mergeCell ref="B239:H239"/>
    <mergeCell ref="C240:E240"/>
    <mergeCell ref="C241:E241"/>
    <mergeCell ref="C242:E242"/>
    <mergeCell ref="C243:E243"/>
    <mergeCell ref="C244:E244"/>
    <mergeCell ref="C245:E245"/>
    <mergeCell ref="B246:H246"/>
    <mergeCell ref="C247:E247"/>
    <mergeCell ref="C248:E248"/>
    <mergeCell ref="C249:E249"/>
    <mergeCell ref="C250:E250"/>
    <mergeCell ref="B251:H251"/>
    <mergeCell ref="C252:G252"/>
    <mergeCell ref="C253:G253"/>
    <mergeCell ref="C254:G254"/>
    <mergeCell ref="G59:H67"/>
  </mergeCells>
  <dataValidations count="1">
    <dataValidation type="decimal" operator="between" allowBlank="1" showInputMessage="1" showErrorMessage="1" sqref="F10 F12 F23 H192 D184:D188 F14:F18 F20:F21 F29:F36 F42:F45 F60:F67 F74:F75 F77:F81 F89:F92 F94:F96 F98:F100 F102:F104 F107:F112 F155:F156 F158:F165 F167:F170 F172:F176 F178:F182 F196:F197 F231:F233 F236:F237 F242:F244 E121:F122 E127:F128 E137:F138 E147:F148 E207:F208 E213:F214 E124:F125 E134:F135 E140:F141 E144:F145 E150:F151 E210:F211 E130:F132 E216:F219 E221:F226">
      <formula1>-1000000000000</formula1>
      <formula2>1000000000000</formula2>
    </dataValidation>
  </dataValidations>
  <pageMargins left="0.7" right="0.7" top="0.75" bottom="0.75" header="0.3" footer="0.3"/>
  <pageSetup paperSize="9" scale="56" fitToHeight="0" orientation="portrait" horizontalDpi="600"/>
  <headerFooter>
    <oddHeader>&amp;L&amp;"Calibri"&amp;10&amp;K0078D7CBUAE Classification: Restricted&amp;1#</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BRF 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Feby Imthias</dc:creator>
  <cp:lastModifiedBy>user</cp:lastModifiedBy>
  <dcterms:created xsi:type="dcterms:W3CDTF">2020-06-24T09:10:51Z</dcterms:created>
  <cp:lastPrinted>2020-06-24T09:15:21Z</cp:lastPrinted>
  <dcterms:modified xsi:type="dcterms:W3CDTF">2024-02-22T05:46:58Z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9e9404-3739-4dbf-9fa8-b6ae9df09a7a_Enabled">
    <vt:lpwstr>True</vt:lpwstr>
  </property>
  <property fmtid="{D5CDD505-2E9C-101B-9397-08002B2CF9AE}" pid="3" name="MSIP_Label_1d9e9404-3739-4dbf-9fa8-b6ae9df09a7a_SiteId">
    <vt:lpwstr>fba6ee03-9647-4c58-86a3-db85ac6de45e</vt:lpwstr>
  </property>
  <property fmtid="{D5CDD505-2E9C-101B-9397-08002B2CF9AE}" pid="4" name="MSIP_Label_1d9e9404-3739-4dbf-9fa8-b6ae9df09a7a_Owner">
    <vt:lpwstr>feby.imthias@cbuae.gov.ae</vt:lpwstr>
  </property>
  <property fmtid="{D5CDD505-2E9C-101B-9397-08002B2CF9AE}" pid="5" name="MSIP_Label_1d9e9404-3739-4dbf-9fa8-b6ae9df09a7a_SetDate">
    <vt:lpwstr>2020-06-24T09:11:39.3999396Z</vt:lpwstr>
  </property>
  <property fmtid="{D5CDD505-2E9C-101B-9397-08002B2CF9AE}" pid="6" name="MSIP_Label_1d9e9404-3739-4dbf-9fa8-b6ae9df09a7a_Name">
    <vt:lpwstr>Restricted</vt:lpwstr>
  </property>
  <property fmtid="{D5CDD505-2E9C-101B-9397-08002B2CF9AE}" pid="7" name="MSIP_Label_1d9e9404-3739-4dbf-9fa8-b6ae9df09a7a_Application">
    <vt:lpwstr>Microsoft Azure Information Protection</vt:lpwstr>
  </property>
  <property fmtid="{D5CDD505-2E9C-101B-9397-08002B2CF9AE}" pid="8" name="MSIP_Label_1d9e9404-3739-4dbf-9fa8-b6ae9df09a7a_ActionId">
    <vt:lpwstr>bc441504-bdc4-4de8-8b57-96de74bc3269</vt:lpwstr>
  </property>
  <property fmtid="{D5CDD505-2E9C-101B-9397-08002B2CF9AE}" pid="9" name="MSIP_Label_1d9e9404-3739-4dbf-9fa8-b6ae9df09a7a_Extended_MSFT_Method">
    <vt:lpwstr>Automatic</vt:lpwstr>
  </property>
  <property fmtid="{D5CDD505-2E9C-101B-9397-08002B2CF9AE}" pid="10" name="Sensitivity">
    <vt:lpwstr>Restricted</vt:lpwstr>
  </property>
  <property fmtid="{D5CDD505-2E9C-101B-9397-08002B2CF9AE}" pid="11" name="ICV">
    <vt:lpwstr>AE460DA8956A4230A930E91FB7650881_13</vt:lpwstr>
  </property>
  <property fmtid="{D5CDD505-2E9C-101B-9397-08002B2CF9AE}" pid="12" name="KSOProductBuildVer">
    <vt:lpwstr>1033-12.2.0.13431</vt:lpwstr>
  </property>
</Properties>
</file>