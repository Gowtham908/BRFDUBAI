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definedNames>
    <definedName name="_xlnm.Print_Area" localSheetId="0">Sheet1!$B$2:$M$92</definedName>
  </definedNames>
  <calcPr calcId="144525"/>
</workbook>
</file>

<file path=xl/sharedStrings.xml><?xml version="1.0" encoding="utf-8"?>
<sst xmlns="http://schemas.openxmlformats.org/spreadsheetml/2006/main" count="129" uniqueCount="116">
  <si>
    <t xml:space="preserve">                                                BANKING AND MONETARY STATISTICS-  ASSETS - BRF 1   (AED IN 000s)</t>
  </si>
  <si>
    <t>ID:</t>
  </si>
  <si>
    <t>2-1-1-0</t>
  </si>
  <si>
    <t>BANK</t>
  </si>
  <si>
    <t>Bank of Baroda</t>
  </si>
  <si>
    <t>As On</t>
  </si>
  <si>
    <t>UAE OPERATIONS</t>
  </si>
  <si>
    <t xml:space="preserve">         RESIDENT</t>
  </si>
  <si>
    <t xml:space="preserve"> NON-RESIDENT</t>
  </si>
  <si>
    <t>TOTAL (Amount)</t>
  </si>
  <si>
    <t>AED</t>
  </si>
  <si>
    <t>FCY</t>
  </si>
  <si>
    <t>No</t>
  </si>
  <si>
    <t>ASSETS</t>
  </si>
  <si>
    <t>Nos of A/cs</t>
  </si>
  <si>
    <t>Amount</t>
  </si>
  <si>
    <t>CASH &amp; BALANCES  WITH CENTRAL BANK</t>
  </si>
  <si>
    <t xml:space="preserve">Cash in hand </t>
  </si>
  <si>
    <t>Statutory reserve with CB</t>
  </si>
  <si>
    <t>Free deposits (30% of Dirham lending to non residents)</t>
  </si>
  <si>
    <t>Other balances</t>
  </si>
  <si>
    <t>Central Bank CDs held</t>
  </si>
  <si>
    <t>1.5.1</t>
  </si>
  <si>
    <t>Repoed to UAE Central Bank (gross)</t>
  </si>
  <si>
    <t>1.5.2</t>
  </si>
  <si>
    <t>Others- unencumbered</t>
  </si>
  <si>
    <t>DUE FROM HEAD OFFICE /OWN BRANCHES/ BANKING SUBS. (GROSS)</t>
  </si>
  <si>
    <t>Due from Head Office of foreign banks &amp; their banking subs.</t>
  </si>
  <si>
    <t>Due from overseas BR of national banks/ Banking Subs.</t>
  </si>
  <si>
    <t xml:space="preserve">Bills discounted on own branches, subsidiaries,etc  without recourse </t>
  </si>
  <si>
    <t xml:space="preserve"> </t>
  </si>
  <si>
    <t>BALANCES DUE FROM OTHER BANKS (GROSS)</t>
  </si>
  <si>
    <t>Money at call and short notice, placements on demand and remaining balances</t>
  </si>
  <si>
    <t>Interbank placements</t>
  </si>
  <si>
    <t>Other term placements (loans)</t>
  </si>
  <si>
    <t>Cheques in the course of collection</t>
  </si>
  <si>
    <t>Banks' bills purchased  without recourse</t>
  </si>
  <si>
    <t>Lending covered by repurchase agreements</t>
  </si>
  <si>
    <t>NON BANKING FINANCIAL INSTITUTIONS</t>
  </si>
  <si>
    <t>Loans and advances</t>
  </si>
  <si>
    <t>Placements</t>
  </si>
  <si>
    <t>INVESTMENTS AND FINANCIAL ASSETS-BRF 5</t>
  </si>
  <si>
    <t xml:space="preserve">Trading Book Securities (market value) </t>
  </si>
  <si>
    <t>5.1.1</t>
  </si>
  <si>
    <t>Debt securities</t>
  </si>
  <si>
    <t>5.1.2</t>
  </si>
  <si>
    <t>Equities</t>
  </si>
  <si>
    <t>5.1.3</t>
  </si>
  <si>
    <t>Commodities</t>
  </si>
  <si>
    <t>Banking Book</t>
  </si>
  <si>
    <t>5.2.1</t>
  </si>
  <si>
    <t xml:space="preserve">Available for sale </t>
  </si>
  <si>
    <t>5.2.1.1</t>
  </si>
  <si>
    <t>5.2.1.2</t>
  </si>
  <si>
    <t>5.2.2</t>
  </si>
  <si>
    <t>Held to maturity (amortised cost)</t>
  </si>
  <si>
    <t>OTHER INVESTMENTS - BRF 5</t>
  </si>
  <si>
    <t>Investment in subsidiaries (Cost or fair value)</t>
  </si>
  <si>
    <t>Investment in affiliates (Cost or fair value)</t>
  </si>
  <si>
    <t>TRADE BILLS DISCOUNTED</t>
  </si>
  <si>
    <t>TRADE BILLS DISCOUNTED- Gov &amp; Public Sector</t>
  </si>
  <si>
    <t>7.1.1</t>
  </si>
  <si>
    <t>Inland trade bills/ PDCs</t>
  </si>
  <si>
    <t>7.1.2</t>
  </si>
  <si>
    <t>Foreign trade bills (Import and export)</t>
  </si>
  <si>
    <t>TRADE BILLS DISCOUNTED- Private</t>
  </si>
  <si>
    <t>7.2.1</t>
  </si>
  <si>
    <t>7.2.2</t>
  </si>
  <si>
    <t>LOANS &amp; ADVANCES (GROSS)</t>
  </si>
  <si>
    <t>Government &amp; Public Sector</t>
  </si>
  <si>
    <t>8.1.1</t>
  </si>
  <si>
    <t xml:space="preserve">Federal Govt </t>
  </si>
  <si>
    <t>8.1.2</t>
  </si>
  <si>
    <t>Non Commercial entities (Federal Govt)</t>
  </si>
  <si>
    <t>8.1.3</t>
  </si>
  <si>
    <t>Emirates Governments</t>
  </si>
  <si>
    <t>8.1.4</t>
  </si>
  <si>
    <t>Non-commercial entities (Emirates Govt)</t>
  </si>
  <si>
    <t>8.1.5</t>
  </si>
  <si>
    <t>GREs (Govt ownership more than 50%) (BRF 79 &amp; 80)</t>
  </si>
  <si>
    <t>Private Sector (corporate)</t>
  </si>
  <si>
    <t>8.2.1</t>
  </si>
  <si>
    <t>Corporates with Govt ownership of less than 50%</t>
  </si>
  <si>
    <t>8.2.2</t>
  </si>
  <si>
    <t>Other corporates</t>
  </si>
  <si>
    <t>8.2.3</t>
  </si>
  <si>
    <t>High Networth Individuals (HNI)</t>
  </si>
  <si>
    <t>8.2.4</t>
  </si>
  <si>
    <t>Small &amp; Medium Enterprises (SMEs)</t>
  </si>
  <si>
    <t>Individuals (BRF 31)</t>
  </si>
  <si>
    <t>NET FIXED ASSETS</t>
  </si>
  <si>
    <t>Business premises including staff premises</t>
  </si>
  <si>
    <t>Premises acquired towards loan settlement</t>
  </si>
  <si>
    <t>Furniture &amp; fixtures</t>
  </si>
  <si>
    <t>Capital funds for overseas offices of local banks</t>
  </si>
  <si>
    <t>Capital Work in progress</t>
  </si>
  <si>
    <t>NET INTER BRANCH TRANS (excl 2.1 &amp; 2.2)</t>
  </si>
  <si>
    <t>OTHER ASSETS</t>
  </si>
  <si>
    <t>Interest receivable</t>
  </si>
  <si>
    <t>Prepaid expenses</t>
  </si>
  <si>
    <t>Goodwill</t>
  </si>
  <si>
    <t>Other Intangible assets</t>
  </si>
  <si>
    <t>Capitalized expenditure</t>
  </si>
  <si>
    <t>Property Investments under own account</t>
  </si>
  <si>
    <t xml:space="preserve">Dividend receivables/Others </t>
  </si>
  <si>
    <t>Acceptances</t>
  </si>
  <si>
    <t>POSITIVE FAIR VALUE OF DERIVATIVES</t>
  </si>
  <si>
    <t>Market value Forward contracts (including FX swaps)</t>
  </si>
  <si>
    <t>Market value FX options</t>
  </si>
  <si>
    <t>Market value interest rate derivatives (swaps, options, FRAs, etc..)</t>
  </si>
  <si>
    <t>Market value Financial Futures</t>
  </si>
  <si>
    <t>Market value Credit derivatives</t>
  </si>
  <si>
    <t>Market value Equity derivatives</t>
  </si>
  <si>
    <t>Market value Commodity derivatives</t>
  </si>
  <si>
    <t>TOTAL ASSETS</t>
  </si>
  <si>
    <t>Form No: BSD/BRF 1 -ASSETS/FEB15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</si>
</sst>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29">
    <font>
      <sz val="10"/>
      <name val="Arial"/>
      <charset val="0"/>
    </font>
    <font>
      <sz val="8"/>
      <name val="Arial"/>
      <family val="2"/>
      <charset val="0"/>
    </font>
    <font>
      <sz val="11"/>
      <color indexed="8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b/>
      <i/>
      <sz val="8"/>
      <name val="Arial"/>
      <family val="2"/>
      <charset val="0"/>
    </font>
    <font>
      <sz val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sz val="11"/>
      <color indexed="8"/>
      <name val="Calibri"/>
      <family val="2"/>
      <charset val="0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7" applyNumberFormat="0" applyFill="0" applyAlignment="0" applyProtection="0"/>
    <xf numFmtId="0" fontId="15" fillId="0" borderId="18" applyNumberFormat="0" applyFill="0" applyAlignment="0" applyProtection="0"/>
    <xf numFmtId="0" fontId="16" fillId="0" borderId="19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20" applyNumberFormat="0" applyAlignment="0" applyProtection="0"/>
    <xf numFmtId="0" fontId="18" fillId="8" borderId="21" applyNumberFormat="0" applyAlignment="0" applyProtection="0"/>
    <xf numFmtId="0" fontId="19" fillId="8" borderId="20" applyNumberFormat="0" applyAlignment="0" applyProtection="0"/>
    <xf numFmtId="0" fontId="20" fillId="9" borderId="22" applyNumberFormat="0" applyAlignment="0" applyProtection="0"/>
    <xf numFmtId="0" fontId="21" fillId="0" borderId="23" applyNumberFormat="0" applyFill="0" applyAlignment="0" applyProtection="0"/>
    <xf numFmtId="0" fontId="22" fillId="0" borderId="24" applyNumberFormat="0" applyFill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6" fillId="3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28" fillId="0" borderId="0"/>
  </cellStyleXfs>
  <cellXfs count="99">
    <xf numFmtId="0" fontId="0" fillId="0" borderId="0" xfId="0"/>
    <xf numFmtId="0" fontId="1" fillId="0" borderId="0" xfId="50" applyFont="1" applyFill="1" applyBorder="1" applyAlignment="1">
      <alignment wrapText="1"/>
    </xf>
    <xf numFmtId="0" fontId="1" fillId="0" borderId="0" xfId="50" applyFont="1" applyFill="1" applyBorder="1"/>
    <xf numFmtId="0" fontId="1" fillId="0" borderId="0" xfId="50" applyFont="1" applyFill="1" applyBorder="1" applyAlignment="1">
      <alignment horizontal="right"/>
    </xf>
    <xf numFmtId="0" fontId="2" fillId="0" borderId="0" xfId="0" applyFont="1" applyBorder="1"/>
    <xf numFmtId="0" fontId="3" fillId="2" borderId="1" xfId="51" applyFont="1" applyFill="1" applyBorder="1" applyAlignment="1" applyProtection="1">
      <alignment horizontal="center"/>
    </xf>
    <xf numFmtId="0" fontId="3" fillId="2" borderId="2" xfId="51" applyFont="1" applyFill="1" applyBorder="1" applyAlignment="1" applyProtection="1">
      <alignment horizontal="center"/>
    </xf>
    <xf numFmtId="0" fontId="4" fillId="2" borderId="3" xfId="49" applyFont="1" applyFill="1" applyBorder="1" applyAlignment="1" applyProtection="1"/>
    <xf numFmtId="15" fontId="5" fillId="0" borderId="1" xfId="50" applyNumberFormat="1" applyFont="1" applyFill="1" applyBorder="1" applyAlignment="1" applyProtection="1">
      <alignment horizontal="left"/>
    </xf>
    <xf numFmtId="15" fontId="5" fillId="0" borderId="4" xfId="50" applyNumberFormat="1" applyFont="1" applyFill="1" applyBorder="1" applyAlignment="1" applyProtection="1">
      <alignment horizontal="left"/>
    </xf>
    <xf numFmtId="0" fontId="0" fillId="0" borderId="5" xfId="0" applyBorder="1" applyAlignment="1" applyProtection="1"/>
    <xf numFmtId="0" fontId="0" fillId="0" borderId="6" xfId="0" applyBorder="1" applyAlignment="1" applyProtection="1"/>
    <xf numFmtId="15" fontId="5" fillId="2" borderId="3" xfId="50" applyNumberFormat="1" applyFont="1" applyFill="1" applyBorder="1" applyAlignment="1" applyProtection="1">
      <alignment horizontal="left"/>
    </xf>
    <xf numFmtId="0" fontId="0" fillId="0" borderId="7" xfId="0" applyBorder="1" applyAlignment="1" applyProtection="1"/>
    <xf numFmtId="0" fontId="0" fillId="0" borderId="0" xfId="0" applyBorder="1" applyAlignment="1" applyProtection="1"/>
    <xf numFmtId="0" fontId="5" fillId="2" borderId="3" xfId="50" applyFont="1" applyFill="1" applyBorder="1" applyProtection="1"/>
    <xf numFmtId="0" fontId="0" fillId="0" borderId="8" xfId="0" applyBorder="1" applyAlignment="1" applyProtection="1"/>
    <xf numFmtId="0" fontId="0" fillId="0" borderId="9" xfId="0" applyBorder="1" applyAlignment="1" applyProtection="1"/>
    <xf numFmtId="15" fontId="1" fillId="0" borderId="1" xfId="50" applyNumberFormat="1" applyFont="1" applyFill="1" applyBorder="1" applyAlignment="1" applyProtection="1">
      <alignment horizontal="left"/>
    </xf>
    <xf numFmtId="15" fontId="1" fillId="0" borderId="2" xfId="50" applyNumberFormat="1" applyFont="1" applyFill="1" applyBorder="1" applyAlignment="1" applyProtection="1">
      <alignment horizontal="left"/>
    </xf>
    <xf numFmtId="0" fontId="5" fillId="2" borderId="1" xfId="50" applyFont="1" applyFill="1" applyBorder="1" applyAlignment="1" applyProtection="1">
      <alignment horizontal="center"/>
    </xf>
    <xf numFmtId="0" fontId="5" fillId="2" borderId="2" xfId="50" applyFont="1" applyFill="1" applyBorder="1" applyAlignment="1" applyProtection="1">
      <alignment horizontal="center"/>
    </xf>
    <xf numFmtId="0" fontId="1" fillId="2" borderId="5" xfId="50" applyFont="1" applyFill="1" applyBorder="1" applyAlignment="1" applyProtection="1">
      <alignment horizontal="center"/>
    </xf>
    <xf numFmtId="0" fontId="1" fillId="2" borderId="6" xfId="50" applyFont="1" applyFill="1" applyBorder="1" applyAlignment="1" applyProtection="1">
      <alignment horizontal="center"/>
    </xf>
    <xf numFmtId="0" fontId="1" fillId="2" borderId="10" xfId="50" applyFont="1" applyFill="1" applyBorder="1" applyAlignment="1" applyProtection="1">
      <alignment horizontal="center"/>
    </xf>
    <xf numFmtId="0" fontId="5" fillId="2" borderId="4" xfId="50" applyFont="1" applyFill="1" applyBorder="1" applyAlignment="1" applyProtection="1">
      <alignment horizontal="center"/>
    </xf>
    <xf numFmtId="0" fontId="1" fillId="2" borderId="8" xfId="50" applyFont="1" applyFill="1" applyBorder="1" applyAlignment="1" applyProtection="1">
      <alignment horizontal="center"/>
    </xf>
    <xf numFmtId="0" fontId="1" fillId="2" borderId="9" xfId="50" applyFont="1" applyFill="1" applyBorder="1" applyAlignment="1" applyProtection="1">
      <alignment horizontal="center"/>
    </xf>
    <xf numFmtId="0" fontId="1" fillId="2" borderId="11" xfId="50" applyFont="1" applyFill="1" applyBorder="1" applyAlignment="1" applyProtection="1">
      <alignment horizontal="center"/>
    </xf>
    <xf numFmtId="0" fontId="5" fillId="2" borderId="3" xfId="50" applyFont="1" applyFill="1" applyBorder="1" applyAlignment="1" applyProtection="1">
      <alignment wrapText="1"/>
    </xf>
    <xf numFmtId="0" fontId="5" fillId="2" borderId="3" xfId="50" applyFont="1" applyFill="1" applyBorder="1" applyAlignment="1" applyProtection="1">
      <alignment horizontal="right" wrapText="1"/>
    </xf>
    <xf numFmtId="0" fontId="5" fillId="2" borderId="3" xfId="50" applyFont="1" applyFill="1" applyBorder="1" applyAlignment="1" applyProtection="1">
      <alignment horizontal="left" wrapText="1"/>
    </xf>
    <xf numFmtId="0" fontId="5" fillId="2" borderId="3" xfId="50" applyFont="1" applyFill="1" applyBorder="1" applyAlignment="1">
      <alignment wrapText="1"/>
    </xf>
    <xf numFmtId="0" fontId="5" fillId="2" borderId="3" xfId="50" applyFont="1" applyFill="1" applyBorder="1" applyAlignment="1">
      <alignment horizontal="right" wrapText="1"/>
    </xf>
    <xf numFmtId="1" fontId="5" fillId="2" borderId="3" xfId="50" applyNumberFormat="1" applyFont="1" applyFill="1" applyBorder="1" applyAlignment="1">
      <alignment horizontal="right" wrapText="1"/>
    </xf>
    <xf numFmtId="3" fontId="5" fillId="2" borderId="3" xfId="50" applyNumberFormat="1" applyFont="1" applyFill="1" applyBorder="1" applyAlignment="1">
      <alignment horizontal="right" wrapText="1"/>
    </xf>
    <xf numFmtId="0" fontId="1" fillId="0" borderId="3" xfId="50" applyFont="1" applyFill="1" applyBorder="1" applyAlignment="1">
      <alignment wrapText="1"/>
    </xf>
    <xf numFmtId="0" fontId="1" fillId="0" borderId="3" xfId="50" applyFont="1" applyFill="1" applyBorder="1" applyAlignment="1">
      <alignment horizontal="right" wrapText="1"/>
    </xf>
    <xf numFmtId="3" fontId="5" fillId="0" borderId="3" xfId="50" applyNumberFormat="1" applyFont="1" applyFill="1" applyBorder="1" applyAlignment="1" applyProtection="1">
      <alignment horizontal="right" wrapText="1"/>
      <protection locked="0"/>
    </xf>
    <xf numFmtId="0" fontId="1" fillId="2" borderId="3" xfId="50" applyFont="1" applyFill="1" applyBorder="1" applyAlignment="1">
      <alignment wrapText="1"/>
    </xf>
    <xf numFmtId="0" fontId="1" fillId="2" borderId="3" xfId="50" applyFont="1" applyFill="1" applyBorder="1" applyAlignment="1">
      <alignment horizontal="right" wrapText="1"/>
    </xf>
    <xf numFmtId="0" fontId="5" fillId="0" borderId="3" xfId="50" applyFont="1" applyFill="1" applyBorder="1" applyAlignment="1">
      <alignment wrapText="1"/>
    </xf>
    <xf numFmtId="3" fontId="5" fillId="3" borderId="3" xfId="50" applyNumberFormat="1" applyFont="1" applyFill="1" applyBorder="1" applyAlignment="1" applyProtection="1">
      <alignment horizontal="right" wrapText="1"/>
    </xf>
    <xf numFmtId="0" fontId="1" fillId="4" borderId="3" xfId="50" applyFont="1" applyFill="1" applyBorder="1" applyAlignment="1">
      <alignment wrapText="1"/>
    </xf>
    <xf numFmtId="0" fontId="1" fillId="4" borderId="3" xfId="50" applyFont="1" applyFill="1" applyBorder="1" applyAlignment="1"/>
    <xf numFmtId="0" fontId="1" fillId="0" borderId="3" xfId="50" applyFont="1" applyFill="1" applyBorder="1" applyAlignment="1"/>
    <xf numFmtId="0" fontId="5" fillId="2" borderId="3" xfId="50" applyFont="1" applyFill="1" applyBorder="1" applyAlignment="1"/>
    <xf numFmtId="1" fontId="5" fillId="2" borderId="3" xfId="50" applyNumberFormat="1" applyFont="1" applyFill="1" applyBorder="1" applyAlignment="1">
      <alignment horizontal="right"/>
    </xf>
    <xf numFmtId="176" fontId="1" fillId="0" borderId="3" xfId="51" applyNumberFormat="1" applyFont="1" applyFill="1" applyBorder="1" applyAlignment="1">
      <alignment horizontal="right" wrapText="1"/>
    </xf>
    <xf numFmtId="0" fontId="1" fillId="0" borderId="3" xfId="51" applyFont="1" applyFill="1" applyBorder="1" applyAlignment="1">
      <alignment wrapText="1"/>
    </xf>
    <xf numFmtId="1" fontId="5" fillId="2" borderId="3" xfId="51" applyNumberFormat="1" applyFont="1" applyFill="1" applyBorder="1" applyAlignment="1">
      <alignment horizontal="right" wrapText="1"/>
    </xf>
    <xf numFmtId="3" fontId="5" fillId="2" borderId="3" xfId="51" applyNumberFormat="1" applyFont="1" applyFill="1" applyBorder="1" applyAlignment="1">
      <alignment horizontal="right" wrapText="1"/>
    </xf>
    <xf numFmtId="176" fontId="6" fillId="2" borderId="3" xfId="51" applyNumberFormat="1" applyFont="1" applyFill="1" applyBorder="1" applyAlignment="1">
      <alignment horizontal="right" wrapText="1"/>
    </xf>
    <xf numFmtId="0" fontId="6" fillId="2" borderId="3" xfId="51" applyFont="1" applyFill="1" applyBorder="1" applyAlignment="1">
      <alignment horizontal="left" wrapText="1"/>
    </xf>
    <xf numFmtId="0" fontId="6" fillId="2" borderId="3" xfId="51" applyFont="1" applyFill="1" applyBorder="1" applyAlignment="1">
      <alignment wrapText="1"/>
    </xf>
    <xf numFmtId="176" fontId="5" fillId="2" borderId="3" xfId="51" applyNumberFormat="1" applyFont="1" applyFill="1" applyBorder="1" applyAlignment="1">
      <alignment horizontal="right" wrapText="1"/>
    </xf>
    <xf numFmtId="0" fontId="5" fillId="2" borderId="3" xfId="51" applyFont="1" applyFill="1" applyBorder="1" applyAlignment="1">
      <alignment wrapText="1"/>
    </xf>
    <xf numFmtId="1" fontId="5" fillId="2" borderId="3" xfId="51" applyNumberFormat="1" applyFont="1" applyFill="1" applyBorder="1" applyAlignment="1">
      <alignment horizontal="right"/>
    </xf>
    <xf numFmtId="3" fontId="5" fillId="0" borderId="3" xfId="51" applyNumberFormat="1" applyFont="1" applyFill="1" applyBorder="1" applyAlignment="1" applyProtection="1">
      <alignment horizontal="right"/>
      <protection locked="0"/>
    </xf>
    <xf numFmtId="3" fontId="5" fillId="2" borderId="3" xfId="51" applyNumberFormat="1" applyFont="1" applyFill="1" applyBorder="1" applyAlignment="1">
      <alignment horizontal="right"/>
    </xf>
    <xf numFmtId="3" fontId="5" fillId="0" borderId="3" xfId="51" applyNumberFormat="1" applyFont="1" applyFill="1" applyBorder="1" applyAlignment="1" applyProtection="1">
      <alignment horizontal="right" wrapText="1"/>
      <protection locked="0"/>
    </xf>
    <xf numFmtId="176" fontId="1" fillId="2" borderId="3" xfId="51" applyNumberFormat="1" applyFont="1" applyFill="1" applyBorder="1" applyAlignment="1">
      <alignment horizontal="right" wrapText="1"/>
    </xf>
    <xf numFmtId="0" fontId="1" fillId="2" borderId="3" xfId="50" applyFont="1" applyFill="1" applyBorder="1"/>
    <xf numFmtId="1" fontId="5" fillId="0" borderId="3" xfId="51" applyNumberFormat="1" applyFont="1" applyFill="1" applyBorder="1" applyAlignment="1" applyProtection="1">
      <alignment horizontal="right"/>
      <protection locked="0"/>
    </xf>
    <xf numFmtId="1" fontId="5" fillId="0" borderId="3" xfId="51" applyNumberFormat="1" applyFont="1" applyFill="1" applyBorder="1" applyAlignment="1" applyProtection="1">
      <alignment horizontal="right" wrapText="1"/>
      <protection locked="0"/>
    </xf>
    <xf numFmtId="0" fontId="5" fillId="2" borderId="3" xfId="50" applyFont="1" applyFill="1" applyBorder="1" applyAlignment="1">
      <alignment horizontal="left"/>
    </xf>
    <xf numFmtId="49" fontId="5" fillId="2" borderId="3" xfId="50" applyNumberFormat="1" applyFont="1" applyFill="1" applyBorder="1"/>
    <xf numFmtId="49" fontId="5" fillId="0" borderId="3" xfId="50" applyNumberFormat="1" applyFont="1" applyFill="1" applyBorder="1"/>
    <xf numFmtId="0" fontId="7" fillId="0" borderId="3" xfId="50" applyFont="1" applyFill="1" applyBorder="1" applyAlignment="1">
      <alignment horizontal="right" wrapText="1"/>
    </xf>
    <xf numFmtId="0" fontId="1" fillId="0" borderId="3" xfId="52" applyFont="1" applyFill="1" applyBorder="1" applyAlignment="1">
      <alignment horizontal="left" wrapText="1"/>
    </xf>
    <xf numFmtId="1" fontId="5" fillId="0" borderId="3" xfId="50" applyNumberFormat="1" applyFont="1" applyFill="1" applyBorder="1" applyAlignment="1" applyProtection="1">
      <alignment horizontal="right" wrapText="1"/>
      <protection locked="0"/>
    </xf>
    <xf numFmtId="0" fontId="1" fillId="4" borderId="3" xfId="52" applyFont="1" applyFill="1" applyBorder="1" applyAlignment="1">
      <alignment horizontal="left" wrapText="1"/>
    </xf>
    <xf numFmtId="0" fontId="5" fillId="2" borderId="3" xfId="50" applyNumberFormat="1" applyFont="1" applyFill="1" applyBorder="1" applyAlignment="1">
      <alignment horizontal="right"/>
    </xf>
    <xf numFmtId="49" fontId="1" fillId="0" borderId="3" xfId="50" applyNumberFormat="1" applyFont="1" applyFill="1" applyBorder="1" applyAlignment="1">
      <alignment horizontal="right"/>
    </xf>
    <xf numFmtId="0" fontId="1" fillId="0" borderId="3" xfId="50" applyFont="1" applyFill="1" applyBorder="1" applyAlignment="1">
      <alignment horizontal="left"/>
    </xf>
    <xf numFmtId="176" fontId="1" fillId="0" borderId="3" xfId="50" applyNumberFormat="1" applyFont="1" applyFill="1" applyBorder="1"/>
    <xf numFmtId="0" fontId="3" fillId="2" borderId="4" xfId="51" applyFont="1" applyFill="1" applyBorder="1" applyAlignment="1" applyProtection="1">
      <alignment horizontal="center"/>
    </xf>
    <xf numFmtId="0" fontId="0" fillId="0" borderId="10" xfId="0" applyBorder="1" applyAlignment="1" applyProtection="1"/>
    <xf numFmtId="0" fontId="0" fillId="0" borderId="12" xfId="0" applyBorder="1" applyAlignment="1" applyProtection="1"/>
    <xf numFmtId="0" fontId="0" fillId="0" borderId="11" xfId="0" applyBorder="1" applyAlignment="1" applyProtection="1"/>
    <xf numFmtId="15" fontId="1" fillId="0" borderId="4" xfId="50" applyNumberFormat="1" applyFont="1" applyFill="1" applyBorder="1" applyAlignment="1" applyProtection="1">
      <alignment horizontal="left"/>
    </xf>
    <xf numFmtId="0" fontId="3" fillId="2" borderId="13" xfId="49" applyFont="1" applyFill="1" applyBorder="1" applyAlignment="1" applyProtection="1">
      <alignment horizontal="center" wrapText="1"/>
    </xf>
    <xf numFmtId="0" fontId="3" fillId="2" borderId="14" xfId="49" applyFont="1" applyFill="1" applyBorder="1" applyAlignment="1" applyProtection="1">
      <alignment horizontal="center" wrapText="1"/>
    </xf>
    <xf numFmtId="0" fontId="3" fillId="2" borderId="15" xfId="49" applyFont="1" applyFill="1" applyBorder="1" applyAlignment="1" applyProtection="1">
      <alignment horizontal="center" wrapText="1"/>
    </xf>
    <xf numFmtId="3" fontId="5" fillId="5" borderId="3" xfId="50" applyNumberFormat="1" applyFont="1" applyFill="1" applyBorder="1" applyAlignment="1" applyProtection="1">
      <alignment horizontal="right" wrapText="1"/>
    </xf>
    <xf numFmtId="176" fontId="1" fillId="2" borderId="3" xfId="50" applyNumberFormat="1" applyFont="1" applyFill="1" applyBorder="1"/>
    <xf numFmtId="0" fontId="5" fillId="2" borderId="3" xfId="52" applyFont="1" applyFill="1" applyBorder="1"/>
    <xf numFmtId="0" fontId="1" fillId="0" borderId="3" xfId="52" applyFont="1" applyFill="1" applyBorder="1"/>
    <xf numFmtId="0" fontId="1" fillId="0" borderId="3" xfId="52" applyFont="1" applyFill="1" applyBorder="1" applyAlignment="1">
      <alignment horizontal="right"/>
    </xf>
    <xf numFmtId="0" fontId="1" fillId="0" borderId="3" xfId="50" applyFont="1" applyFill="1" applyBorder="1"/>
    <xf numFmtId="0" fontId="5" fillId="2" borderId="3" xfId="52" applyFont="1" applyFill="1" applyBorder="1" applyAlignment="1">
      <alignment horizontal="right"/>
    </xf>
    <xf numFmtId="3" fontId="5" fillId="0" borderId="3" xfId="49" applyNumberFormat="1" applyFont="1" applyFill="1" applyBorder="1" applyAlignment="1" applyProtection="1">
      <alignment horizontal="right"/>
      <protection locked="0"/>
    </xf>
    <xf numFmtId="3" fontId="5" fillId="2" borderId="4" xfId="50" applyNumberFormat="1" applyFont="1" applyFill="1" applyBorder="1" applyAlignment="1">
      <alignment horizontal="right" wrapText="1"/>
    </xf>
    <xf numFmtId="0" fontId="1" fillId="0" borderId="1" xfId="50" applyFont="1" applyFill="1" applyBorder="1" applyAlignment="1">
      <alignment horizontal="center"/>
    </xf>
    <xf numFmtId="0" fontId="1" fillId="0" borderId="4" xfId="50" applyFont="1" applyFill="1" applyBorder="1" applyAlignment="1">
      <alignment horizontal="center"/>
    </xf>
    <xf numFmtId="0" fontId="1" fillId="5" borderId="3" xfId="50" applyFont="1" applyFill="1" applyBorder="1" applyAlignment="1">
      <alignment wrapText="1"/>
    </xf>
    <xf numFmtId="0" fontId="1" fillId="0" borderId="2" xfId="50" applyFont="1" applyFill="1" applyBorder="1" applyAlignment="1">
      <alignment horizontal="center"/>
    </xf>
    <xf numFmtId="3" fontId="5" fillId="2" borderId="3" xfId="52" applyNumberFormat="1" applyFont="1" applyFill="1" applyBorder="1" applyAlignment="1">
      <alignment horizontal="right"/>
    </xf>
    <xf numFmtId="3" fontId="4" fillId="2" borderId="4" xfId="52" applyNumberFormat="1" applyFont="1" applyFill="1" applyBorder="1" applyAlignment="1">
      <alignment horizontal="righ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  <cellStyle name="Normal_Sheet1" xfId="52"/>
  </cellStyles>
  <tableStyles count="0" defaultTableStyle="TableStyleMedium9" defaultPivotStyle="PivotStyleLight16"/>
  <colors>
    <mruColors>
      <color rgb="00BFBFBF"/>
      <color rgb="00FFFFFF"/>
      <color rgb="00FFFF00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93"/>
  <sheetViews>
    <sheetView showGridLines="0" tabSelected="1" zoomScaleSheetLayoutView="60" workbookViewId="0">
      <selection activeCell="D89" sqref="D89"/>
    </sheetView>
  </sheetViews>
  <sheetFormatPr defaultColWidth="0" defaultRowHeight="12.95" customHeight="1" zeroHeight="1"/>
  <cols>
    <col min="1" max="1" width="2.13636363636364" style="2" customWidth="1"/>
    <col min="2" max="2" width="5.70909090909091" style="2"/>
    <col min="3" max="3" width="5.70909090909091" style="3"/>
    <col min="4" max="4" width="50.1363636363636" style="2"/>
    <col min="5" max="5" width="10.7090909090909" style="2" customWidth="1"/>
    <col min="6" max="6" width="12.7090909090909" style="2"/>
    <col min="7" max="7" width="9.85454545454546" style="2"/>
    <col min="8" max="12" width="10.7090909090909" style="2" customWidth="1"/>
    <col min="13" max="13" width="12.7090909090909" style="4" customWidth="1"/>
    <col min="14" max="14" width="2" style="2" customWidth="1"/>
    <col min="15" max="16384" width="0" style="2" hidden="1"/>
  </cols>
  <sheetData>
    <row r="1" ht="6" customHeight="1"/>
    <row r="2" ht="13" spans="2:13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6"/>
    </row>
    <row r="3" ht="12" customHeight="1" spans="2:13">
      <c r="B3" s="7" t="s">
        <v>1</v>
      </c>
      <c r="C3" s="8" t="s">
        <v>2</v>
      </c>
      <c r="D3" s="9"/>
      <c r="E3" s="10"/>
      <c r="F3" s="11"/>
      <c r="G3" s="11"/>
      <c r="H3" s="11"/>
      <c r="I3" s="11"/>
      <c r="J3" s="11"/>
      <c r="K3" s="11"/>
      <c r="L3" s="11"/>
      <c r="M3" s="77"/>
    </row>
    <row r="4" ht="18" customHeight="1" spans="2:13">
      <c r="B4" s="12" t="s">
        <v>3</v>
      </c>
      <c r="C4" s="8" t="s">
        <v>4</v>
      </c>
      <c r="D4" s="9"/>
      <c r="E4" s="13"/>
      <c r="F4" s="14"/>
      <c r="G4" s="14"/>
      <c r="H4" s="14"/>
      <c r="I4" s="14"/>
      <c r="J4" s="14"/>
      <c r="K4" s="14"/>
      <c r="L4" s="14"/>
      <c r="M4" s="78"/>
    </row>
    <row r="5" ht="16.5" customHeight="1" spans="2:13">
      <c r="B5" s="15" t="s">
        <v>5</v>
      </c>
      <c r="C5" s="8"/>
      <c r="D5" s="9"/>
      <c r="E5" s="16"/>
      <c r="F5" s="17"/>
      <c r="G5" s="17"/>
      <c r="H5" s="17"/>
      <c r="I5" s="17"/>
      <c r="J5" s="17"/>
      <c r="K5" s="17"/>
      <c r="L5" s="17"/>
      <c r="M5" s="79"/>
    </row>
    <row r="6" ht="9.75" customHeight="1" spans="2:13"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80"/>
    </row>
    <row r="7" ht="12" customHeight="1" spans="2:13">
      <c r="B7" s="20" t="s">
        <v>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5"/>
    </row>
    <row r="8" ht="12.75" customHeight="1" spans="2:13">
      <c r="B8" s="22"/>
      <c r="C8" s="23"/>
      <c r="D8" s="24"/>
      <c r="E8" s="20" t="s">
        <v>7</v>
      </c>
      <c r="F8" s="21"/>
      <c r="G8" s="21"/>
      <c r="H8" s="25"/>
      <c r="I8" s="20" t="s">
        <v>8</v>
      </c>
      <c r="J8" s="21"/>
      <c r="K8" s="21"/>
      <c r="L8" s="25"/>
      <c r="M8" s="81" t="s">
        <v>9</v>
      </c>
    </row>
    <row r="9" ht="16.5" customHeight="1" spans="2:13">
      <c r="B9" s="26"/>
      <c r="C9" s="27"/>
      <c r="D9" s="28"/>
      <c r="E9" s="20" t="s">
        <v>10</v>
      </c>
      <c r="F9" s="25"/>
      <c r="G9" s="20" t="s">
        <v>11</v>
      </c>
      <c r="H9" s="25"/>
      <c r="I9" s="20" t="s">
        <v>10</v>
      </c>
      <c r="J9" s="25"/>
      <c r="K9" s="20" t="s">
        <v>11</v>
      </c>
      <c r="L9" s="25"/>
      <c r="M9" s="82"/>
    </row>
    <row r="10" ht="18" customHeight="1" spans="2:13">
      <c r="B10" s="29" t="s">
        <v>12</v>
      </c>
      <c r="C10" s="30"/>
      <c r="D10" s="31" t="s">
        <v>13</v>
      </c>
      <c r="E10" s="31" t="s">
        <v>14</v>
      </c>
      <c r="F10" s="31" t="s">
        <v>15</v>
      </c>
      <c r="G10" s="31" t="s">
        <v>14</v>
      </c>
      <c r="H10" s="31" t="s">
        <v>15</v>
      </c>
      <c r="I10" s="31" t="s">
        <v>14</v>
      </c>
      <c r="J10" s="15" t="s">
        <v>15</v>
      </c>
      <c r="K10" s="31" t="s">
        <v>14</v>
      </c>
      <c r="L10" s="15" t="s">
        <v>15</v>
      </c>
      <c r="M10" s="83"/>
    </row>
    <row r="11" ht="14.1" customHeight="1" spans="2:13">
      <c r="B11" s="32">
        <v>1</v>
      </c>
      <c r="C11" s="33"/>
      <c r="D11" s="32" t="s">
        <v>16</v>
      </c>
      <c r="E11" s="34"/>
      <c r="F11" s="35">
        <f>SUM(F12:F16)</f>
        <v>0</v>
      </c>
      <c r="G11" s="35"/>
      <c r="H11" s="35">
        <f>SUM(H12:H16)</f>
        <v>0</v>
      </c>
      <c r="I11" s="35"/>
      <c r="J11" s="35">
        <f>SUM(J12:J16)</f>
        <v>0</v>
      </c>
      <c r="K11" s="35"/>
      <c r="L11" s="35">
        <f>SUM(L12:L16)</f>
        <v>0</v>
      </c>
      <c r="M11" s="35">
        <f t="shared" ref="M11:M46" si="0">+F11+H11+J11+L11</f>
        <v>0</v>
      </c>
    </row>
    <row r="12" ht="14.1" customHeight="1" spans="2:13">
      <c r="B12" s="36"/>
      <c r="C12" s="37">
        <v>1.1</v>
      </c>
      <c r="D12" s="36" t="s">
        <v>17</v>
      </c>
      <c r="E12" s="34"/>
      <c r="F12" s="38">
        <v>0</v>
      </c>
      <c r="G12" s="35"/>
      <c r="H12" s="38">
        <v>0</v>
      </c>
      <c r="I12" s="35"/>
      <c r="J12" s="42">
        <f>0</f>
        <v>0</v>
      </c>
      <c r="K12" s="35"/>
      <c r="L12" s="42">
        <f>0</f>
        <v>0</v>
      </c>
      <c r="M12" s="35">
        <f t="shared" si="0"/>
        <v>0</v>
      </c>
    </row>
    <row r="13" ht="14.1" customHeight="1" spans="2:13">
      <c r="B13" s="36"/>
      <c r="C13" s="37">
        <v>1.2</v>
      </c>
      <c r="D13" s="36" t="s">
        <v>18</v>
      </c>
      <c r="E13" s="34"/>
      <c r="F13" s="38">
        <v>0</v>
      </c>
      <c r="G13" s="35"/>
      <c r="H13" s="38">
        <v>0</v>
      </c>
      <c r="I13" s="35"/>
      <c r="J13" s="42">
        <f>0</f>
        <v>0</v>
      </c>
      <c r="K13" s="35"/>
      <c r="L13" s="42">
        <f>0</f>
        <v>0</v>
      </c>
      <c r="M13" s="35">
        <f t="shared" si="0"/>
        <v>0</v>
      </c>
    </row>
    <row r="14" ht="14.1" customHeight="1" spans="2:13">
      <c r="B14" s="36"/>
      <c r="C14" s="37">
        <v>1.3</v>
      </c>
      <c r="D14" s="36" t="s">
        <v>19</v>
      </c>
      <c r="E14" s="34"/>
      <c r="F14" s="38">
        <v>0</v>
      </c>
      <c r="G14" s="35"/>
      <c r="H14" s="38">
        <v>0</v>
      </c>
      <c r="I14" s="35"/>
      <c r="J14" s="42">
        <f>0</f>
        <v>0</v>
      </c>
      <c r="K14" s="35"/>
      <c r="L14" s="42">
        <f>0</f>
        <v>0</v>
      </c>
      <c r="M14" s="35">
        <f t="shared" si="0"/>
        <v>0</v>
      </c>
    </row>
    <row r="15" ht="14.1" customHeight="1" spans="2:13">
      <c r="B15" s="36"/>
      <c r="C15" s="37">
        <v>1.4</v>
      </c>
      <c r="D15" s="36" t="s">
        <v>20</v>
      </c>
      <c r="E15" s="34"/>
      <c r="F15" s="38">
        <v>0</v>
      </c>
      <c r="G15" s="35"/>
      <c r="H15" s="38">
        <v>0</v>
      </c>
      <c r="I15" s="35"/>
      <c r="J15" s="42">
        <f>0</f>
        <v>0</v>
      </c>
      <c r="K15" s="35"/>
      <c r="L15" s="38">
        <v>0</v>
      </c>
      <c r="M15" s="35">
        <f t="shared" si="0"/>
        <v>0</v>
      </c>
    </row>
    <row r="16" ht="14.1" customHeight="1" spans="2:13">
      <c r="B16" s="39"/>
      <c r="C16" s="40">
        <v>1.5</v>
      </c>
      <c r="D16" s="32" t="s">
        <v>21</v>
      </c>
      <c r="E16" s="34"/>
      <c r="F16" s="35">
        <f>SUM(F17:F18)</f>
        <v>0</v>
      </c>
      <c r="G16" s="35"/>
      <c r="H16" s="35">
        <f>SUM(H17:H18)</f>
        <v>0</v>
      </c>
      <c r="I16" s="35"/>
      <c r="J16" s="84">
        <f>SUM(J17:J18)</f>
        <v>0</v>
      </c>
      <c r="K16" s="35"/>
      <c r="L16" s="35">
        <f>SUM(L17:L18)</f>
        <v>0</v>
      </c>
      <c r="M16" s="35">
        <f t="shared" si="0"/>
        <v>0</v>
      </c>
    </row>
    <row r="17" ht="14.1" customHeight="1" spans="2:13">
      <c r="B17" s="36"/>
      <c r="C17" s="37" t="s">
        <v>22</v>
      </c>
      <c r="D17" s="36" t="s">
        <v>23</v>
      </c>
      <c r="E17" s="34"/>
      <c r="F17" s="38">
        <v>0</v>
      </c>
      <c r="G17" s="35"/>
      <c r="H17" s="38">
        <v>0</v>
      </c>
      <c r="I17" s="35"/>
      <c r="J17" s="42">
        <f>0</f>
        <v>0</v>
      </c>
      <c r="K17" s="35"/>
      <c r="L17" s="38">
        <v>0</v>
      </c>
      <c r="M17" s="35">
        <f t="shared" si="0"/>
        <v>0</v>
      </c>
    </row>
    <row r="18" ht="14.1" customHeight="1" spans="2:13">
      <c r="B18" s="36"/>
      <c r="C18" s="37" t="s">
        <v>24</v>
      </c>
      <c r="D18" s="36" t="s">
        <v>25</v>
      </c>
      <c r="E18" s="34"/>
      <c r="F18" s="38">
        <v>0</v>
      </c>
      <c r="G18" s="35"/>
      <c r="H18" s="38">
        <v>0</v>
      </c>
      <c r="I18" s="35"/>
      <c r="J18" s="42">
        <f>0</f>
        <v>0</v>
      </c>
      <c r="K18" s="35"/>
      <c r="L18" s="38">
        <v>0</v>
      </c>
      <c r="M18" s="35">
        <f t="shared" si="0"/>
        <v>0</v>
      </c>
    </row>
    <row r="19" ht="23.25" customHeight="1" spans="2:13">
      <c r="B19" s="32">
        <v>2</v>
      </c>
      <c r="C19" s="33"/>
      <c r="D19" s="32" t="s">
        <v>26</v>
      </c>
      <c r="E19" s="34"/>
      <c r="F19" s="35">
        <f>SUM(F20:F22)</f>
        <v>0</v>
      </c>
      <c r="G19" s="35"/>
      <c r="H19" s="35">
        <f>SUM(H20:H22)</f>
        <v>0</v>
      </c>
      <c r="I19" s="35"/>
      <c r="J19" s="35">
        <f>SUM(J20:J22)</f>
        <v>0</v>
      </c>
      <c r="K19" s="35"/>
      <c r="L19" s="35">
        <f>SUM(L20:L22)</f>
        <v>0</v>
      </c>
      <c r="M19" s="35">
        <f t="shared" si="0"/>
        <v>0</v>
      </c>
    </row>
    <row r="20" ht="14.1" customHeight="1" spans="2:13">
      <c r="B20" s="41"/>
      <c r="C20" s="37">
        <v>2.1</v>
      </c>
      <c r="D20" s="36" t="s">
        <v>27</v>
      </c>
      <c r="E20" s="34"/>
      <c r="F20" s="42">
        <f>0</f>
        <v>0</v>
      </c>
      <c r="G20" s="35"/>
      <c r="H20" s="42">
        <f>0</f>
        <v>0</v>
      </c>
      <c r="I20" s="35"/>
      <c r="J20" s="38">
        <v>0</v>
      </c>
      <c r="K20" s="35"/>
      <c r="L20" s="38">
        <v>0</v>
      </c>
      <c r="M20" s="35">
        <f t="shared" si="0"/>
        <v>0</v>
      </c>
    </row>
    <row r="21" ht="14.1" customHeight="1" spans="2:13">
      <c r="B21" s="41"/>
      <c r="C21" s="37">
        <v>2.2</v>
      </c>
      <c r="D21" s="36" t="s">
        <v>28</v>
      </c>
      <c r="E21" s="34"/>
      <c r="F21" s="42">
        <f>0</f>
        <v>0</v>
      </c>
      <c r="G21" s="35"/>
      <c r="H21" s="42">
        <f>0</f>
        <v>0</v>
      </c>
      <c r="I21" s="35"/>
      <c r="J21" s="38">
        <v>0</v>
      </c>
      <c r="K21" s="35"/>
      <c r="L21" s="38">
        <v>0</v>
      </c>
      <c r="M21" s="35">
        <f t="shared" si="0"/>
        <v>0</v>
      </c>
    </row>
    <row r="22" ht="14.1" customHeight="1" spans="2:13">
      <c r="B22" s="41"/>
      <c r="C22" s="37">
        <v>2.3</v>
      </c>
      <c r="D22" s="36" t="s">
        <v>29</v>
      </c>
      <c r="E22" s="34"/>
      <c r="F22" s="38">
        <v>0</v>
      </c>
      <c r="G22" s="35"/>
      <c r="H22" s="38">
        <v>0</v>
      </c>
      <c r="I22" s="35"/>
      <c r="J22" s="38">
        <v>0</v>
      </c>
      <c r="K22" s="35"/>
      <c r="L22" s="38">
        <v>0</v>
      </c>
      <c r="M22" s="35">
        <f t="shared" si="0"/>
        <v>0</v>
      </c>
    </row>
    <row r="23" ht="14.1" customHeight="1" spans="2:13">
      <c r="B23" s="32">
        <v>3</v>
      </c>
      <c r="C23" s="33" t="s">
        <v>30</v>
      </c>
      <c r="D23" s="32" t="s">
        <v>31</v>
      </c>
      <c r="E23" s="34"/>
      <c r="F23" s="35">
        <f>SUM(F24:F29)</f>
        <v>0</v>
      </c>
      <c r="G23" s="35"/>
      <c r="H23" s="35">
        <f>SUM(H24:H29)</f>
        <v>0</v>
      </c>
      <c r="I23" s="35"/>
      <c r="J23" s="35">
        <f>SUM(J24:J29)</f>
        <v>0</v>
      </c>
      <c r="K23" s="35"/>
      <c r="L23" s="35">
        <f>SUM(L24:L29)</f>
        <v>0</v>
      </c>
      <c r="M23" s="35">
        <f t="shared" si="0"/>
        <v>0</v>
      </c>
    </row>
    <row r="24" ht="24" customHeight="1" spans="2:13">
      <c r="B24" s="36"/>
      <c r="C24" s="37">
        <v>3.1</v>
      </c>
      <c r="D24" s="43" t="s">
        <v>32</v>
      </c>
      <c r="E24" s="34"/>
      <c r="F24" s="38">
        <v>0</v>
      </c>
      <c r="G24" s="35"/>
      <c r="H24" s="38">
        <v>0</v>
      </c>
      <c r="I24" s="35"/>
      <c r="J24" s="38">
        <v>0</v>
      </c>
      <c r="K24" s="35"/>
      <c r="L24" s="38">
        <v>0</v>
      </c>
      <c r="M24" s="35">
        <f t="shared" si="0"/>
        <v>0</v>
      </c>
    </row>
    <row r="25" ht="14.1" customHeight="1" spans="2:13">
      <c r="B25" s="36"/>
      <c r="C25" s="37">
        <v>3.2</v>
      </c>
      <c r="D25" s="43" t="s">
        <v>33</v>
      </c>
      <c r="E25" s="34"/>
      <c r="F25" s="38">
        <v>0</v>
      </c>
      <c r="G25" s="35"/>
      <c r="H25" s="38">
        <v>0</v>
      </c>
      <c r="I25" s="35"/>
      <c r="J25" s="38">
        <v>0</v>
      </c>
      <c r="K25" s="35"/>
      <c r="L25" s="38">
        <v>0</v>
      </c>
      <c r="M25" s="35">
        <f t="shared" si="0"/>
        <v>0</v>
      </c>
    </row>
    <row r="26" ht="14.1" customHeight="1" spans="2:13">
      <c r="B26" s="36"/>
      <c r="C26" s="37">
        <v>3.3</v>
      </c>
      <c r="D26" s="43" t="s">
        <v>34</v>
      </c>
      <c r="E26" s="34"/>
      <c r="F26" s="38">
        <v>0</v>
      </c>
      <c r="G26" s="35"/>
      <c r="H26" s="38">
        <v>0</v>
      </c>
      <c r="I26" s="35"/>
      <c r="J26" s="38">
        <v>0</v>
      </c>
      <c r="K26" s="35"/>
      <c r="L26" s="38">
        <v>0</v>
      </c>
      <c r="M26" s="35">
        <f t="shared" si="0"/>
        <v>0</v>
      </c>
    </row>
    <row r="27" ht="14.1" customHeight="1" spans="2:13">
      <c r="B27" s="36"/>
      <c r="C27" s="37">
        <v>3.4</v>
      </c>
      <c r="D27" s="43" t="s">
        <v>35</v>
      </c>
      <c r="E27" s="34"/>
      <c r="F27" s="38">
        <v>0</v>
      </c>
      <c r="G27" s="35"/>
      <c r="H27" s="38">
        <v>0</v>
      </c>
      <c r="I27" s="35"/>
      <c r="J27" s="38">
        <v>0</v>
      </c>
      <c r="K27" s="35"/>
      <c r="L27" s="38">
        <v>0</v>
      </c>
      <c r="M27" s="35">
        <f t="shared" si="0"/>
        <v>0</v>
      </c>
    </row>
    <row r="28" ht="14.1" customHeight="1" spans="2:13">
      <c r="B28" s="36"/>
      <c r="C28" s="37">
        <v>3.5</v>
      </c>
      <c r="D28" s="43" t="s">
        <v>36</v>
      </c>
      <c r="E28" s="34"/>
      <c r="F28" s="38">
        <v>0</v>
      </c>
      <c r="G28" s="35"/>
      <c r="H28" s="38">
        <v>0</v>
      </c>
      <c r="I28" s="35"/>
      <c r="J28" s="38">
        <v>0</v>
      </c>
      <c r="K28" s="35"/>
      <c r="L28" s="38">
        <v>0</v>
      </c>
      <c r="M28" s="35">
        <f t="shared" si="0"/>
        <v>0</v>
      </c>
    </row>
    <row r="29" ht="14.1" customHeight="1" spans="2:13">
      <c r="B29" s="36"/>
      <c r="C29" s="37">
        <v>3.6</v>
      </c>
      <c r="D29" s="44" t="s">
        <v>37</v>
      </c>
      <c r="E29" s="34"/>
      <c r="F29" s="38">
        <v>0</v>
      </c>
      <c r="G29" s="35"/>
      <c r="H29" s="38">
        <v>0</v>
      </c>
      <c r="I29" s="35"/>
      <c r="J29" s="38">
        <v>0</v>
      </c>
      <c r="K29" s="35"/>
      <c r="L29" s="38">
        <v>0</v>
      </c>
      <c r="M29" s="35">
        <f t="shared" si="0"/>
        <v>0</v>
      </c>
    </row>
    <row r="30" ht="14.1" customHeight="1" spans="2:13">
      <c r="B30" s="39">
        <v>4</v>
      </c>
      <c r="C30" s="40"/>
      <c r="D30" s="32" t="s">
        <v>38</v>
      </c>
      <c r="E30" s="34"/>
      <c r="F30" s="35">
        <f>SUM(F31:F33)</f>
        <v>0</v>
      </c>
      <c r="G30" s="35"/>
      <c r="H30" s="35">
        <f>SUM(H31:H33)</f>
        <v>0</v>
      </c>
      <c r="I30" s="35"/>
      <c r="J30" s="35">
        <f>SUM(J31:J33)</f>
        <v>0</v>
      </c>
      <c r="K30" s="35"/>
      <c r="L30" s="35">
        <f>SUM(L31:L33)</f>
        <v>0</v>
      </c>
      <c r="M30" s="35">
        <f t="shared" si="0"/>
        <v>0</v>
      </c>
    </row>
    <row r="31" ht="14.1" customHeight="1" spans="2:13">
      <c r="B31" s="36"/>
      <c r="C31" s="37">
        <v>4.1</v>
      </c>
      <c r="D31" s="36" t="s">
        <v>39</v>
      </c>
      <c r="E31" s="34"/>
      <c r="F31" s="38">
        <v>0</v>
      </c>
      <c r="G31" s="35"/>
      <c r="H31" s="38">
        <v>0</v>
      </c>
      <c r="I31" s="35"/>
      <c r="J31" s="38">
        <v>0</v>
      </c>
      <c r="K31" s="35"/>
      <c r="L31" s="38">
        <v>0</v>
      </c>
      <c r="M31" s="35">
        <f t="shared" si="0"/>
        <v>0</v>
      </c>
    </row>
    <row r="32" ht="14.1" customHeight="1" spans="2:13">
      <c r="B32" s="36"/>
      <c r="C32" s="37">
        <v>4.2</v>
      </c>
      <c r="D32" s="36" t="s">
        <v>40</v>
      </c>
      <c r="E32" s="34"/>
      <c r="F32" s="38">
        <v>0</v>
      </c>
      <c r="G32" s="35"/>
      <c r="H32" s="38">
        <v>0</v>
      </c>
      <c r="I32" s="35"/>
      <c r="J32" s="38">
        <v>0</v>
      </c>
      <c r="K32" s="35"/>
      <c r="L32" s="38">
        <v>0</v>
      </c>
      <c r="M32" s="35">
        <f t="shared" si="0"/>
        <v>0</v>
      </c>
    </row>
    <row r="33" ht="14.1" customHeight="1" spans="2:13">
      <c r="B33" s="36"/>
      <c r="C33" s="37">
        <v>4.3</v>
      </c>
      <c r="D33" s="45" t="s">
        <v>37</v>
      </c>
      <c r="E33" s="34"/>
      <c r="F33" s="38">
        <v>0</v>
      </c>
      <c r="G33" s="35"/>
      <c r="H33" s="38">
        <v>0</v>
      </c>
      <c r="I33" s="35"/>
      <c r="J33" s="38">
        <v>0</v>
      </c>
      <c r="K33" s="35"/>
      <c r="L33" s="38">
        <v>0</v>
      </c>
      <c r="M33" s="35">
        <f t="shared" si="0"/>
        <v>0</v>
      </c>
    </row>
    <row r="34" ht="14.1" customHeight="1" spans="2:13">
      <c r="B34" s="39">
        <v>5</v>
      </c>
      <c r="C34" s="40"/>
      <c r="D34" s="32" t="s">
        <v>41</v>
      </c>
      <c r="E34" s="34"/>
      <c r="F34" s="35">
        <f>+F35+F39</f>
        <v>0</v>
      </c>
      <c r="G34" s="35"/>
      <c r="H34" s="35">
        <f>+H35+H39</f>
        <v>0</v>
      </c>
      <c r="I34" s="35"/>
      <c r="J34" s="35">
        <f>+J35+J39</f>
        <v>0</v>
      </c>
      <c r="K34" s="35"/>
      <c r="L34" s="35">
        <f>+L35+L39</f>
        <v>0</v>
      </c>
      <c r="M34" s="35">
        <f t="shared" si="0"/>
        <v>0</v>
      </c>
    </row>
    <row r="35" ht="14.1" customHeight="1" spans="2:13">
      <c r="B35" s="32"/>
      <c r="C35" s="33">
        <v>5.1</v>
      </c>
      <c r="D35" s="46" t="s">
        <v>42</v>
      </c>
      <c r="E35" s="47"/>
      <c r="F35" s="35">
        <f>SUM(F36:F38)</f>
        <v>0</v>
      </c>
      <c r="G35" s="35"/>
      <c r="H35" s="35">
        <f>SUM(H36:H38)</f>
        <v>0</v>
      </c>
      <c r="I35" s="35"/>
      <c r="J35" s="35">
        <f>SUM(J36:J38)</f>
        <v>0</v>
      </c>
      <c r="K35" s="35"/>
      <c r="L35" s="35">
        <f>SUM(L36:L38)</f>
        <v>0</v>
      </c>
      <c r="M35" s="35">
        <f t="shared" si="0"/>
        <v>0</v>
      </c>
    </row>
    <row r="36" ht="14.1" customHeight="1" spans="2:13">
      <c r="B36" s="41"/>
      <c r="C36" s="48" t="s">
        <v>43</v>
      </c>
      <c r="D36" s="49" t="s">
        <v>44</v>
      </c>
      <c r="E36" s="50"/>
      <c r="F36" s="38">
        <v>0</v>
      </c>
      <c r="G36" s="51"/>
      <c r="H36" s="38">
        <v>0</v>
      </c>
      <c r="I36" s="51"/>
      <c r="J36" s="38">
        <v>0</v>
      </c>
      <c r="K36" s="35"/>
      <c r="L36" s="38">
        <v>0</v>
      </c>
      <c r="M36" s="35">
        <f t="shared" si="0"/>
        <v>0</v>
      </c>
    </row>
    <row r="37" ht="14.1" customHeight="1" spans="2:13">
      <c r="B37" s="41"/>
      <c r="C37" s="48" t="s">
        <v>45</v>
      </c>
      <c r="D37" s="49" t="s">
        <v>46</v>
      </c>
      <c r="E37" s="50"/>
      <c r="F37" s="38">
        <v>0</v>
      </c>
      <c r="G37" s="51"/>
      <c r="H37" s="38">
        <v>0</v>
      </c>
      <c r="I37" s="51"/>
      <c r="J37" s="38">
        <v>0</v>
      </c>
      <c r="K37" s="35"/>
      <c r="L37" s="38">
        <v>0</v>
      </c>
      <c r="M37" s="35">
        <f t="shared" si="0"/>
        <v>0</v>
      </c>
    </row>
    <row r="38" ht="14.1" customHeight="1" spans="2:13">
      <c r="B38" s="41"/>
      <c r="C38" s="48" t="s">
        <v>47</v>
      </c>
      <c r="D38" s="49" t="s">
        <v>48</v>
      </c>
      <c r="E38" s="50"/>
      <c r="F38" s="38">
        <v>0</v>
      </c>
      <c r="G38" s="51"/>
      <c r="H38" s="38">
        <v>0</v>
      </c>
      <c r="I38" s="51"/>
      <c r="J38" s="38">
        <v>0</v>
      </c>
      <c r="K38" s="35"/>
      <c r="L38" s="38">
        <v>0</v>
      </c>
      <c r="M38" s="35">
        <f t="shared" si="0"/>
        <v>0</v>
      </c>
    </row>
    <row r="39" ht="14.1" customHeight="1" spans="2:13">
      <c r="B39" s="32"/>
      <c r="C39" s="33">
        <v>5.2</v>
      </c>
      <c r="D39" s="32" t="s">
        <v>49</v>
      </c>
      <c r="E39" s="34"/>
      <c r="F39" s="35">
        <f>+F40+F43</f>
        <v>0</v>
      </c>
      <c r="G39" s="35"/>
      <c r="H39" s="35">
        <f>+H40+H43</f>
        <v>0</v>
      </c>
      <c r="I39" s="35"/>
      <c r="J39" s="35">
        <f>+J40+J43</f>
        <v>0</v>
      </c>
      <c r="K39" s="35"/>
      <c r="L39" s="35">
        <f>+L40+L43</f>
        <v>0</v>
      </c>
      <c r="M39" s="35">
        <f t="shared" si="0"/>
        <v>0</v>
      </c>
    </row>
    <row r="40" ht="14.1" customHeight="1" spans="2:13">
      <c r="B40" s="32"/>
      <c r="C40" s="52" t="s">
        <v>50</v>
      </c>
      <c r="D40" s="53" t="s">
        <v>51</v>
      </c>
      <c r="E40" s="50"/>
      <c r="F40" s="51">
        <f>SUM(F41:F42)</f>
        <v>0</v>
      </c>
      <c r="G40" s="51"/>
      <c r="H40" s="51">
        <f>SUM(H41:H42)</f>
        <v>0</v>
      </c>
      <c r="I40" s="51"/>
      <c r="J40" s="51">
        <f>SUM(J41:J42)</f>
        <v>0</v>
      </c>
      <c r="K40" s="51"/>
      <c r="L40" s="51">
        <f>SUM(L41:L42)</f>
        <v>0</v>
      </c>
      <c r="M40" s="35">
        <f t="shared" si="0"/>
        <v>0</v>
      </c>
    </row>
    <row r="41" ht="14.1" customHeight="1" spans="2:13">
      <c r="B41" s="41"/>
      <c r="C41" s="48" t="s">
        <v>52</v>
      </c>
      <c r="D41" s="49" t="s">
        <v>44</v>
      </c>
      <c r="E41" s="50"/>
      <c r="F41" s="38">
        <v>0</v>
      </c>
      <c r="G41" s="51"/>
      <c r="H41" s="38">
        <v>0</v>
      </c>
      <c r="I41" s="51"/>
      <c r="J41" s="38">
        <v>0</v>
      </c>
      <c r="K41" s="35"/>
      <c r="L41" s="38">
        <v>0</v>
      </c>
      <c r="M41" s="35">
        <f t="shared" si="0"/>
        <v>0</v>
      </c>
    </row>
    <row r="42" ht="14.1" customHeight="1" spans="2:13">
      <c r="B42" s="41"/>
      <c r="C42" s="48" t="s">
        <v>53</v>
      </c>
      <c r="D42" s="49" t="s">
        <v>46</v>
      </c>
      <c r="E42" s="50"/>
      <c r="F42" s="38">
        <v>0</v>
      </c>
      <c r="G42" s="51"/>
      <c r="H42" s="38">
        <v>0</v>
      </c>
      <c r="I42" s="51"/>
      <c r="J42" s="38">
        <v>0</v>
      </c>
      <c r="K42" s="35"/>
      <c r="L42" s="38">
        <v>0</v>
      </c>
      <c r="M42" s="35">
        <f t="shared" si="0"/>
        <v>0</v>
      </c>
    </row>
    <row r="43" ht="14.1" customHeight="1" spans="2:13">
      <c r="B43" s="32"/>
      <c r="C43" s="52" t="s">
        <v>54</v>
      </c>
      <c r="D43" s="54" t="s">
        <v>55</v>
      </c>
      <c r="E43" s="50"/>
      <c r="F43" s="38">
        <v>0</v>
      </c>
      <c r="G43" s="51"/>
      <c r="H43" s="38">
        <v>0</v>
      </c>
      <c r="I43" s="51"/>
      <c r="J43" s="38">
        <v>0</v>
      </c>
      <c r="K43" s="35"/>
      <c r="L43" s="38">
        <v>0</v>
      </c>
      <c r="M43" s="35">
        <f t="shared" si="0"/>
        <v>0</v>
      </c>
    </row>
    <row r="44" ht="14.1" customHeight="1" spans="2:13">
      <c r="B44" s="32">
        <v>6</v>
      </c>
      <c r="C44" s="55"/>
      <c r="D44" s="56" t="s">
        <v>56</v>
      </c>
      <c r="E44" s="50"/>
      <c r="F44" s="51">
        <f>SUM(F45:F46)</f>
        <v>0</v>
      </c>
      <c r="G44" s="51"/>
      <c r="H44" s="51">
        <f>SUM(H45:H46)</f>
        <v>0</v>
      </c>
      <c r="I44" s="51"/>
      <c r="J44" s="51">
        <f>SUM(J45:J46)</f>
        <v>0</v>
      </c>
      <c r="K44" s="51"/>
      <c r="L44" s="51">
        <f>SUM(L45:L46)</f>
        <v>0</v>
      </c>
      <c r="M44" s="35">
        <f t="shared" si="0"/>
        <v>0</v>
      </c>
    </row>
    <row r="45" ht="14.1" customHeight="1" spans="2:13">
      <c r="B45" s="41"/>
      <c r="C45" s="48">
        <v>6.1</v>
      </c>
      <c r="D45" s="49" t="s">
        <v>57</v>
      </c>
      <c r="E45" s="57"/>
      <c r="F45" s="58">
        <v>0</v>
      </c>
      <c r="G45" s="59"/>
      <c r="H45" s="58">
        <v>0</v>
      </c>
      <c r="I45" s="59"/>
      <c r="J45" s="58">
        <v>0</v>
      </c>
      <c r="K45" s="35"/>
      <c r="L45" s="58">
        <v>0</v>
      </c>
      <c r="M45" s="35">
        <f t="shared" si="0"/>
        <v>0</v>
      </c>
    </row>
    <row r="46" s="1" customFormat="1" ht="14.1" customHeight="1" spans="2:13">
      <c r="B46" s="41"/>
      <c r="C46" s="48">
        <v>6.2</v>
      </c>
      <c r="D46" s="49" t="s">
        <v>58</v>
      </c>
      <c r="E46" s="50"/>
      <c r="F46" s="60">
        <v>0</v>
      </c>
      <c r="G46" s="51"/>
      <c r="H46" s="60">
        <v>0</v>
      </c>
      <c r="I46" s="51"/>
      <c r="J46" s="60">
        <v>0</v>
      </c>
      <c r="K46" s="35"/>
      <c r="L46" s="60">
        <v>0</v>
      </c>
      <c r="M46" s="35">
        <f t="shared" si="0"/>
        <v>0</v>
      </c>
    </row>
    <row r="47" s="1" customFormat="1" ht="14.1" customHeight="1" spans="2:13">
      <c r="B47" s="32">
        <v>7</v>
      </c>
      <c r="C47" s="61"/>
      <c r="D47" s="56" t="s">
        <v>59</v>
      </c>
      <c r="E47" s="57">
        <f t="shared" ref="E47:M47" si="1">+E48+E51</f>
        <v>0</v>
      </c>
      <c r="F47" s="59">
        <f t="shared" si="1"/>
        <v>0</v>
      </c>
      <c r="G47" s="59">
        <f t="shared" si="1"/>
        <v>0</v>
      </c>
      <c r="H47" s="59">
        <f t="shared" si="1"/>
        <v>0</v>
      </c>
      <c r="I47" s="59">
        <f t="shared" si="1"/>
        <v>0</v>
      </c>
      <c r="J47" s="59">
        <f t="shared" si="1"/>
        <v>0</v>
      </c>
      <c r="K47" s="59">
        <f t="shared" si="1"/>
        <v>0</v>
      </c>
      <c r="L47" s="59">
        <f t="shared" si="1"/>
        <v>0</v>
      </c>
      <c r="M47" s="35">
        <f t="shared" si="1"/>
        <v>0</v>
      </c>
    </row>
    <row r="48" ht="14.1" customHeight="1" spans="2:13">
      <c r="B48" s="62"/>
      <c r="C48" s="55">
        <v>7.1</v>
      </c>
      <c r="D48" s="56" t="s">
        <v>60</v>
      </c>
      <c r="E48" s="57">
        <f t="shared" ref="E48:L48" si="2">SUM(E49:E50)</f>
        <v>0</v>
      </c>
      <c r="F48" s="59">
        <f t="shared" si="2"/>
        <v>0</v>
      </c>
      <c r="G48" s="59">
        <f t="shared" si="2"/>
        <v>0</v>
      </c>
      <c r="H48" s="59">
        <f t="shared" si="2"/>
        <v>0</v>
      </c>
      <c r="I48" s="59">
        <f t="shared" si="2"/>
        <v>0</v>
      </c>
      <c r="J48" s="59">
        <f t="shared" si="2"/>
        <v>0</v>
      </c>
      <c r="K48" s="59">
        <f t="shared" si="2"/>
        <v>0</v>
      </c>
      <c r="L48" s="59">
        <f t="shared" si="2"/>
        <v>0</v>
      </c>
      <c r="M48" s="35">
        <f t="shared" ref="M48:M59" si="3">+F48+H48+J48+L48</f>
        <v>0</v>
      </c>
    </row>
    <row r="49" ht="14.1" customHeight="1" spans="2:13">
      <c r="B49" s="41"/>
      <c r="C49" s="48" t="s">
        <v>61</v>
      </c>
      <c r="D49" s="49" t="s">
        <v>62</v>
      </c>
      <c r="E49" s="63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35">
        <f t="shared" si="3"/>
        <v>0</v>
      </c>
    </row>
    <row r="50" ht="14.1" customHeight="1" spans="2:13">
      <c r="B50" s="41"/>
      <c r="C50" s="48" t="s">
        <v>63</v>
      </c>
      <c r="D50" s="49" t="s">
        <v>64</v>
      </c>
      <c r="E50" s="64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35">
        <f t="shared" si="3"/>
        <v>0</v>
      </c>
    </row>
    <row r="51" ht="14.1" customHeight="1" spans="2:13">
      <c r="B51" s="32"/>
      <c r="C51" s="55">
        <v>7.2</v>
      </c>
      <c r="D51" s="56" t="s">
        <v>65</v>
      </c>
      <c r="E51" s="50">
        <f t="shared" ref="E51:L51" si="4">SUM(E52:E53)</f>
        <v>0</v>
      </c>
      <c r="F51" s="51">
        <f t="shared" si="4"/>
        <v>0</v>
      </c>
      <c r="G51" s="51">
        <f t="shared" si="4"/>
        <v>0</v>
      </c>
      <c r="H51" s="51">
        <f t="shared" si="4"/>
        <v>0</v>
      </c>
      <c r="I51" s="51">
        <f t="shared" si="4"/>
        <v>0</v>
      </c>
      <c r="J51" s="51">
        <f t="shared" si="4"/>
        <v>0</v>
      </c>
      <c r="K51" s="51">
        <f t="shared" si="4"/>
        <v>0</v>
      </c>
      <c r="L51" s="51">
        <f t="shared" si="4"/>
        <v>0</v>
      </c>
      <c r="M51" s="35">
        <f t="shared" si="3"/>
        <v>0</v>
      </c>
    </row>
    <row r="52" ht="14.1" customHeight="1" spans="2:13">
      <c r="B52" s="41"/>
      <c r="C52" s="48" t="s">
        <v>66</v>
      </c>
      <c r="D52" s="49" t="s">
        <v>62</v>
      </c>
      <c r="E52" s="63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35">
        <f t="shared" si="3"/>
        <v>0</v>
      </c>
    </row>
    <row r="53" ht="14.1" customHeight="1" spans="2:13">
      <c r="B53" s="41"/>
      <c r="C53" s="48" t="s">
        <v>67</v>
      </c>
      <c r="D53" s="49" t="s">
        <v>64</v>
      </c>
      <c r="E53" s="64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35">
        <f t="shared" si="3"/>
        <v>0</v>
      </c>
    </row>
    <row r="54" ht="14.1" customHeight="1" spans="2:13">
      <c r="B54" s="32">
        <v>8</v>
      </c>
      <c r="C54" s="33"/>
      <c r="D54" s="65" t="s">
        <v>68</v>
      </c>
      <c r="E54" s="50">
        <f>+E55+E61+E66</f>
        <v>0</v>
      </c>
      <c r="F54" s="51">
        <f t="shared" ref="F54:L54" si="5">+F55+F61+F66</f>
        <v>0</v>
      </c>
      <c r="G54" s="51">
        <f t="shared" si="5"/>
        <v>0</v>
      </c>
      <c r="H54" s="51">
        <f t="shared" si="5"/>
        <v>0</v>
      </c>
      <c r="I54" s="51">
        <f t="shared" si="5"/>
        <v>0</v>
      </c>
      <c r="J54" s="51">
        <f t="shared" si="5"/>
        <v>0</v>
      </c>
      <c r="K54" s="51">
        <f t="shared" si="5"/>
        <v>0</v>
      </c>
      <c r="L54" s="51">
        <f t="shared" si="5"/>
        <v>0</v>
      </c>
      <c r="M54" s="35">
        <f t="shared" si="3"/>
        <v>0</v>
      </c>
    </row>
    <row r="55" ht="14.1" customHeight="1" spans="2:13">
      <c r="B55" s="66"/>
      <c r="C55" s="33">
        <v>8.1</v>
      </c>
      <c r="D55" s="65" t="s">
        <v>69</v>
      </c>
      <c r="E55" s="50">
        <f t="shared" ref="E55:L55" si="6">SUM(E56:E60)</f>
        <v>0</v>
      </c>
      <c r="F55" s="51">
        <f t="shared" si="6"/>
        <v>0</v>
      </c>
      <c r="G55" s="51">
        <f t="shared" si="6"/>
        <v>0</v>
      </c>
      <c r="H55" s="51">
        <f t="shared" si="6"/>
        <v>0</v>
      </c>
      <c r="I55" s="51">
        <f t="shared" si="6"/>
        <v>0</v>
      </c>
      <c r="J55" s="51">
        <f t="shared" si="6"/>
        <v>0</v>
      </c>
      <c r="K55" s="51">
        <f t="shared" si="6"/>
        <v>0</v>
      </c>
      <c r="L55" s="51">
        <f t="shared" si="6"/>
        <v>0</v>
      </c>
      <c r="M55" s="35">
        <f t="shared" si="3"/>
        <v>0</v>
      </c>
    </row>
    <row r="56" ht="14.1" customHeight="1" spans="2:13">
      <c r="B56" s="67"/>
      <c r="C56" s="68" t="s">
        <v>70</v>
      </c>
      <c r="D56" s="69" t="s">
        <v>71</v>
      </c>
      <c r="E56" s="70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5">
        <f t="shared" si="3"/>
        <v>0</v>
      </c>
    </row>
    <row r="57" ht="14.1" customHeight="1" spans="2:13">
      <c r="B57" s="67"/>
      <c r="C57" s="68" t="s">
        <v>72</v>
      </c>
      <c r="D57" s="69" t="s">
        <v>73</v>
      </c>
      <c r="E57" s="70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5">
        <f t="shared" si="3"/>
        <v>0</v>
      </c>
    </row>
    <row r="58" ht="14.1" customHeight="1" spans="2:13">
      <c r="B58" s="67"/>
      <c r="C58" s="68" t="s">
        <v>74</v>
      </c>
      <c r="D58" s="69" t="s">
        <v>75</v>
      </c>
      <c r="E58" s="70"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5">
        <f t="shared" si="3"/>
        <v>0</v>
      </c>
    </row>
    <row r="59" ht="14.1" customHeight="1" spans="2:13">
      <c r="B59" s="67"/>
      <c r="C59" s="68" t="s">
        <v>76</v>
      </c>
      <c r="D59" s="69" t="s">
        <v>77</v>
      </c>
      <c r="E59" s="70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5">
        <f t="shared" si="3"/>
        <v>0</v>
      </c>
    </row>
    <row r="60" ht="14.1" customHeight="1" spans="2:13">
      <c r="B60" s="67"/>
      <c r="C60" s="68" t="s">
        <v>78</v>
      </c>
      <c r="D60" s="71" t="s">
        <v>79</v>
      </c>
      <c r="E60" s="70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5">
        <f t="shared" ref="M60:M91" si="7">+F60+H60+J60+L60</f>
        <v>0</v>
      </c>
    </row>
    <row r="61" ht="14.1" customHeight="1" spans="2:13">
      <c r="B61" s="66"/>
      <c r="C61" s="72">
        <v>8.2</v>
      </c>
      <c r="D61" s="65" t="s">
        <v>80</v>
      </c>
      <c r="E61" s="50">
        <f t="shared" ref="E61:L61" si="8">SUM(E62:E65)</f>
        <v>0</v>
      </c>
      <c r="F61" s="51">
        <f t="shared" si="8"/>
        <v>0</v>
      </c>
      <c r="G61" s="51">
        <f t="shared" si="8"/>
        <v>0</v>
      </c>
      <c r="H61" s="51">
        <f t="shared" si="8"/>
        <v>0</v>
      </c>
      <c r="I61" s="51">
        <f t="shared" si="8"/>
        <v>0</v>
      </c>
      <c r="J61" s="51">
        <f t="shared" si="8"/>
        <v>0</v>
      </c>
      <c r="K61" s="51">
        <f t="shared" si="8"/>
        <v>0</v>
      </c>
      <c r="L61" s="51">
        <f t="shared" si="8"/>
        <v>0</v>
      </c>
      <c r="M61" s="35">
        <f t="shared" si="7"/>
        <v>0</v>
      </c>
    </row>
    <row r="62" ht="14.1" customHeight="1" spans="2:13">
      <c r="B62" s="67"/>
      <c r="C62" s="73" t="s">
        <v>81</v>
      </c>
      <c r="D62" s="74" t="s">
        <v>82</v>
      </c>
      <c r="E62" s="70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5">
        <f t="shared" si="7"/>
        <v>0</v>
      </c>
    </row>
    <row r="63" ht="14.1" customHeight="1" spans="2:13">
      <c r="B63" s="41"/>
      <c r="C63" s="73" t="s">
        <v>83</v>
      </c>
      <c r="D63" s="74" t="s">
        <v>84</v>
      </c>
      <c r="E63" s="70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5">
        <f t="shared" si="7"/>
        <v>0</v>
      </c>
    </row>
    <row r="64" ht="14.1" customHeight="1" spans="2:13">
      <c r="B64" s="75"/>
      <c r="C64" s="73" t="s">
        <v>85</v>
      </c>
      <c r="D64" s="74" t="s">
        <v>86</v>
      </c>
      <c r="E64" s="70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5">
        <f t="shared" si="7"/>
        <v>0</v>
      </c>
    </row>
    <row r="65" ht="14.1" customHeight="1" spans="2:13">
      <c r="B65" s="75"/>
      <c r="C65" s="73" t="s">
        <v>87</v>
      </c>
      <c r="D65" s="36" t="s">
        <v>88</v>
      </c>
      <c r="E65" s="63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35">
        <f t="shared" si="7"/>
        <v>0</v>
      </c>
    </row>
    <row r="66" ht="14.1" customHeight="1" spans="2:13">
      <c r="B66" s="85"/>
      <c r="C66" s="33">
        <v>8.3</v>
      </c>
      <c r="D66" s="32" t="s">
        <v>89</v>
      </c>
      <c r="E66" s="64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35">
        <f t="shared" si="7"/>
        <v>0</v>
      </c>
    </row>
    <row r="67" ht="14.1" customHeight="1" spans="2:13">
      <c r="B67" s="32">
        <v>9</v>
      </c>
      <c r="C67" s="33"/>
      <c r="D67" s="32" t="s">
        <v>90</v>
      </c>
      <c r="E67" s="34"/>
      <c r="F67" s="35">
        <f>SUM(F68:F72)</f>
        <v>0</v>
      </c>
      <c r="G67" s="35"/>
      <c r="H67" s="35">
        <f>SUM(H68:H72)</f>
        <v>0</v>
      </c>
      <c r="I67" s="35"/>
      <c r="J67" s="35">
        <f>SUM(J68:J72)</f>
        <v>0</v>
      </c>
      <c r="K67" s="35"/>
      <c r="L67" s="35">
        <f>SUM(L68:L72)</f>
        <v>0</v>
      </c>
      <c r="M67" s="35">
        <f t="shared" si="7"/>
        <v>0</v>
      </c>
    </row>
    <row r="68" ht="14.1" customHeight="1" spans="2:13">
      <c r="B68" s="36"/>
      <c r="C68" s="37">
        <v>9.1</v>
      </c>
      <c r="D68" s="36" t="s">
        <v>91</v>
      </c>
      <c r="E68" s="34"/>
      <c r="F68" s="58">
        <v>0</v>
      </c>
      <c r="G68" s="35"/>
      <c r="H68" s="58">
        <v>0</v>
      </c>
      <c r="I68" s="35"/>
      <c r="J68" s="58">
        <v>0</v>
      </c>
      <c r="K68" s="97"/>
      <c r="L68" s="58">
        <v>0</v>
      </c>
      <c r="M68" s="35">
        <f t="shared" si="7"/>
        <v>0</v>
      </c>
    </row>
    <row r="69" ht="14.1" customHeight="1" spans="2:13">
      <c r="B69" s="36"/>
      <c r="C69" s="37">
        <v>9.2</v>
      </c>
      <c r="D69" s="36" t="s">
        <v>92</v>
      </c>
      <c r="E69" s="34"/>
      <c r="F69" s="58">
        <v>0</v>
      </c>
      <c r="G69" s="35"/>
      <c r="H69" s="58">
        <v>0</v>
      </c>
      <c r="I69" s="35"/>
      <c r="J69" s="58">
        <v>0</v>
      </c>
      <c r="K69" s="97"/>
      <c r="L69" s="58">
        <v>0</v>
      </c>
      <c r="M69" s="35">
        <f t="shared" si="7"/>
        <v>0</v>
      </c>
    </row>
    <row r="70" ht="14.1" customHeight="1" spans="2:13">
      <c r="B70" s="41"/>
      <c r="C70" s="37">
        <v>9.3</v>
      </c>
      <c r="D70" s="36" t="s">
        <v>93</v>
      </c>
      <c r="E70" s="34"/>
      <c r="F70" s="60">
        <v>0</v>
      </c>
      <c r="G70" s="35"/>
      <c r="H70" s="60">
        <v>0</v>
      </c>
      <c r="I70" s="35"/>
      <c r="J70" s="60">
        <v>0</v>
      </c>
      <c r="K70" s="97"/>
      <c r="L70" s="60">
        <v>0</v>
      </c>
      <c r="M70" s="35">
        <f t="shared" si="7"/>
        <v>0</v>
      </c>
    </row>
    <row r="71" ht="14.1" customHeight="1" spans="2:13">
      <c r="B71" s="41"/>
      <c r="C71" s="37">
        <v>9.4</v>
      </c>
      <c r="D71" s="36" t="s">
        <v>94</v>
      </c>
      <c r="E71" s="34"/>
      <c r="F71" s="42">
        <f>0</f>
        <v>0</v>
      </c>
      <c r="G71" s="35"/>
      <c r="H71" s="42">
        <f>0</f>
        <v>0</v>
      </c>
      <c r="I71" s="35"/>
      <c r="J71" s="58">
        <v>0</v>
      </c>
      <c r="K71" s="97"/>
      <c r="L71" s="58">
        <v>0</v>
      </c>
      <c r="M71" s="35">
        <f t="shared" si="7"/>
        <v>0</v>
      </c>
    </row>
    <row r="72" ht="14.1" customHeight="1" spans="2:13">
      <c r="B72" s="41"/>
      <c r="C72" s="37">
        <v>9.5</v>
      </c>
      <c r="D72" s="36" t="s">
        <v>95</v>
      </c>
      <c r="E72" s="34"/>
      <c r="F72" s="58">
        <v>0</v>
      </c>
      <c r="G72" s="35"/>
      <c r="H72" s="58">
        <v>0</v>
      </c>
      <c r="I72" s="35"/>
      <c r="J72" s="58">
        <v>0</v>
      </c>
      <c r="K72" s="97"/>
      <c r="L72" s="58">
        <v>0</v>
      </c>
      <c r="M72" s="35">
        <f t="shared" si="7"/>
        <v>0</v>
      </c>
    </row>
    <row r="73" ht="14.1" customHeight="1" spans="2:13">
      <c r="B73" s="86">
        <v>10</v>
      </c>
      <c r="C73" s="33"/>
      <c r="D73" s="32" t="s">
        <v>96</v>
      </c>
      <c r="E73" s="34"/>
      <c r="F73" s="38">
        <v>0</v>
      </c>
      <c r="G73" s="35"/>
      <c r="H73" s="38">
        <v>0</v>
      </c>
      <c r="I73" s="35"/>
      <c r="J73" s="42">
        <f>0</f>
        <v>0</v>
      </c>
      <c r="K73" s="97"/>
      <c r="L73" s="42">
        <f>0</f>
        <v>0</v>
      </c>
      <c r="M73" s="35">
        <f t="shared" si="7"/>
        <v>0</v>
      </c>
    </row>
    <row r="74" ht="14.1" customHeight="1" spans="2:13">
      <c r="B74" s="86">
        <v>11</v>
      </c>
      <c r="C74" s="33"/>
      <c r="D74" s="32" t="s">
        <v>97</v>
      </c>
      <c r="E74" s="34"/>
      <c r="F74" s="35">
        <f>SUM(F75:F82)</f>
        <v>0</v>
      </c>
      <c r="G74" s="35"/>
      <c r="H74" s="35">
        <f>SUM(H75:H82)</f>
        <v>0</v>
      </c>
      <c r="I74" s="35"/>
      <c r="J74" s="35">
        <f>SUM(J75:J82)</f>
        <v>0</v>
      </c>
      <c r="K74" s="97"/>
      <c r="L74" s="35">
        <f>SUM(L75:L82)</f>
        <v>0</v>
      </c>
      <c r="M74" s="35">
        <f t="shared" si="7"/>
        <v>0</v>
      </c>
    </row>
    <row r="75" ht="14.1" customHeight="1" spans="2:13">
      <c r="B75" s="87"/>
      <c r="C75" s="37">
        <v>11.1</v>
      </c>
      <c r="D75" s="36" t="s">
        <v>98</v>
      </c>
      <c r="E75" s="34"/>
      <c r="F75" s="38">
        <v>0</v>
      </c>
      <c r="G75" s="35"/>
      <c r="H75" s="38">
        <v>0</v>
      </c>
      <c r="I75" s="35"/>
      <c r="J75" s="38">
        <v>0</v>
      </c>
      <c r="K75" s="97"/>
      <c r="L75" s="38">
        <v>0</v>
      </c>
      <c r="M75" s="35">
        <f t="shared" si="7"/>
        <v>0</v>
      </c>
    </row>
    <row r="76" ht="14.1" customHeight="1" spans="2:13">
      <c r="B76" s="87"/>
      <c r="C76" s="88">
        <v>11.2</v>
      </c>
      <c r="D76" s="36" t="s">
        <v>99</v>
      </c>
      <c r="E76" s="34"/>
      <c r="F76" s="38">
        <v>0</v>
      </c>
      <c r="G76" s="35"/>
      <c r="H76" s="38">
        <v>0</v>
      </c>
      <c r="I76" s="35"/>
      <c r="J76" s="38">
        <v>0</v>
      </c>
      <c r="K76" s="97"/>
      <c r="L76" s="38">
        <v>0</v>
      </c>
      <c r="M76" s="35">
        <f t="shared" si="7"/>
        <v>0</v>
      </c>
    </row>
    <row r="77" ht="14.1" customHeight="1" spans="2:13">
      <c r="B77" s="87"/>
      <c r="C77" s="37">
        <v>11.3</v>
      </c>
      <c r="D77" s="36" t="s">
        <v>100</v>
      </c>
      <c r="E77" s="34"/>
      <c r="F77" s="38">
        <v>0</v>
      </c>
      <c r="G77" s="35"/>
      <c r="H77" s="38">
        <v>0</v>
      </c>
      <c r="I77" s="35"/>
      <c r="J77" s="38">
        <v>0</v>
      </c>
      <c r="K77" s="97"/>
      <c r="L77" s="38">
        <v>0</v>
      </c>
      <c r="M77" s="35">
        <f t="shared" si="7"/>
        <v>0</v>
      </c>
    </row>
    <row r="78" ht="14.1" customHeight="1" spans="2:13">
      <c r="B78" s="87"/>
      <c r="C78" s="37">
        <v>11.4</v>
      </c>
      <c r="D78" s="36" t="s">
        <v>101</v>
      </c>
      <c r="E78" s="34"/>
      <c r="F78" s="38">
        <v>0</v>
      </c>
      <c r="G78" s="35"/>
      <c r="H78" s="38">
        <v>0</v>
      </c>
      <c r="I78" s="35"/>
      <c r="J78" s="38">
        <v>0</v>
      </c>
      <c r="K78" s="97"/>
      <c r="L78" s="38">
        <v>0</v>
      </c>
      <c r="M78" s="35">
        <f t="shared" si="7"/>
        <v>0</v>
      </c>
    </row>
    <row r="79" ht="14.1" customHeight="1" spans="2:13">
      <c r="B79" s="89"/>
      <c r="C79" s="88">
        <v>11.5</v>
      </c>
      <c r="D79" s="36" t="s">
        <v>102</v>
      </c>
      <c r="E79" s="34"/>
      <c r="F79" s="38">
        <v>0</v>
      </c>
      <c r="G79" s="35"/>
      <c r="H79" s="38">
        <v>0</v>
      </c>
      <c r="I79" s="35"/>
      <c r="J79" s="38">
        <v>0</v>
      </c>
      <c r="K79" s="97"/>
      <c r="L79" s="38">
        <v>0</v>
      </c>
      <c r="M79" s="35">
        <f t="shared" si="7"/>
        <v>0</v>
      </c>
    </row>
    <row r="80" ht="14.1" customHeight="1" spans="2:13">
      <c r="B80" s="87"/>
      <c r="C80" s="37">
        <v>11.6</v>
      </c>
      <c r="D80" s="36" t="s">
        <v>103</v>
      </c>
      <c r="E80" s="34"/>
      <c r="F80" s="38">
        <v>0</v>
      </c>
      <c r="G80" s="35"/>
      <c r="H80" s="38">
        <v>0</v>
      </c>
      <c r="I80" s="35"/>
      <c r="J80" s="38">
        <v>0</v>
      </c>
      <c r="K80" s="97"/>
      <c r="L80" s="38">
        <v>0</v>
      </c>
      <c r="M80" s="35">
        <f t="shared" si="7"/>
        <v>0</v>
      </c>
    </row>
    <row r="81" ht="14.1" customHeight="1" spans="2:13">
      <c r="B81" s="87"/>
      <c r="C81" s="37">
        <v>11.7</v>
      </c>
      <c r="D81" s="36" t="s">
        <v>104</v>
      </c>
      <c r="E81" s="34"/>
      <c r="F81" s="38">
        <v>0</v>
      </c>
      <c r="G81" s="35"/>
      <c r="H81" s="38">
        <v>0</v>
      </c>
      <c r="I81" s="35"/>
      <c r="J81" s="38">
        <v>0</v>
      </c>
      <c r="K81" s="97"/>
      <c r="L81" s="38">
        <v>0</v>
      </c>
      <c r="M81" s="35">
        <f t="shared" si="7"/>
        <v>0</v>
      </c>
    </row>
    <row r="82" ht="14.1" customHeight="1" spans="2:13">
      <c r="B82" s="87"/>
      <c r="C82" s="37">
        <v>11.8</v>
      </c>
      <c r="D82" s="36" t="s">
        <v>105</v>
      </c>
      <c r="E82" s="34"/>
      <c r="F82" s="38">
        <v>0</v>
      </c>
      <c r="G82" s="35"/>
      <c r="H82" s="38">
        <v>0</v>
      </c>
      <c r="I82" s="35"/>
      <c r="J82" s="38">
        <v>0</v>
      </c>
      <c r="K82" s="97"/>
      <c r="L82" s="38">
        <v>0</v>
      </c>
      <c r="M82" s="35">
        <f t="shared" si="7"/>
        <v>0</v>
      </c>
    </row>
    <row r="83" ht="14.1" customHeight="1" spans="2:13">
      <c r="B83" s="86">
        <v>12</v>
      </c>
      <c r="C83" s="90"/>
      <c r="D83" s="32" t="s">
        <v>106</v>
      </c>
      <c r="E83" s="34"/>
      <c r="F83" s="35">
        <f>SUM(F84:F90)</f>
        <v>0</v>
      </c>
      <c r="G83" s="35"/>
      <c r="H83" s="35">
        <f>SUM(H84:H90)</f>
        <v>0</v>
      </c>
      <c r="I83" s="35"/>
      <c r="J83" s="35">
        <f>SUM(J84:J90)</f>
        <v>0</v>
      </c>
      <c r="K83" s="97"/>
      <c r="L83" s="35">
        <f>SUM(L84:L90)</f>
        <v>0</v>
      </c>
      <c r="M83" s="35">
        <f t="shared" si="7"/>
        <v>0</v>
      </c>
    </row>
    <row r="84" ht="14.1" customHeight="1" spans="2:13">
      <c r="B84" s="87"/>
      <c r="C84" s="88">
        <v>12.1</v>
      </c>
      <c r="D84" s="36" t="s">
        <v>107</v>
      </c>
      <c r="E84" s="34"/>
      <c r="F84" s="91">
        <v>0</v>
      </c>
      <c r="G84" s="92"/>
      <c r="H84" s="91">
        <v>0</v>
      </c>
      <c r="I84" s="92"/>
      <c r="J84" s="91">
        <v>0</v>
      </c>
      <c r="K84" s="97"/>
      <c r="L84" s="91">
        <v>0</v>
      </c>
      <c r="M84" s="92">
        <f t="shared" si="7"/>
        <v>0</v>
      </c>
    </row>
    <row r="85" ht="14.1" customHeight="1" spans="2:13">
      <c r="B85" s="87"/>
      <c r="C85" s="88">
        <v>12.2</v>
      </c>
      <c r="D85" s="36" t="s">
        <v>108</v>
      </c>
      <c r="E85" s="34"/>
      <c r="F85" s="91">
        <v>0</v>
      </c>
      <c r="G85" s="92"/>
      <c r="H85" s="91">
        <v>0</v>
      </c>
      <c r="I85" s="92"/>
      <c r="J85" s="91">
        <v>0</v>
      </c>
      <c r="K85" s="98"/>
      <c r="L85" s="91">
        <v>0</v>
      </c>
      <c r="M85" s="92">
        <f t="shared" si="7"/>
        <v>0</v>
      </c>
    </row>
    <row r="86" ht="14.1" customHeight="1" spans="2:13">
      <c r="B86" s="87"/>
      <c r="C86" s="88">
        <v>12.3</v>
      </c>
      <c r="D86" s="36" t="s">
        <v>109</v>
      </c>
      <c r="E86" s="34"/>
      <c r="F86" s="91">
        <v>0</v>
      </c>
      <c r="G86" s="92"/>
      <c r="H86" s="91">
        <v>0</v>
      </c>
      <c r="I86" s="92"/>
      <c r="J86" s="91">
        <v>0</v>
      </c>
      <c r="K86" s="98"/>
      <c r="L86" s="91">
        <v>0</v>
      </c>
      <c r="M86" s="92">
        <f t="shared" si="7"/>
        <v>0</v>
      </c>
    </row>
    <row r="87" ht="14.1" customHeight="1" spans="2:13">
      <c r="B87" s="87"/>
      <c r="C87" s="88">
        <v>12.4</v>
      </c>
      <c r="D87" s="36" t="s">
        <v>110</v>
      </c>
      <c r="E87" s="34"/>
      <c r="F87" s="91">
        <v>0</v>
      </c>
      <c r="G87" s="92"/>
      <c r="H87" s="91">
        <v>0</v>
      </c>
      <c r="I87" s="92"/>
      <c r="J87" s="91">
        <v>0</v>
      </c>
      <c r="K87" s="98"/>
      <c r="L87" s="91">
        <v>0</v>
      </c>
      <c r="M87" s="92">
        <f t="shared" si="7"/>
        <v>0</v>
      </c>
    </row>
    <row r="88" ht="14.1" customHeight="1" spans="2:13">
      <c r="B88" s="89"/>
      <c r="C88" s="88">
        <v>12.5</v>
      </c>
      <c r="D88" s="36" t="s">
        <v>111</v>
      </c>
      <c r="E88" s="34"/>
      <c r="F88" s="91">
        <v>0</v>
      </c>
      <c r="G88" s="92"/>
      <c r="H88" s="91">
        <v>0</v>
      </c>
      <c r="I88" s="92"/>
      <c r="J88" s="91">
        <v>0</v>
      </c>
      <c r="K88" s="98"/>
      <c r="L88" s="91">
        <v>0</v>
      </c>
      <c r="M88" s="92">
        <f t="shared" si="7"/>
        <v>0</v>
      </c>
    </row>
    <row r="89" ht="14.1" customHeight="1" spans="2:13">
      <c r="B89" s="89"/>
      <c r="C89" s="88">
        <v>12.6</v>
      </c>
      <c r="D89" s="36" t="s">
        <v>112</v>
      </c>
      <c r="E89" s="34"/>
      <c r="F89" s="91">
        <v>0</v>
      </c>
      <c r="G89" s="92"/>
      <c r="H89" s="91">
        <v>0</v>
      </c>
      <c r="I89" s="92"/>
      <c r="J89" s="91">
        <v>0</v>
      </c>
      <c r="K89" s="98"/>
      <c r="L89" s="91">
        <v>0</v>
      </c>
      <c r="M89" s="92">
        <f t="shared" si="7"/>
        <v>0</v>
      </c>
    </row>
    <row r="90" ht="14.1" customHeight="1" spans="2:13">
      <c r="B90" s="89"/>
      <c r="C90" s="88">
        <v>12.7</v>
      </c>
      <c r="D90" s="36" t="s">
        <v>113</v>
      </c>
      <c r="E90" s="34"/>
      <c r="F90" s="91">
        <v>0</v>
      </c>
      <c r="G90" s="92"/>
      <c r="H90" s="91">
        <v>0</v>
      </c>
      <c r="I90" s="92"/>
      <c r="J90" s="91">
        <v>0</v>
      </c>
      <c r="K90" s="98"/>
      <c r="L90" s="91">
        <v>0</v>
      </c>
      <c r="M90" s="92">
        <f t="shared" si="7"/>
        <v>0</v>
      </c>
    </row>
    <row r="91" ht="14.1" customHeight="1" spans="2:13">
      <c r="B91" s="86">
        <v>13</v>
      </c>
      <c r="C91" s="90"/>
      <c r="D91" s="32" t="s">
        <v>114</v>
      </c>
      <c r="E91" s="34"/>
      <c r="F91" s="35">
        <f>+F83+F74+F73+F67+F54+F47+F44+F34+F30+F23+F19+F11</f>
        <v>0</v>
      </c>
      <c r="G91" s="35"/>
      <c r="H91" s="35">
        <f>+H83+H74+H73+H67+H54+H51+H48+H44+H34+H30+H23+H19+H11</f>
        <v>0</v>
      </c>
      <c r="I91" s="35"/>
      <c r="J91" s="35">
        <f>+J83+J74+J73+J67+J54+J51+J48+J44+J34+J30+J23+J19+J11</f>
        <v>0</v>
      </c>
      <c r="K91" s="35"/>
      <c r="L91" s="35">
        <f>+L83+L74+L73+L67+L54+L51+L48+L44+L34+L30+L23+L19+L11</f>
        <v>0</v>
      </c>
      <c r="M91" s="35">
        <f t="shared" si="7"/>
        <v>0</v>
      </c>
    </row>
    <row r="92" ht="14.1" customHeight="1" spans="2:13">
      <c r="B92" s="93"/>
      <c r="C92" s="94"/>
      <c r="D92" s="95" t="s">
        <v>115</v>
      </c>
      <c r="E92" s="93"/>
      <c r="F92" s="96"/>
      <c r="G92" s="96"/>
      <c r="H92" s="96"/>
      <c r="I92" s="96"/>
      <c r="J92" s="96"/>
      <c r="K92" s="96"/>
      <c r="L92" s="96"/>
      <c r="M92" s="94"/>
    </row>
    <row r="93" customHeight="1"/>
  </sheetData>
  <sheetProtection password="DE1B" sheet="1"/>
  <mergeCells count="17">
    <mergeCell ref="B2:M2"/>
    <mergeCell ref="C3:D3"/>
    <mergeCell ref="C4:D4"/>
    <mergeCell ref="C5:D5"/>
    <mergeCell ref="B6:M6"/>
    <mergeCell ref="B7:M7"/>
    <mergeCell ref="E8:H8"/>
    <mergeCell ref="I8:L8"/>
    <mergeCell ref="E9:F9"/>
    <mergeCell ref="G9:H9"/>
    <mergeCell ref="I9:J9"/>
    <mergeCell ref="K9:L9"/>
    <mergeCell ref="B92:C92"/>
    <mergeCell ref="E92:M92"/>
    <mergeCell ref="M8:M10"/>
    <mergeCell ref="E3:M5"/>
    <mergeCell ref="B8:D9"/>
  </mergeCells>
  <dataValidations count="2">
    <dataValidation type="whole" operator="greaterThanOrEqual" allowBlank="1" showInputMessage="1" showErrorMessage="1" error="Please input a valid data!" sqref="F91 H91 J91 L91 M91 F11:F46 F67:F90 H11:H46 H67:H90 J11:J46 J67:J90 L11:L46 L67:L90 M11:M46 M67:M90 E47:M66">
      <formula1>0</formula1>
    </dataValidation>
    <dataValidation type="whole" operator="between" allowBlank="1" showInputMessage="1" showErrorMessage="1" error="Please input a valid data!" sqref="E11:E46 E67:E91 G11:G46 G67:G91 I11:I46 I67:I91 K11:K46 K67:K91">
      <formula1>-1000000000000</formula1>
      <formula2>1000000000000</formula2>
    </dataValidation>
  </dataValidations>
  <printOptions horizontalCentered="1"/>
  <pageMargins left="0" right="0" top="0" bottom="0" header="0" footer="0"/>
  <pageSetup paperSize="9" scale="63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</dc:creator>
  <cp:lastModifiedBy>user</cp:lastModifiedBy>
  <dcterms:created xsi:type="dcterms:W3CDTF">2013-04-16T09:19:43Z</dcterms:created>
  <cp:lastPrinted>2014-04-02T07:44:31Z</cp:lastPrinted>
  <dcterms:modified xsi:type="dcterms:W3CDTF">2024-02-22T05:47:09Z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BD6F776EA87E4308AE84B5777B5BB86E_13</vt:lpwstr>
  </property>
  <property fmtid="{D5CDD505-2E9C-101B-9397-08002B2CF9AE}" pid="3" name="KSOProductBuildVer">
    <vt:lpwstr>1033-12.2.0.13431</vt:lpwstr>
  </property>
</Properties>
</file>