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90"/>
  </bookViews>
  <sheets>
    <sheet name="SRR01" sheetId="1" r:id="rId1"/>
  </sheets>
  <definedNames>
    <definedName name="_xlnm.Print_Area" localSheetId="0">'SRR01'!$B$2:$F$36</definedName>
  </definedNames>
  <calcPr calcId="144525"/>
</workbook>
</file>

<file path=xl/sharedStrings.xml><?xml version="1.0" encoding="utf-8"?>
<sst xmlns="http://schemas.openxmlformats.org/spreadsheetml/2006/main" count="42" uniqueCount="27">
  <si>
    <t>BANKING AND MONETARY STATISTICS- COMPUTATION OF STATUTORY RESERVE REQUIREMENTS ON CUSTOMER DEPOSITS (AED IN 000)</t>
  </si>
  <si>
    <t>ID:</t>
  </si>
  <si>
    <t>11-1-1-0</t>
  </si>
  <si>
    <t>BANK</t>
  </si>
  <si>
    <t>Bank of Baroda</t>
  </si>
  <si>
    <t>As On</t>
  </si>
  <si>
    <t>Report Date</t>
  </si>
  <si>
    <t>Within 4 business days from last day of the RCP</t>
  </si>
  <si>
    <t>Sr No</t>
  </si>
  <si>
    <t>Details</t>
  </si>
  <si>
    <t>Average Qualifying Liabilities for the RCP</t>
  </si>
  <si>
    <t>Reserve Requirement Ratios</t>
  </si>
  <si>
    <t>Reserve Requirements to be Applied to the Corresponding RMP</t>
  </si>
  <si>
    <t>Government Deposits in Dirhams</t>
  </si>
  <si>
    <t>Demand</t>
  </si>
  <si>
    <t>Time including CDs/ structured products</t>
  </si>
  <si>
    <t>Savings</t>
  </si>
  <si>
    <t>Commercial prepayments (Demand)</t>
  </si>
  <si>
    <t>Commercial prepayments (Time)</t>
  </si>
  <si>
    <t>Government Deposits in Foreign Currency</t>
  </si>
  <si>
    <t>Other deposits in Dirham</t>
  </si>
  <si>
    <t>Other Deposits in Foreign Currency</t>
  </si>
  <si>
    <t>Qualifying Liabilities</t>
  </si>
  <si>
    <t>Time Deposits</t>
  </si>
  <si>
    <t>Demand Deposits</t>
  </si>
  <si>
    <t>Total</t>
  </si>
  <si>
    <t>FORM NO: BSD/BRF 01 SRR/AUG2020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</si>
</sst>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"/>
    <numFmt numFmtId="177" formatCode="#,##0.0"/>
    <numFmt numFmtId="178" formatCode="_(* #,##0_);_(* \(#,##0\);_(* &quot;-&quot;??_);_(@_)"/>
  </numFmts>
  <fonts count="27">
    <font>
      <sz val="11"/>
      <color theme="1"/>
      <name val="Calibri"/>
      <charset val="0"/>
      <scheme val="minor"/>
    </font>
    <font>
      <b/>
      <sz val="9"/>
      <name val="Arial"/>
      <charset val="0"/>
    </font>
    <font>
      <b/>
      <sz val="8"/>
      <color indexed="8"/>
      <name val="Arial"/>
      <charset val="0"/>
    </font>
    <font>
      <sz val="8"/>
      <color indexed="8"/>
      <name val="Arial"/>
      <charset val="0"/>
    </font>
    <font>
      <b/>
      <i/>
      <sz val="8"/>
      <color indexed="8"/>
      <name val="Arial"/>
      <charset val="0"/>
    </font>
    <font>
      <b/>
      <sz val="8"/>
      <name val="Arial"/>
      <charset val="0"/>
    </font>
    <font>
      <sz val="8"/>
      <name val="Arial"/>
      <charset val="0"/>
    </font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6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20" applyNumberFormat="0" applyAlignment="0" applyProtection="0"/>
    <xf numFmtId="0" fontId="17" fillId="7" borderId="21" applyNumberFormat="0" applyAlignment="0" applyProtection="0"/>
    <xf numFmtId="0" fontId="18" fillId="7" borderId="20" applyNumberFormat="0" applyAlignment="0" applyProtection="0"/>
    <xf numFmtId="0" fontId="19" fillId="8" borderId="22" applyNumberFormat="0" applyAlignment="0" applyProtection="0"/>
    <xf numFmtId="0" fontId="20" fillId="0" borderId="23" applyNumberFormat="0" applyFill="0" applyAlignment="0" applyProtection="0"/>
    <xf numFmtId="0" fontId="21" fillId="0" borderId="24" applyNumberFormat="0" applyFill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5" fillId="35" borderId="0" applyNumberFormat="0" applyBorder="0" applyAlignment="0" applyProtection="0"/>
    <xf numFmtId="0" fontId="26" fillId="0" borderId="0"/>
    <xf numFmtId="0" fontId="26" fillId="0" borderId="0"/>
  </cellStyleXfs>
  <cellXfs count="41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2" fillId="3" borderId="2" xfId="49" applyFont="1" applyFill="1" applyBorder="1" applyAlignment="1" applyProtection="1"/>
    <xf numFmtId="0" fontId="3" fillId="4" borderId="3" xfId="0" applyFont="1" applyFill="1" applyBorder="1" applyAlignment="1" applyProtection="1">
      <alignment horizontal="left" wrapText="1"/>
    </xf>
    <xf numFmtId="0" fontId="3" fillId="4" borderId="4" xfId="0" applyFont="1" applyFill="1" applyBorder="1" applyAlignment="1" applyProtection="1">
      <alignment horizontal="left" wrapText="1"/>
    </xf>
    <xf numFmtId="0" fontId="4" fillId="4" borderId="1" xfId="0" applyFont="1" applyFill="1" applyBorder="1" applyAlignment="1" applyProtection="1">
      <alignment horizontal="center" wrapText="1"/>
    </xf>
    <xf numFmtId="15" fontId="5" fillId="3" borderId="1" xfId="50" applyNumberFormat="1" applyFont="1" applyFill="1" applyBorder="1" applyAlignment="1" applyProtection="1">
      <alignment horizontal="left"/>
    </xf>
    <xf numFmtId="0" fontId="3" fillId="4" borderId="5" xfId="0" applyFont="1" applyFill="1" applyBorder="1" applyAlignment="1" applyProtection="1">
      <alignment horizontal="left" wrapText="1"/>
    </xf>
    <xf numFmtId="0" fontId="3" fillId="4" borderId="6" xfId="0" applyFont="1" applyFill="1" applyBorder="1" applyAlignment="1" applyProtection="1">
      <alignment horizontal="left" wrapText="1"/>
    </xf>
    <xf numFmtId="0" fontId="5" fillId="3" borderId="1" xfId="50" applyFont="1" applyFill="1" applyBorder="1" applyProtection="1"/>
    <xf numFmtId="0" fontId="3" fillId="4" borderId="7" xfId="0" applyFont="1" applyFill="1" applyBorder="1" applyAlignment="1" applyProtection="1">
      <alignment wrapText="1"/>
    </xf>
    <xf numFmtId="3" fontId="2" fillId="2" borderId="7" xfId="0" applyNumberFormat="1" applyFont="1" applyFill="1" applyBorder="1" applyAlignment="1" applyProtection="1">
      <alignment horizontal="center" wrapText="1"/>
    </xf>
    <xf numFmtId="3" fontId="2" fillId="2" borderId="7" xfId="0" applyNumberFormat="1" applyFont="1" applyFill="1" applyBorder="1" applyAlignment="1" applyProtection="1">
      <alignment horizontal="center" vertical="center" wrapText="1"/>
    </xf>
    <xf numFmtId="3" fontId="2" fillId="2" borderId="8" xfId="0" applyNumberFormat="1" applyFont="1" applyFill="1" applyBorder="1" applyAlignment="1" applyProtection="1">
      <alignment horizontal="center" vertical="center" wrapText="1"/>
    </xf>
    <xf numFmtId="3" fontId="2" fillId="2" borderId="9" xfId="0" applyNumberFormat="1" applyFont="1" applyFill="1" applyBorder="1" applyAlignment="1" applyProtection="1">
      <alignment horizontal="center" vertical="center" wrapText="1"/>
    </xf>
    <xf numFmtId="3" fontId="2" fillId="2" borderId="10" xfId="0" applyNumberFormat="1" applyFont="1" applyFill="1" applyBorder="1" applyAlignment="1" applyProtection="1">
      <alignment horizontal="right" wrapText="1"/>
    </xf>
    <xf numFmtId="0" fontId="2" fillId="2" borderId="10" xfId="0" applyFont="1" applyFill="1" applyBorder="1" applyAlignment="1" applyProtection="1">
      <alignment horizontal="left" wrapText="1"/>
    </xf>
    <xf numFmtId="1" fontId="2" fillId="2" borderId="7" xfId="0" applyNumberFormat="1" applyFont="1" applyFill="1" applyBorder="1" applyAlignment="1" applyProtection="1">
      <alignment horizontal="right" wrapText="1"/>
    </xf>
    <xf numFmtId="2" fontId="2" fillId="2" borderId="1" xfId="1" applyNumberFormat="1" applyFont="1" applyFill="1" applyBorder="1" applyAlignment="1" applyProtection="1">
      <alignment horizontal="right" wrapText="1"/>
    </xf>
    <xf numFmtId="176" fontId="3" fillId="4" borderId="10" xfId="0" applyNumberFormat="1" applyFont="1" applyFill="1" applyBorder="1" applyAlignment="1" applyProtection="1">
      <alignment horizontal="right" wrapText="1"/>
    </xf>
    <xf numFmtId="0" fontId="3" fillId="4" borderId="10" xfId="0" applyFont="1" applyFill="1" applyBorder="1" applyAlignment="1" applyProtection="1">
      <alignment horizontal="left" wrapText="1"/>
    </xf>
    <xf numFmtId="3" fontId="3" fillId="4" borderId="10" xfId="0" applyNumberFormat="1" applyFont="1" applyFill="1" applyBorder="1" applyAlignment="1" applyProtection="1">
      <alignment horizontal="right" wrapText="1"/>
      <protection locked="0"/>
    </xf>
    <xf numFmtId="9" fontId="3" fillId="2" borderId="7" xfId="3" applyNumberFormat="1" applyFont="1" applyFill="1" applyBorder="1" applyAlignment="1" applyProtection="1">
      <alignment horizontal="right" wrapText="1"/>
    </xf>
    <xf numFmtId="2" fontId="3" fillId="2" borderId="1" xfId="1" applyNumberFormat="1" applyFont="1" applyFill="1" applyBorder="1" applyAlignment="1" applyProtection="1">
      <alignment horizontal="right" wrapText="1"/>
    </xf>
    <xf numFmtId="0" fontId="6" fillId="4" borderId="10" xfId="0" applyFont="1" applyFill="1" applyBorder="1" applyAlignment="1" applyProtection="1">
      <alignment horizontal="left" wrapText="1"/>
    </xf>
    <xf numFmtId="1" fontId="2" fillId="2" borderId="7" xfId="3" applyNumberFormat="1" applyFont="1" applyFill="1" applyBorder="1" applyAlignment="1" applyProtection="1">
      <alignment horizontal="right" wrapText="1"/>
    </xf>
    <xf numFmtId="3" fontId="2" fillId="3" borderId="10" xfId="0" applyNumberFormat="1" applyFont="1" applyFill="1" applyBorder="1" applyAlignment="1" applyProtection="1">
      <alignment horizontal="right" wrapText="1"/>
    </xf>
    <xf numFmtId="0" fontId="2" fillId="3" borderId="10" xfId="0" applyFont="1" applyFill="1" applyBorder="1" applyAlignment="1" applyProtection="1">
      <alignment horizontal="left" wrapText="1"/>
    </xf>
    <xf numFmtId="177" fontId="3" fillId="3" borderId="7" xfId="0" applyNumberFormat="1" applyFont="1" applyFill="1" applyBorder="1" applyAlignment="1" applyProtection="1">
      <alignment horizontal="right" wrapText="1"/>
    </xf>
    <xf numFmtId="3" fontId="3" fillId="3" borderId="7" xfId="0" applyNumberFormat="1" applyFont="1" applyFill="1" applyBorder="1" applyAlignment="1" applyProtection="1">
      <alignment horizontal="left" wrapText="1"/>
    </xf>
    <xf numFmtId="3" fontId="3" fillId="3" borderId="7" xfId="0" applyNumberFormat="1" applyFont="1" applyFill="1" applyBorder="1" applyAlignment="1" applyProtection="1">
      <alignment horizontal="right" wrapText="1"/>
    </xf>
    <xf numFmtId="2" fontId="3" fillId="2" borderId="11" xfId="0" applyNumberFormat="1" applyFont="1" applyFill="1" applyBorder="1" applyAlignment="1" applyProtection="1">
      <alignment horizontal="right" wrapText="1"/>
    </xf>
    <xf numFmtId="2" fontId="3" fillId="2" borderId="12" xfId="0" applyNumberFormat="1" applyFont="1" applyFill="1" applyBorder="1" applyAlignment="1" applyProtection="1">
      <alignment horizontal="right" wrapText="1"/>
    </xf>
    <xf numFmtId="3" fontId="2" fillId="3" borderId="13" xfId="0" applyNumberFormat="1" applyFont="1" applyFill="1" applyBorder="1" applyAlignment="1" applyProtection="1">
      <alignment horizontal="right" wrapText="1"/>
    </xf>
    <xf numFmtId="0" fontId="1" fillId="3" borderId="13" xfId="0" applyFont="1" applyFill="1" applyBorder="1" applyAlignment="1" applyProtection="1">
      <alignment horizontal="left" wrapText="1"/>
    </xf>
    <xf numFmtId="1" fontId="3" fillId="2" borderId="14" xfId="0" applyNumberFormat="1" applyFont="1" applyFill="1" applyBorder="1" applyAlignment="1" applyProtection="1">
      <alignment horizontal="right" wrapText="1"/>
    </xf>
    <xf numFmtId="0" fontId="0" fillId="0" borderId="1" xfId="0" applyBorder="1" applyProtection="1"/>
    <xf numFmtId="0" fontId="2" fillId="0" borderId="1" xfId="0" applyFont="1" applyBorder="1" applyProtection="1"/>
    <xf numFmtId="3" fontId="0" fillId="0" borderId="1" xfId="0" applyNumberFormat="1" applyBorder="1" applyProtection="1"/>
    <xf numFmtId="178" fontId="7" fillId="0" borderId="15" xfId="1" applyNumberFormat="1" applyFont="1" applyBorder="1" applyAlignment="1" applyProtection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C0C0C0"/>
      <color rgb="0096969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39"/>
  <sheetViews>
    <sheetView showGridLines="0" tabSelected="1" zoomScaleSheetLayoutView="60" topLeftCell="A3" workbookViewId="0">
      <selection activeCell="C9" sqref="C9"/>
    </sheetView>
  </sheetViews>
  <sheetFormatPr defaultColWidth="0" defaultRowHeight="15" zeroHeight="1" outlineLevelCol="5"/>
  <cols>
    <col min="1" max="1" width="4.28181818181818" style="1" customWidth="1"/>
    <col min="2" max="2" width="15.2818181818182" style="1" customWidth="1"/>
    <col min="3" max="3" width="40.7090909090909" style="1" customWidth="1"/>
    <col min="4" max="5" width="20.7090909090909" style="1" customWidth="1"/>
    <col min="6" max="6" width="28.1363636363636" style="1" customWidth="1"/>
    <col min="7" max="7" width="4.70909090909091" style="1" customWidth="1"/>
    <col min="8" max="8" width="9.13636363636364" style="1" hidden="1"/>
    <col min="9" max="10" width="0" style="1" hidden="1"/>
    <col min="11" max="16384" width="9.13636363636364" style="1" hidden="1"/>
  </cols>
  <sheetData>
    <row r="1" ht="14.5"/>
    <row r="2" ht="14.5" spans="2:6">
      <c r="B2" s="2" t="s">
        <v>0</v>
      </c>
      <c r="C2" s="2"/>
      <c r="D2" s="2"/>
      <c r="E2" s="2"/>
      <c r="F2" s="2"/>
    </row>
    <row r="3" ht="22.5" customHeight="1" spans="2:6">
      <c r="B3" s="3" t="s">
        <v>1</v>
      </c>
      <c r="C3" s="4" t="s">
        <v>2</v>
      </c>
      <c r="D3" s="5"/>
      <c r="E3" s="6"/>
      <c r="F3" s="6"/>
    </row>
    <row r="4" ht="14.5" spans="2:6">
      <c r="B4" s="7" t="s">
        <v>3</v>
      </c>
      <c r="C4" s="8" t="s">
        <v>4</v>
      </c>
      <c r="D4" s="9"/>
      <c r="E4" s="6"/>
      <c r="F4" s="6"/>
    </row>
    <row r="5" ht="14.5" spans="2:6">
      <c r="B5" s="10" t="s">
        <v>5</v>
      </c>
      <c r="C5" s="8"/>
      <c r="D5" s="9"/>
      <c r="E5" s="6"/>
      <c r="F5" s="6"/>
    </row>
    <row r="6" ht="14.5" spans="2:6">
      <c r="B6" s="11" t="s">
        <v>6</v>
      </c>
      <c r="C6" s="9" t="s">
        <v>7</v>
      </c>
      <c r="D6" s="9"/>
      <c r="E6" s="6"/>
      <c r="F6" s="6"/>
    </row>
    <row r="7" ht="21" spans="2:6">
      <c r="B7" s="12" t="s">
        <v>8</v>
      </c>
      <c r="C7" s="12" t="s">
        <v>9</v>
      </c>
      <c r="D7" s="13" t="s">
        <v>10</v>
      </c>
      <c r="E7" s="14" t="s">
        <v>11</v>
      </c>
      <c r="F7" s="15" t="s">
        <v>12</v>
      </c>
    </row>
    <row r="8" ht="14.5" spans="2:6">
      <c r="B8" s="16">
        <v>1</v>
      </c>
      <c r="C8" s="17" t="s">
        <v>13</v>
      </c>
      <c r="D8" s="16">
        <f>SUM(D9:D13)</f>
        <v>0</v>
      </c>
      <c r="E8" s="18"/>
      <c r="F8" s="19">
        <f>SUM(F9:F13)</f>
        <v>0</v>
      </c>
    </row>
    <row r="9" ht="14.5" spans="2:6">
      <c r="B9" s="20">
        <v>1.1</v>
      </c>
      <c r="C9" s="21" t="s">
        <v>14</v>
      </c>
      <c r="D9" s="22">
        <v>0</v>
      </c>
      <c r="E9" s="23">
        <f>0.11</f>
        <v>0.11</v>
      </c>
      <c r="F9" s="24">
        <f>IF(D9="0","0",D9*E9)</f>
        <v>0</v>
      </c>
    </row>
    <row r="10" ht="14.5" spans="2:6">
      <c r="B10" s="20">
        <v>1.2</v>
      </c>
      <c r="C10" s="25" t="s">
        <v>15</v>
      </c>
      <c r="D10" s="22">
        <v>0</v>
      </c>
      <c r="E10" s="23">
        <f>0.01</f>
        <v>0.01</v>
      </c>
      <c r="F10" s="24">
        <f t="shared" ref="F10:F31" si="0">IF(D10="","",D10*E10)</f>
        <v>0</v>
      </c>
    </row>
    <row r="11" ht="14.5" spans="2:6">
      <c r="B11" s="20">
        <v>1.3</v>
      </c>
      <c r="C11" s="21" t="s">
        <v>16</v>
      </c>
      <c r="D11" s="22">
        <v>0</v>
      </c>
      <c r="E11" s="23">
        <f>0.11</f>
        <v>0.11</v>
      </c>
      <c r="F11" s="24">
        <f t="shared" si="0"/>
        <v>0</v>
      </c>
    </row>
    <row r="12" ht="14.5" spans="2:6">
      <c r="B12" s="20">
        <v>1.4</v>
      </c>
      <c r="C12" s="21" t="s">
        <v>17</v>
      </c>
      <c r="D12" s="22">
        <v>0</v>
      </c>
      <c r="E12" s="23">
        <f>0.11</f>
        <v>0.11</v>
      </c>
      <c r="F12" s="24">
        <f t="shared" si="0"/>
        <v>0</v>
      </c>
    </row>
    <row r="13" ht="14.5" spans="2:6">
      <c r="B13" s="20">
        <v>1.5</v>
      </c>
      <c r="C13" s="25" t="s">
        <v>18</v>
      </c>
      <c r="D13" s="22">
        <v>0</v>
      </c>
      <c r="E13" s="23">
        <f>0.01</f>
        <v>0.01</v>
      </c>
      <c r="F13" s="24">
        <f t="shared" si="0"/>
        <v>0</v>
      </c>
    </row>
    <row r="14" ht="14.5" spans="2:6">
      <c r="B14" s="16">
        <v>2</v>
      </c>
      <c r="C14" s="17" t="s">
        <v>19</v>
      </c>
      <c r="D14" s="16">
        <f>SUM(D15:D19)</f>
        <v>0</v>
      </c>
      <c r="E14" s="26"/>
      <c r="F14" s="19">
        <f>SUM(F15:F19)</f>
        <v>0</v>
      </c>
    </row>
    <row r="15" ht="14.5" spans="2:6">
      <c r="B15" s="20">
        <v>2.1</v>
      </c>
      <c r="C15" s="21" t="s">
        <v>14</v>
      </c>
      <c r="D15" s="22">
        <v>0</v>
      </c>
      <c r="E15" s="23">
        <f>0.11</f>
        <v>0.11</v>
      </c>
      <c r="F15" s="24">
        <f t="shared" si="0"/>
        <v>0</v>
      </c>
    </row>
    <row r="16" ht="14.5" spans="2:6">
      <c r="B16" s="20">
        <v>2.2</v>
      </c>
      <c r="C16" s="25" t="s">
        <v>15</v>
      </c>
      <c r="D16" s="22">
        <v>0</v>
      </c>
      <c r="E16" s="23">
        <f>0.01</f>
        <v>0.01</v>
      </c>
      <c r="F16" s="24">
        <f t="shared" si="0"/>
        <v>0</v>
      </c>
    </row>
    <row r="17" ht="14.5" spans="2:6">
      <c r="B17" s="20">
        <v>2.3</v>
      </c>
      <c r="C17" s="21" t="s">
        <v>16</v>
      </c>
      <c r="D17" s="22">
        <v>0</v>
      </c>
      <c r="E17" s="23">
        <f>0.11</f>
        <v>0.11</v>
      </c>
      <c r="F17" s="24">
        <f t="shared" si="0"/>
        <v>0</v>
      </c>
    </row>
    <row r="18" ht="14.5" spans="2:6">
      <c r="B18" s="20">
        <v>2.4</v>
      </c>
      <c r="C18" s="21" t="s">
        <v>17</v>
      </c>
      <c r="D18" s="22">
        <v>0</v>
      </c>
      <c r="E18" s="23">
        <f>0.11</f>
        <v>0.11</v>
      </c>
      <c r="F18" s="24">
        <f t="shared" si="0"/>
        <v>0</v>
      </c>
    </row>
    <row r="19" ht="14.5" spans="2:6">
      <c r="B19" s="20">
        <v>2.5</v>
      </c>
      <c r="C19" s="25" t="s">
        <v>18</v>
      </c>
      <c r="D19" s="22">
        <v>0</v>
      </c>
      <c r="E19" s="23">
        <f>0.01</f>
        <v>0.01</v>
      </c>
      <c r="F19" s="24">
        <f t="shared" si="0"/>
        <v>0</v>
      </c>
    </row>
    <row r="20" ht="14.5" spans="2:6">
      <c r="B20" s="27">
        <v>3</v>
      </c>
      <c r="C20" s="28" t="s">
        <v>20</v>
      </c>
      <c r="D20" s="27">
        <f>SUM(D21:D25)</f>
        <v>0</v>
      </c>
      <c r="E20" s="26"/>
      <c r="F20" s="19">
        <f>SUM(F21:F25)</f>
        <v>0</v>
      </c>
    </row>
    <row r="21" ht="14.5" spans="2:6">
      <c r="B21" s="20">
        <v>3.1</v>
      </c>
      <c r="C21" s="21" t="s">
        <v>14</v>
      </c>
      <c r="D21" s="22">
        <v>0</v>
      </c>
      <c r="E21" s="23">
        <f>0.11</f>
        <v>0.11</v>
      </c>
      <c r="F21" s="24">
        <f t="shared" si="0"/>
        <v>0</v>
      </c>
    </row>
    <row r="22" ht="14.5" spans="2:6">
      <c r="B22" s="20">
        <v>3.2</v>
      </c>
      <c r="C22" s="25" t="s">
        <v>15</v>
      </c>
      <c r="D22" s="22">
        <v>0</v>
      </c>
      <c r="E22" s="23">
        <f>0.01</f>
        <v>0.01</v>
      </c>
      <c r="F22" s="24">
        <f t="shared" si="0"/>
        <v>0</v>
      </c>
    </row>
    <row r="23" ht="14.5" spans="2:6">
      <c r="B23" s="20">
        <v>3.3</v>
      </c>
      <c r="C23" s="21" t="s">
        <v>16</v>
      </c>
      <c r="D23" s="22">
        <v>0</v>
      </c>
      <c r="E23" s="23">
        <f>0.11</f>
        <v>0.11</v>
      </c>
      <c r="F23" s="24">
        <f t="shared" si="0"/>
        <v>0</v>
      </c>
    </row>
    <row r="24" ht="14.5" spans="2:6">
      <c r="B24" s="20">
        <v>3.4</v>
      </c>
      <c r="C24" s="21" t="s">
        <v>17</v>
      </c>
      <c r="D24" s="22">
        <v>0</v>
      </c>
      <c r="E24" s="23">
        <f>0.11</f>
        <v>0.11</v>
      </c>
      <c r="F24" s="24">
        <f t="shared" si="0"/>
        <v>0</v>
      </c>
    </row>
    <row r="25" ht="14.5" spans="2:6">
      <c r="B25" s="20">
        <v>3.5</v>
      </c>
      <c r="C25" s="25" t="s">
        <v>18</v>
      </c>
      <c r="D25" s="22">
        <v>0</v>
      </c>
      <c r="E25" s="23">
        <f>0.01</f>
        <v>0.01</v>
      </c>
      <c r="F25" s="24">
        <f t="shared" si="0"/>
        <v>0</v>
      </c>
    </row>
    <row r="26" ht="14.5" spans="2:6">
      <c r="B26" s="27">
        <v>4</v>
      </c>
      <c r="C26" s="28" t="s">
        <v>21</v>
      </c>
      <c r="D26" s="27">
        <f>SUM(D27:D31)</f>
        <v>0</v>
      </c>
      <c r="E26" s="26"/>
      <c r="F26" s="19">
        <f>SUM(F27:F31)</f>
        <v>0</v>
      </c>
    </row>
    <row r="27" ht="14.5" spans="2:6">
      <c r="B27" s="20">
        <v>4.1</v>
      </c>
      <c r="C27" s="21" t="s">
        <v>14</v>
      </c>
      <c r="D27" s="22">
        <v>0</v>
      </c>
      <c r="E27" s="23">
        <f>0.11</f>
        <v>0.11</v>
      </c>
      <c r="F27" s="24">
        <f>IF(D27="","",D27*E27)</f>
        <v>0</v>
      </c>
    </row>
    <row r="28" ht="14.5" spans="2:6">
      <c r="B28" s="20">
        <v>4.2</v>
      </c>
      <c r="C28" s="25" t="s">
        <v>15</v>
      </c>
      <c r="D28" s="22">
        <v>0</v>
      </c>
      <c r="E28" s="23">
        <f>0.01</f>
        <v>0.01</v>
      </c>
      <c r="F28" s="24">
        <f t="shared" si="0"/>
        <v>0</v>
      </c>
    </row>
    <row r="29" ht="14.5" spans="2:6">
      <c r="B29" s="20">
        <v>4.3</v>
      </c>
      <c r="C29" s="21" t="s">
        <v>16</v>
      </c>
      <c r="D29" s="22">
        <v>0</v>
      </c>
      <c r="E29" s="23">
        <f>0.11</f>
        <v>0.11</v>
      </c>
      <c r="F29" s="24">
        <f t="shared" si="0"/>
        <v>0</v>
      </c>
    </row>
    <row r="30" ht="14.5" spans="2:6">
      <c r="B30" s="20">
        <v>4.4</v>
      </c>
      <c r="C30" s="21" t="s">
        <v>17</v>
      </c>
      <c r="D30" s="22">
        <v>0</v>
      </c>
      <c r="E30" s="23">
        <f>0.11</f>
        <v>0.11</v>
      </c>
      <c r="F30" s="24">
        <f t="shared" si="0"/>
        <v>0</v>
      </c>
    </row>
    <row r="31" ht="14.5" spans="2:6">
      <c r="B31" s="20">
        <v>4.5</v>
      </c>
      <c r="C31" s="25" t="s">
        <v>18</v>
      </c>
      <c r="D31" s="22">
        <v>0</v>
      </c>
      <c r="E31" s="23">
        <f>0.01</f>
        <v>0.01</v>
      </c>
      <c r="F31" s="24">
        <f t="shared" si="0"/>
        <v>0</v>
      </c>
    </row>
    <row r="32" ht="14.5" spans="2:6">
      <c r="B32" s="16">
        <v>5</v>
      </c>
      <c r="C32" s="17" t="s">
        <v>22</v>
      </c>
      <c r="D32" s="16">
        <f>SUM(D33:D34)</f>
        <v>0</v>
      </c>
      <c r="E32" s="26"/>
      <c r="F32" s="19">
        <f>SUM(F33:F34)</f>
        <v>0</v>
      </c>
    </row>
    <row r="33" ht="14.5" spans="2:6">
      <c r="B33" s="29">
        <v>5.1</v>
      </c>
      <c r="C33" s="30" t="s">
        <v>23</v>
      </c>
      <c r="D33" s="31">
        <f>D10+D13+D16+D19+D22+D25+D28+D31</f>
        <v>0</v>
      </c>
      <c r="E33" s="23">
        <f>0.01</f>
        <v>0.01</v>
      </c>
      <c r="F33" s="32">
        <f>IF(D33="","",D33*E33)</f>
        <v>0</v>
      </c>
    </row>
    <row r="34" ht="14.5" spans="2:6">
      <c r="B34" s="29">
        <v>5.2</v>
      </c>
      <c r="C34" s="30" t="s">
        <v>24</v>
      </c>
      <c r="D34" s="31">
        <f>D9+D11+D12+D15+D17+D18+D21+D23+D24+D27+D29+D30</f>
        <v>0</v>
      </c>
      <c r="E34" s="23">
        <f>0.11</f>
        <v>0.11</v>
      </c>
      <c r="F34" s="33">
        <f>IF(D34="","",D34*E34)</f>
        <v>0</v>
      </c>
    </row>
    <row r="35" ht="14.5" spans="2:6">
      <c r="B35" s="34">
        <v>6</v>
      </c>
      <c r="C35" s="35" t="s">
        <v>25</v>
      </c>
      <c r="D35" s="34">
        <f>D8+D14+D20+D26</f>
        <v>0</v>
      </c>
      <c r="E35" s="36"/>
      <c r="F35" s="19">
        <f>F8+F14+F20+F26</f>
        <v>0</v>
      </c>
    </row>
    <row r="36" ht="14.5" spans="2:6">
      <c r="B36" s="37"/>
      <c r="C36" s="38" t="s">
        <v>26</v>
      </c>
      <c r="D36" s="39"/>
      <c r="E36" s="37"/>
      <c r="F36" s="40"/>
    </row>
    <row r="37" ht="14.5"/>
    <row r="38" ht="14.5" hidden="1"/>
    <row r="39" ht="14.5" hidden="1"/>
  </sheetData>
  <sheetProtection password="DE1B" sheet="1"/>
  <mergeCells count="5">
    <mergeCell ref="B2:F2"/>
    <mergeCell ref="C3:D3"/>
    <mergeCell ref="C4:D4"/>
    <mergeCell ref="C5:D5"/>
    <mergeCell ref="E3:F6"/>
  </mergeCells>
  <dataValidations count="1">
    <dataValidation type="whole" operator="greaterThanOrEqual" allowBlank="1" showInputMessage="1" showErrorMessage="1" sqref="D9:D13 D15:D19 D21:D25 D27:D31">
      <formula1>0</formula1>
    </dataValidation>
  </dataValidations>
  <pageMargins left="0.7" right="0.7" top="0.75" bottom="0.75" header="0.3" footer="0.3"/>
  <pageSetup paperSize="9" scale="62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SRR01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sayshri</cp:lastModifiedBy>
  <dcterms:created xsi:type="dcterms:W3CDTF">2020-08-16T09:15:00Z</dcterms:created>
  <dcterms:modified xsi:type="dcterms:W3CDTF">2024-02-23T07:21:41Z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iteId">
    <vt:lpwstr>fba6ee03-9647-4c58-86a3-db85ac6de45e</vt:lpwstr>
  </property>
  <property fmtid="{D5CDD505-2E9C-101B-9397-08002B2CF9AE}" pid="4" name="MSIP_Label_1d9e9404-3739-4dbf-9fa8-b6ae9df09a7a_Owner">
    <vt:lpwstr>feby.imthias@cbuae.gov.ae</vt:lpwstr>
  </property>
  <property fmtid="{D5CDD505-2E9C-101B-9397-08002B2CF9AE}" pid="5" name="MSIP_Label_1d9e9404-3739-4dbf-9fa8-b6ae9df09a7a_SetDate">
    <vt:lpwstr>2020-08-16T09:53:47.9247627Z</vt:lpwstr>
  </property>
  <property fmtid="{D5CDD505-2E9C-101B-9397-08002B2CF9AE}" pid="6" name="MSIP_Label_1d9e9404-3739-4dbf-9fa8-b6ae9df09a7a_Name">
    <vt:lpwstr>Restricted</vt:lpwstr>
  </property>
  <property fmtid="{D5CDD505-2E9C-101B-9397-08002B2CF9AE}" pid="7" name="MSIP_Label_1d9e9404-3739-4dbf-9fa8-b6ae9df09a7a_Application">
    <vt:lpwstr>Microsoft Azure Information Protection</vt:lpwstr>
  </property>
  <property fmtid="{D5CDD505-2E9C-101B-9397-08002B2CF9AE}" pid="8" name="MSIP_Label_1d9e9404-3739-4dbf-9fa8-b6ae9df09a7a_ActionId">
    <vt:lpwstr>c741118a-c656-4a29-b6d8-f01056f143f6</vt:lpwstr>
  </property>
  <property fmtid="{D5CDD505-2E9C-101B-9397-08002B2CF9AE}" pid="9" name="MSIP_Label_1d9e9404-3739-4dbf-9fa8-b6ae9df09a7a_Extended_MSFT_Method">
    <vt:lpwstr>Automatic</vt:lpwstr>
  </property>
  <property fmtid="{D5CDD505-2E9C-101B-9397-08002B2CF9AE}" pid="10" name="Sensitivity">
    <vt:lpwstr>Restricted</vt:lpwstr>
  </property>
  <property fmtid="{D5CDD505-2E9C-101B-9397-08002B2CF9AE}" pid="11" name="ICV">
    <vt:lpwstr>7EF947C6A7A64CFB9169394E8D9F265D_13</vt:lpwstr>
  </property>
  <property fmtid="{D5CDD505-2E9C-101B-9397-08002B2CF9AE}" pid="12" name="KSOProductBuildVer">
    <vt:lpwstr>1033-12.2.0.13431</vt:lpwstr>
  </property>
</Properties>
</file>