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37" sheetId="1" r:id="rId1"/>
  </sheets>
  <definedNames>
    <definedName name="_xlnm.Print_Area" localSheetId="0">'BRF 37'!$B$2:$K$153</definedName>
  </definedNames>
  <calcPr calcId="144525"/>
</workbook>
</file>

<file path=xl/sharedStrings.xml><?xml version="1.0" encoding="utf-8"?>
<sst xmlns="http://schemas.openxmlformats.org/spreadsheetml/2006/main" count="243" uniqueCount="167">
  <si>
    <t xml:space="preserve"> BANKING AND MONETARY STATISTICS- INTEREST PAID AND RECEIVED REPORT- BRF 37 (AED 000)</t>
  </si>
  <si>
    <t>ID:</t>
  </si>
  <si>
    <t>3-37-2-0</t>
  </si>
  <si>
    <t xml:space="preserve">Bank : </t>
  </si>
  <si>
    <t>Bank of Baroda</t>
  </si>
  <si>
    <t>As On:</t>
  </si>
  <si>
    <t>A.  INTEREST RATE-WISE DISTRIBUTION OF DEPOSITS (Excluding Interbank) AND LOANS</t>
  </si>
  <si>
    <t>SEGMENT-WISE DISTRIBUTION OF THE TOTAL AMOUNT</t>
  </si>
  <si>
    <t>Interest Rate Range  (% p.a.) (Actuals)</t>
  </si>
  <si>
    <t>AMOUNT</t>
  </si>
  <si>
    <t>Federal &amp; Emirates Govt &amp; Its Non Commercial Entities</t>
  </si>
  <si>
    <t>(Federal &amp; Emirates) Govt Commercial Entities (GRE)</t>
  </si>
  <si>
    <t>Private Corporates (including HNIs and NBFIs)</t>
  </si>
  <si>
    <t>SME</t>
  </si>
  <si>
    <t>Individuals</t>
  </si>
  <si>
    <t>Deposits</t>
  </si>
  <si>
    <t xml:space="preserve">In AED </t>
  </si>
  <si>
    <t>In FCY (AED Eq)</t>
  </si>
  <si>
    <t>TOTAL</t>
  </si>
  <si>
    <t>Private Corporates (incl HNIs and NBFIs)</t>
  </si>
  <si>
    <t>Demand Deposits</t>
  </si>
  <si>
    <t>1.1.1</t>
  </si>
  <si>
    <t>1.1.2</t>
  </si>
  <si>
    <t>Above 0 to less than 2</t>
  </si>
  <si>
    <t>1.1.3</t>
  </si>
  <si>
    <t>From 2 to less than 4</t>
  </si>
  <si>
    <t>1.1.4</t>
  </si>
  <si>
    <t>From 4 and above</t>
  </si>
  <si>
    <t>Time Deposits</t>
  </si>
  <si>
    <t>1.2.1</t>
  </si>
  <si>
    <t>Less than 2</t>
  </si>
  <si>
    <t>1.2.2</t>
  </si>
  <si>
    <t>1.2.3</t>
  </si>
  <si>
    <t>From 4 to less than 6</t>
  </si>
  <si>
    <t>1.2.4</t>
  </si>
  <si>
    <t>From 6 to less than 8</t>
  </si>
  <si>
    <t>1.2.5</t>
  </si>
  <si>
    <t>From 8 to less than 10</t>
  </si>
  <si>
    <t>1.2.6</t>
  </si>
  <si>
    <t>From 10 to less than 12</t>
  </si>
  <si>
    <t>1.2.7</t>
  </si>
  <si>
    <t>From 12 to less than 14</t>
  </si>
  <si>
    <t>1.2.8</t>
  </si>
  <si>
    <t>From 14 to less than 16</t>
  </si>
  <si>
    <t>1.2.9</t>
  </si>
  <si>
    <t>From 16 to less than 18</t>
  </si>
  <si>
    <t>1.2.10</t>
  </si>
  <si>
    <t>From 18 and over</t>
  </si>
  <si>
    <t>Savings Deposits</t>
  </si>
  <si>
    <t>1.3.1</t>
  </si>
  <si>
    <t>1.3.2</t>
  </si>
  <si>
    <t>1.3.3</t>
  </si>
  <si>
    <t>1.3.4</t>
  </si>
  <si>
    <t>From 6 and over</t>
  </si>
  <si>
    <t>Total Deposits</t>
  </si>
  <si>
    <t>Loans and Advances (excluding NPL and Credit Cards)</t>
  </si>
  <si>
    <t>Credit Card</t>
  </si>
  <si>
    <t>Less than 12</t>
  </si>
  <si>
    <t>From 12 to less than 15</t>
  </si>
  <si>
    <t>From 15 to less than 18</t>
  </si>
  <si>
    <t>From 18 to less than 24</t>
  </si>
  <si>
    <t>From 24 to less than 30</t>
  </si>
  <si>
    <t>From 30 to less than 36</t>
  </si>
  <si>
    <t>From 36 and over</t>
  </si>
  <si>
    <t>Non performing Loans</t>
  </si>
  <si>
    <t>Less than 10</t>
  </si>
  <si>
    <t>From 10 to less than 15</t>
  </si>
  <si>
    <t>From 15 and over</t>
  </si>
  <si>
    <t>B.  PERIOD-WISE DISTRIBUTION OF DEPOSIT RATES (prevailing simple average rates decimals p.a.)</t>
  </si>
  <si>
    <t>Corporates (including Govt, HNIs, SMEs &amp; NBFIs)</t>
  </si>
  <si>
    <t>Minimum Rate</t>
  </si>
  <si>
    <t>Maximum Rate</t>
  </si>
  <si>
    <t>Average Rate</t>
  </si>
  <si>
    <t>Fixed Deposits rate :</t>
  </si>
  <si>
    <t>Upto 7 days</t>
  </si>
  <si>
    <t>from 8 to 30 days</t>
  </si>
  <si>
    <t>From 1 month to 2 months</t>
  </si>
  <si>
    <t>From 2 month to 3 months</t>
  </si>
  <si>
    <t>From 3 months to 6 months</t>
  </si>
  <si>
    <t>From 6 months to 1 year</t>
  </si>
  <si>
    <t>Over 1 year</t>
  </si>
  <si>
    <t>Savings Deposits rate</t>
  </si>
  <si>
    <t>Call Deposits (average rate)</t>
  </si>
  <si>
    <t>Current Accounts</t>
  </si>
  <si>
    <t>C.  PERIOD-WISE DISTRIBUTION OF DEPOSIT RATES (prevailing simple average rates decimals p.a.)</t>
  </si>
  <si>
    <t>Floating Deposits rate :</t>
  </si>
  <si>
    <t xml:space="preserve">D. PERIOD-WISE DISTRIBUTION OF INTEREST RATES ON INTERBANK DEPOSITS (in decimals) </t>
  </si>
  <si>
    <t>Minimum rate</t>
  </si>
  <si>
    <t>Maximum rate</t>
  </si>
  <si>
    <t>Average rate</t>
  </si>
  <si>
    <t>1 Week</t>
  </si>
  <si>
    <t>1 Month</t>
  </si>
  <si>
    <t>3 Months</t>
  </si>
  <si>
    <t>6 Months</t>
  </si>
  <si>
    <t>1 Year</t>
  </si>
  <si>
    <t xml:space="preserve">E.  INTEREST RATES CHARGED ON PERSONAL LOANS (decimal p.a.) </t>
  </si>
  <si>
    <t>Interest / profit on Personal Loan (p.a.)</t>
  </si>
  <si>
    <t>Interest / profit on Personal Loan (p.a.) within different buckets</t>
  </si>
  <si>
    <t>Upto AED 50k</t>
  </si>
  <si>
    <t>from AED 51k to AED 100k</t>
  </si>
  <si>
    <t>from AED 101k to AED 200k</t>
  </si>
  <si>
    <t>above AED 200k</t>
  </si>
  <si>
    <t>Interest / Profit on Car Loan (p.a.)</t>
  </si>
  <si>
    <t>Interest / profit on Car Loan (p.a.) within different buckets</t>
  </si>
  <si>
    <t>2.1.1</t>
  </si>
  <si>
    <t>2.1.2</t>
  </si>
  <si>
    <t>2.1.3</t>
  </si>
  <si>
    <t>2.1.4</t>
  </si>
  <si>
    <t>Interest / Profit on Overdraft (p.a.)</t>
  </si>
  <si>
    <t>Interest / profit on Overdraft (p.a.) within different buckets</t>
  </si>
  <si>
    <t>3.1.1</t>
  </si>
  <si>
    <t>Upto  AED 30k</t>
  </si>
  <si>
    <t>3.1.2</t>
  </si>
  <si>
    <t>from AED 31k to AED 50k</t>
  </si>
  <si>
    <t>3.1.3</t>
  </si>
  <si>
    <t>3.1.4</t>
  </si>
  <si>
    <t>above AED 100k</t>
  </si>
  <si>
    <t>Interest / Profit on unpaid balances on Credit Card (p.a.)</t>
  </si>
  <si>
    <t>Interest / profit on Credit Loan (p.a.) within different buckets</t>
  </si>
  <si>
    <t>4.1.2</t>
  </si>
  <si>
    <t>Upto AED 30k</t>
  </si>
  <si>
    <t>4.1.3</t>
  </si>
  <si>
    <t>4.1.4</t>
  </si>
  <si>
    <t>Interest / Profit on Refinanced Govt Housing loans (p.a.)</t>
  </si>
  <si>
    <t>Interest / profit on Refinanced Govt Housing loans (p.a.) within different buckets</t>
  </si>
  <si>
    <t>5.1.1</t>
  </si>
  <si>
    <t>Upto AED 500k</t>
  </si>
  <si>
    <t>5.1.2</t>
  </si>
  <si>
    <t>from AED 500k to AED 1m</t>
  </si>
  <si>
    <t>5.1.3</t>
  </si>
  <si>
    <t>from AED 1m to AED 5m</t>
  </si>
  <si>
    <t>5.1.4</t>
  </si>
  <si>
    <t>above AED 5m</t>
  </si>
  <si>
    <t>Interest / Profit on Other Real Estate/ Housing loans (p.a.)</t>
  </si>
  <si>
    <t>6.1.1</t>
  </si>
  <si>
    <t>6.1.2</t>
  </si>
  <si>
    <t>6.1.3</t>
  </si>
  <si>
    <t>6.1.4</t>
  </si>
  <si>
    <t>Interest / profit on Loans against shares to individuals (p.a.)</t>
  </si>
  <si>
    <t>7.1.1</t>
  </si>
  <si>
    <t>7.1.2</t>
  </si>
  <si>
    <t>7.1.3</t>
  </si>
  <si>
    <t>7.1.4</t>
  </si>
  <si>
    <t>Interest / profit on Other loans to individuals (p.a.)</t>
  </si>
  <si>
    <t>8.1.1</t>
  </si>
  <si>
    <t>8.1.2</t>
  </si>
  <si>
    <t>8.1.3</t>
  </si>
  <si>
    <t>8.1.4</t>
  </si>
  <si>
    <t>Interest / profit on Small business loans (upto AED 2 Million) (p.a.)</t>
  </si>
  <si>
    <t>Interest / profit on Small business loans (upto AED 2 million) (p.a.)</t>
  </si>
  <si>
    <t>9.1.1</t>
  </si>
  <si>
    <t>9.1.2</t>
  </si>
  <si>
    <t>9.1.3</t>
  </si>
  <si>
    <t>9.1.4</t>
  </si>
  <si>
    <t xml:space="preserve">F.  INTEREST RATES CHARGED ON CORPORATE ADVANCES (decimal p.a.) </t>
  </si>
  <si>
    <t>SEGMENT-WISE DISTRIBUTION OF INTEREST RATES (p.a. in decimals)</t>
  </si>
  <si>
    <t>Federal &amp; Emirates Govt Commercial Entities (GRE)</t>
  </si>
  <si>
    <t>SMEs</t>
  </si>
  <si>
    <t>Overdrafts</t>
  </si>
  <si>
    <t>Trade Bills</t>
  </si>
  <si>
    <t>Term Loans</t>
  </si>
  <si>
    <t>Real estate Loans</t>
  </si>
  <si>
    <t>Trust receipts / LAI</t>
  </si>
  <si>
    <t>Syndicated Loans</t>
  </si>
  <si>
    <t>Discount rates against trade bills</t>
  </si>
  <si>
    <r>
      <t xml:space="preserve">Note:  1.  Refer to Para </t>
    </r>
    <r>
      <rPr>
        <sz val="8"/>
        <color indexed="10"/>
        <rFont val="Arial"/>
        <family val="2"/>
        <charset val="0"/>
      </rPr>
      <t>2.5</t>
    </r>
    <r>
      <rPr>
        <sz val="8"/>
        <color indexed="8"/>
        <rFont val="Arial"/>
        <family val="2"/>
        <charset val="0"/>
      </rPr>
      <t xml:space="preserve"> under Definitions given in the Explanatory Notes for fixed and floating interest rates.  2.  Margin deposits will be shown under current, savings or time deposit depending upon their tenure. </t>
    </r>
    <r>
      <rPr>
        <sz val="8"/>
        <rFont val="Arial"/>
        <family val="2"/>
        <charset val="0"/>
      </rPr>
      <t>4. Items under B,C, E &amp; F are interest rates offered to the public as on date also known as "card rate".</t>
    </r>
  </si>
  <si>
    <t>FORM NO: BSD/BRF 37- INT PAID/RECD/NOV 18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</si>
</sst>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"/>
    <numFmt numFmtId="177" formatCode="#,##0.0000"/>
    <numFmt numFmtId="178" formatCode="#,##0.0"/>
  </numFmts>
  <fonts count="25">
    <font>
      <sz val="11"/>
      <color theme="1"/>
      <name val="Calibri"/>
      <family val="2"/>
      <charset val="0"/>
      <scheme val="minor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8"/>
      <color indexed="10"/>
      <name val="Arial"/>
      <family val="2"/>
      <charset val="0"/>
    </font>
    <font>
      <sz val="8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3" applyNumberFormat="0" applyFill="0" applyAlignment="0" applyProtection="0"/>
    <xf numFmtId="0" fontId="11" fillId="0" borderId="24" applyNumberFormat="0" applyFill="0" applyAlignment="0" applyProtection="0"/>
    <xf numFmtId="0" fontId="12" fillId="0" borderId="25" applyNumberFormat="0" applyFill="0" applyAlignment="0" applyProtection="0"/>
    <xf numFmtId="0" fontId="12" fillId="0" borderId="0" applyNumberFormat="0" applyFill="0" applyBorder="0" applyAlignment="0" applyProtection="0"/>
    <xf numFmtId="0" fontId="13" fillId="8" borderId="26" applyNumberFormat="0" applyAlignment="0" applyProtection="0"/>
    <xf numFmtId="0" fontId="14" fillId="9" borderId="27" applyNumberFormat="0" applyAlignment="0" applyProtection="0"/>
    <xf numFmtId="0" fontId="15" fillId="9" borderId="26" applyNumberFormat="0" applyAlignment="0" applyProtection="0"/>
    <xf numFmtId="0" fontId="16" fillId="10" borderId="28" applyNumberFormat="0" applyAlignment="0" applyProtection="0"/>
    <xf numFmtId="0" fontId="17" fillId="0" borderId="29" applyNumberFormat="0" applyFill="0" applyAlignment="0" applyProtection="0"/>
    <xf numFmtId="0" fontId="18" fillId="0" borderId="30" applyNumberFormat="0" applyFill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2" fillId="37" borderId="0" applyNumberFormat="0" applyBorder="0" applyAlignment="0" applyProtection="0"/>
  </cellStyleXfs>
  <cellXfs count="8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0" fontId="3" fillId="2" borderId="3" xfId="0" applyFont="1" applyFill="1" applyBorder="1"/>
    <xf numFmtId="0" fontId="2" fillId="4" borderId="7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right" wrapText="1"/>
    </xf>
    <xf numFmtId="177" fontId="2" fillId="3" borderId="1" xfId="0" applyNumberFormat="1" applyFont="1" applyFill="1" applyBorder="1" applyAlignment="1">
      <alignment horizontal="right" wrapText="1"/>
    </xf>
    <xf numFmtId="3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left" wrapText="1"/>
    </xf>
    <xf numFmtId="177" fontId="2" fillId="4" borderId="1" xfId="0" applyNumberFormat="1" applyFont="1" applyFill="1" applyBorder="1" applyAlignment="1" applyProtection="1">
      <alignment horizontal="right" wrapText="1"/>
      <protection locked="0"/>
    </xf>
    <xf numFmtId="3" fontId="4" fillId="3" borderId="1" xfId="0" applyNumberFormat="1" applyFont="1" applyFill="1" applyBorder="1" applyAlignment="1">
      <alignment horizontal="right" vertical="center" wrapText="1"/>
    </xf>
    <xf numFmtId="176" fontId="2" fillId="4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77" fontId="4" fillId="5" borderId="7" xfId="0" applyNumberFormat="1" applyFont="1" applyFill="1" applyBorder="1" applyAlignment="1">
      <alignment horizontal="center" vertical="center" wrapText="1"/>
    </xf>
    <xf numFmtId="177" fontId="4" fillId="5" borderId="8" xfId="0" applyNumberFormat="1" applyFont="1" applyFill="1" applyBorder="1" applyAlignment="1">
      <alignment horizontal="center" vertical="center" wrapText="1"/>
    </xf>
    <xf numFmtId="177" fontId="4" fillId="5" borderId="10" xfId="0" applyNumberFormat="1" applyFont="1" applyFill="1" applyBorder="1" applyAlignment="1">
      <alignment horizontal="center" vertical="center" wrapText="1"/>
    </xf>
    <xf numFmtId="177" fontId="4" fillId="5" borderId="2" xfId="0" applyNumberFormat="1" applyFont="1" applyFill="1" applyBorder="1" applyAlignment="1">
      <alignment horizontal="center" vertical="center" wrapText="1"/>
    </xf>
    <xf numFmtId="177" fontId="4" fillId="5" borderId="11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wrapText="1"/>
    </xf>
    <xf numFmtId="3" fontId="2" fillId="2" borderId="12" xfId="0" applyNumberFormat="1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left" wrapText="1"/>
    </xf>
    <xf numFmtId="177" fontId="2" fillId="2" borderId="13" xfId="0" applyNumberFormat="1" applyFont="1" applyFill="1" applyBorder="1" applyAlignment="1" applyProtection="1">
      <alignment horizontal="right" wrapText="1"/>
      <protection locked="0"/>
    </xf>
    <xf numFmtId="176" fontId="2" fillId="2" borderId="13" xfId="0" applyNumberFormat="1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177" fontId="4" fillId="5" borderId="3" xfId="0" applyNumberFormat="1" applyFont="1" applyFill="1" applyBorder="1" applyAlignment="1">
      <alignment horizontal="center" vertical="center" wrapText="1"/>
    </xf>
    <xf numFmtId="177" fontId="2" fillId="6" borderId="15" xfId="0" applyNumberFormat="1" applyFont="1" applyFill="1" applyBorder="1" applyAlignment="1">
      <alignment horizontal="left" wrapText="1"/>
    </xf>
    <xf numFmtId="177" fontId="2" fillId="6" borderId="1" xfId="0" applyNumberFormat="1" applyFont="1" applyFill="1" applyBorder="1" applyAlignment="1">
      <alignment horizontal="left" wrapText="1"/>
    </xf>
    <xf numFmtId="177" fontId="2" fillId="6" borderId="13" xfId="0" applyNumberFormat="1" applyFont="1" applyFill="1" applyBorder="1" applyAlignment="1">
      <alignment horizontal="left" wrapText="1"/>
    </xf>
    <xf numFmtId="176" fontId="2" fillId="2" borderId="15" xfId="0" applyNumberFormat="1" applyFont="1" applyFill="1" applyBorder="1" applyAlignment="1">
      <alignment horizontal="right" wrapText="1"/>
    </xf>
    <xf numFmtId="0" fontId="2" fillId="2" borderId="15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177" fontId="2" fillId="2" borderId="1" xfId="0" applyNumberFormat="1" applyFont="1" applyFill="1" applyBorder="1" applyAlignment="1" applyProtection="1">
      <alignment horizontal="right" wrapText="1"/>
      <protection locked="0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177" fontId="4" fillId="5" borderId="12" xfId="0" applyNumberFormat="1" applyFont="1" applyFill="1" applyBorder="1" applyAlignment="1">
      <alignment horizontal="left" vertical="center" wrapText="1"/>
    </xf>
    <xf numFmtId="177" fontId="2" fillId="6" borderId="5" xfId="0" applyNumberFormat="1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left" vertical="center" wrapText="1"/>
    </xf>
    <xf numFmtId="177" fontId="2" fillId="2" borderId="13" xfId="0" applyNumberFormat="1" applyFont="1" applyFill="1" applyBorder="1" applyAlignment="1" applyProtection="1">
      <alignment horizontal="right" vertical="center" wrapText="1"/>
      <protection locked="0"/>
    </xf>
    <xf numFmtId="177" fontId="2" fillId="6" borderId="0" xfId="0" applyNumberFormat="1" applyFont="1" applyFill="1" applyBorder="1" applyAlignment="1">
      <alignment horizont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177" fontId="4" fillId="5" borderId="13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20" xfId="0" applyFont="1" applyFill="1" applyBorder="1" applyAlignment="1">
      <alignment wrapText="1"/>
    </xf>
    <xf numFmtId="177" fontId="2" fillId="2" borderId="20" xfId="0" applyNumberFormat="1" applyFont="1" applyFill="1" applyBorder="1" applyAlignment="1" applyProtection="1">
      <alignment wrapText="1"/>
      <protection locked="0"/>
    </xf>
    <xf numFmtId="178" fontId="4" fillId="2" borderId="1" xfId="0" applyNumberFormat="1" applyFont="1" applyFill="1" applyBorder="1" applyAlignment="1">
      <alignment horizontal="right" wrapText="1"/>
    </xf>
    <xf numFmtId="0" fontId="4" fillId="2" borderId="15" xfId="0" applyFont="1" applyFill="1" applyBorder="1" applyAlignment="1">
      <alignment horizontal="left" wrapText="1"/>
    </xf>
    <xf numFmtId="176" fontId="2" fillId="2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177" fontId="2" fillId="2" borderId="1" xfId="0" applyNumberFormat="1" applyFont="1" applyFill="1" applyBorder="1" applyAlignment="1" applyProtection="1">
      <alignment wrapText="1"/>
      <protection locked="0"/>
    </xf>
    <xf numFmtId="0" fontId="4" fillId="2" borderId="1" xfId="0" applyFont="1" applyFill="1" applyBorder="1" applyAlignment="1">
      <alignment vertical="top" wrapText="1"/>
    </xf>
    <xf numFmtId="3" fontId="4" fillId="2" borderId="2" xfId="0" applyNumberFormat="1" applyFont="1" applyFill="1" applyBorder="1" applyAlignment="1">
      <alignment horizontal="right" wrapText="1"/>
    </xf>
    <xf numFmtId="0" fontId="4" fillId="2" borderId="13" xfId="0" applyFont="1" applyFill="1" applyBorder="1" applyAlignment="1">
      <alignment wrapText="1"/>
    </xf>
    <xf numFmtId="177" fontId="2" fillId="6" borderId="9" xfId="0" applyNumberFormat="1" applyFont="1" applyFill="1" applyBorder="1" applyAlignment="1">
      <alignment horizontal="center" wrapText="1"/>
    </xf>
    <xf numFmtId="177" fontId="2" fillId="6" borderId="14" xfId="0" applyNumberFormat="1" applyFont="1" applyFill="1" applyBorder="1" applyAlignment="1">
      <alignment horizontal="center" wrapText="1"/>
    </xf>
    <xf numFmtId="177" fontId="2" fillId="6" borderId="8" xfId="0" applyNumberFormat="1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left" wrapText="1"/>
    </xf>
    <xf numFmtId="177" fontId="2" fillId="5" borderId="1" xfId="0" applyNumberFormat="1" applyFont="1" applyFill="1" applyBorder="1" applyAlignment="1" applyProtection="1">
      <alignment horizontal="right" wrapText="1"/>
      <protection locked="0"/>
    </xf>
    <xf numFmtId="177" fontId="2" fillId="6" borderId="10" xfId="0" applyNumberFormat="1" applyFont="1" applyFill="1" applyBorder="1" applyAlignment="1">
      <alignment horizontal="center" wrapText="1"/>
    </xf>
    <xf numFmtId="177" fontId="4" fillId="6" borderId="12" xfId="0" applyNumberFormat="1" applyFont="1" applyFill="1" applyBorder="1" applyAlignment="1">
      <alignment horizontal="center" vertical="center" wrapText="1"/>
    </xf>
    <xf numFmtId="177" fontId="4" fillId="6" borderId="21" xfId="0" applyNumberFormat="1" applyFont="1" applyFill="1" applyBorder="1" applyAlignment="1">
      <alignment horizontal="center" vertical="center" wrapText="1"/>
    </xf>
    <xf numFmtId="177" fontId="4" fillId="6" borderId="15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FFFF00"/>
      <color rgb="00BFBFBF"/>
      <color rgb="00D9D9D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155"/>
  <sheetViews>
    <sheetView showGridLines="0" tabSelected="1" zoomScaleSheetLayoutView="60" topLeftCell="A130" workbookViewId="0">
      <selection activeCell="D146" sqref="D146"/>
    </sheetView>
  </sheetViews>
  <sheetFormatPr defaultColWidth="0" defaultRowHeight="15" zeroHeight="1"/>
  <cols>
    <col min="1" max="1" width="4.28181818181818" customWidth="1"/>
    <col min="2" max="2" width="12.5727272727273" customWidth="1"/>
    <col min="3" max="3" width="30.8545454545455" customWidth="1"/>
    <col min="4" max="11" width="15.7090909090909" customWidth="1"/>
    <col min="12" max="12" width="9.13636363636364" customWidth="1"/>
    <col min="13" max="16384" width="0" hidden="1"/>
  </cols>
  <sheetData>
    <row r="1" ht="14.5"/>
    <row r="2" ht="14.5" spans="2:1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ht="14.5" spans="2:11">
      <c r="B3" s="3" t="s">
        <v>1</v>
      </c>
      <c r="C3" s="4" t="s">
        <v>2</v>
      </c>
      <c r="D3" s="5"/>
      <c r="E3" s="6"/>
      <c r="F3" s="7"/>
      <c r="G3" s="7"/>
      <c r="H3" s="7"/>
      <c r="I3" s="7"/>
      <c r="J3" s="7"/>
      <c r="K3" s="41"/>
    </row>
    <row r="4" ht="14.5" spans="2:11">
      <c r="B4" s="3" t="s">
        <v>3</v>
      </c>
      <c r="C4" s="4" t="s">
        <v>4</v>
      </c>
      <c r="D4" s="5"/>
      <c r="E4" s="8"/>
      <c r="F4" s="9"/>
      <c r="G4" s="9"/>
      <c r="H4" s="9"/>
      <c r="I4" s="9"/>
      <c r="J4" s="9"/>
      <c r="K4" s="42"/>
    </row>
    <row r="5" ht="14.5" spans="2:11">
      <c r="B5" s="3" t="s">
        <v>5</v>
      </c>
      <c r="C5" s="4"/>
      <c r="D5" s="5"/>
      <c r="E5" s="8"/>
      <c r="F5" s="9"/>
      <c r="G5" s="9"/>
      <c r="H5" s="9"/>
      <c r="I5" s="9"/>
      <c r="J5" s="9"/>
      <c r="K5" s="42"/>
    </row>
    <row r="6" ht="14.5" spans="2:11">
      <c r="B6" s="2"/>
      <c r="C6" s="10"/>
      <c r="D6" s="11"/>
      <c r="E6" s="12"/>
      <c r="F6" s="13"/>
      <c r="G6" s="13"/>
      <c r="H6" s="13"/>
      <c r="I6" s="13"/>
      <c r="J6" s="13"/>
      <c r="K6" s="43"/>
    </row>
    <row r="7" ht="14.5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ht="14.5" spans="2:11">
      <c r="B8" s="14" t="s">
        <v>6</v>
      </c>
      <c r="C8" s="14"/>
      <c r="D8" s="14"/>
      <c r="E8" s="14"/>
      <c r="F8" s="14"/>
      <c r="G8" s="15" t="s">
        <v>7</v>
      </c>
      <c r="H8" s="15"/>
      <c r="I8" s="15"/>
      <c r="J8" s="15"/>
      <c r="K8" s="15"/>
    </row>
    <row r="9" ht="14.5" spans="2:11">
      <c r="B9" s="15" t="s">
        <v>8</v>
      </c>
      <c r="C9" s="15"/>
      <c r="D9" s="15" t="s">
        <v>9</v>
      </c>
      <c r="E9" s="15"/>
      <c r="F9" s="15"/>
      <c r="G9" s="15" t="s">
        <v>10</v>
      </c>
      <c r="H9" s="15" t="s">
        <v>11</v>
      </c>
      <c r="I9" s="15" t="s">
        <v>12</v>
      </c>
      <c r="J9" s="15" t="s">
        <v>13</v>
      </c>
      <c r="K9" s="15" t="s">
        <v>14</v>
      </c>
    </row>
    <row r="10" ht="14.5" spans="2:11">
      <c r="B10" s="16">
        <v>1</v>
      </c>
      <c r="C10" s="14" t="s">
        <v>15</v>
      </c>
      <c r="D10" s="15" t="s">
        <v>16</v>
      </c>
      <c r="E10" s="15" t="s">
        <v>17</v>
      </c>
      <c r="F10" s="15" t="s">
        <v>18</v>
      </c>
      <c r="G10" s="15"/>
      <c r="H10" s="15"/>
      <c r="I10" s="15" t="s">
        <v>19</v>
      </c>
      <c r="J10" s="15"/>
      <c r="K10" s="15"/>
    </row>
    <row r="11" ht="14.5" spans="2:11">
      <c r="B11" s="17">
        <v>1.1</v>
      </c>
      <c r="C11" s="3" t="s">
        <v>20</v>
      </c>
      <c r="D11" s="18">
        <f t="shared" ref="D11:K11" si="0">SUM(D12:D15)</f>
        <v>0</v>
      </c>
      <c r="E11" s="18">
        <f t="shared" si="0"/>
        <v>0</v>
      </c>
      <c r="F11" s="18">
        <f t="shared" si="0"/>
        <v>0</v>
      </c>
      <c r="G11" s="18">
        <f t="shared" si="0"/>
        <v>0</v>
      </c>
      <c r="H11" s="18">
        <f t="shared" si="0"/>
        <v>0</v>
      </c>
      <c r="I11" s="18">
        <f t="shared" si="0"/>
        <v>0</v>
      </c>
      <c r="J11" s="18">
        <f t="shared" si="0"/>
        <v>0</v>
      </c>
      <c r="K11" s="18">
        <f t="shared" si="0"/>
        <v>0</v>
      </c>
    </row>
    <row r="12" ht="14.5" spans="2:11">
      <c r="B12" s="19" t="s">
        <v>21</v>
      </c>
      <c r="C12" s="20">
        <v>0</v>
      </c>
      <c r="D12" s="21">
        <v>0</v>
      </c>
      <c r="E12" s="21">
        <v>0</v>
      </c>
      <c r="F12" s="18">
        <f>+D12+E12</f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</row>
    <row r="13" ht="14.5" spans="2:11">
      <c r="B13" s="19" t="s">
        <v>22</v>
      </c>
      <c r="C13" s="20" t="s">
        <v>23</v>
      </c>
      <c r="D13" s="21">
        <v>0</v>
      </c>
      <c r="E13" s="21">
        <v>0</v>
      </c>
      <c r="F13" s="18">
        <f>+D13+E13</f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</row>
    <row r="14" ht="14.5" spans="2:11">
      <c r="B14" s="19" t="s">
        <v>24</v>
      </c>
      <c r="C14" s="20" t="s">
        <v>25</v>
      </c>
      <c r="D14" s="21">
        <v>0</v>
      </c>
      <c r="E14" s="21">
        <v>0</v>
      </c>
      <c r="F14" s="18">
        <f>+D14+E14</f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</row>
    <row r="15" ht="14.5" spans="2:11">
      <c r="B15" s="19" t="s">
        <v>26</v>
      </c>
      <c r="C15" s="20" t="s">
        <v>27</v>
      </c>
      <c r="D15" s="21">
        <v>0</v>
      </c>
      <c r="E15" s="21">
        <v>0</v>
      </c>
      <c r="F15" s="18">
        <f>+D15+E15</f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</row>
    <row r="16" ht="14.5" spans="2:11">
      <c r="B16" s="17">
        <v>1.2</v>
      </c>
      <c r="C16" s="3" t="s">
        <v>28</v>
      </c>
      <c r="D16" s="18">
        <f t="shared" ref="D16:K16" si="1">SUM(D17:D26)</f>
        <v>0</v>
      </c>
      <c r="E16" s="18">
        <f t="shared" si="1"/>
        <v>0</v>
      </c>
      <c r="F16" s="18">
        <f t="shared" si="1"/>
        <v>0</v>
      </c>
      <c r="G16" s="18">
        <f t="shared" si="1"/>
        <v>0</v>
      </c>
      <c r="H16" s="18">
        <f t="shared" si="1"/>
        <v>0</v>
      </c>
      <c r="I16" s="18">
        <f t="shared" si="1"/>
        <v>0</v>
      </c>
      <c r="J16" s="18">
        <f t="shared" si="1"/>
        <v>0</v>
      </c>
      <c r="K16" s="18">
        <f t="shared" si="1"/>
        <v>0</v>
      </c>
    </row>
    <row r="17" ht="14.5" spans="2:11">
      <c r="B17" s="19" t="s">
        <v>29</v>
      </c>
      <c r="C17" s="20" t="s">
        <v>30</v>
      </c>
      <c r="D17" s="21">
        <v>0</v>
      </c>
      <c r="E17" s="21">
        <v>0</v>
      </c>
      <c r="F17" s="18">
        <f t="shared" ref="F17:F26" si="2">+D17+E17</f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</row>
    <row r="18" ht="14.5" spans="2:11">
      <c r="B18" s="19" t="s">
        <v>31</v>
      </c>
      <c r="C18" s="20" t="s">
        <v>25</v>
      </c>
      <c r="D18" s="21">
        <v>0</v>
      </c>
      <c r="E18" s="21">
        <v>0</v>
      </c>
      <c r="F18" s="18">
        <f t="shared" si="2"/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</row>
    <row r="19" ht="14.5" spans="2:11">
      <c r="B19" s="19" t="s">
        <v>32</v>
      </c>
      <c r="C19" s="20" t="s">
        <v>33</v>
      </c>
      <c r="D19" s="21">
        <v>0</v>
      </c>
      <c r="E19" s="21">
        <v>0</v>
      </c>
      <c r="F19" s="18">
        <f t="shared" si="2"/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</row>
    <row r="20" ht="14.5" spans="2:11">
      <c r="B20" s="19" t="s">
        <v>34</v>
      </c>
      <c r="C20" s="20" t="s">
        <v>35</v>
      </c>
      <c r="D20" s="21">
        <v>0</v>
      </c>
      <c r="E20" s="21">
        <v>0</v>
      </c>
      <c r="F20" s="18">
        <f t="shared" si="2"/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</row>
    <row r="21" ht="14.5" spans="2:11">
      <c r="B21" s="19" t="s">
        <v>36</v>
      </c>
      <c r="C21" s="20" t="s">
        <v>37</v>
      </c>
      <c r="D21" s="21">
        <v>0</v>
      </c>
      <c r="E21" s="21">
        <v>0</v>
      </c>
      <c r="F21" s="18">
        <f t="shared" si="2"/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</row>
    <row r="22" ht="14.5" spans="2:11">
      <c r="B22" s="19" t="s">
        <v>38</v>
      </c>
      <c r="C22" s="20" t="s">
        <v>39</v>
      </c>
      <c r="D22" s="21">
        <v>0</v>
      </c>
      <c r="E22" s="21">
        <v>0</v>
      </c>
      <c r="F22" s="18">
        <f t="shared" si="2"/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</row>
    <row r="23" ht="14.5" spans="2:11">
      <c r="B23" s="19" t="s">
        <v>40</v>
      </c>
      <c r="C23" s="20" t="s">
        <v>41</v>
      </c>
      <c r="D23" s="21">
        <v>0</v>
      </c>
      <c r="E23" s="21">
        <v>0</v>
      </c>
      <c r="F23" s="18">
        <f t="shared" si="2"/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</row>
    <row r="24" ht="14.5" spans="2:11">
      <c r="B24" s="19" t="s">
        <v>42</v>
      </c>
      <c r="C24" s="20" t="s">
        <v>43</v>
      </c>
      <c r="D24" s="21">
        <v>0</v>
      </c>
      <c r="E24" s="21">
        <v>0</v>
      </c>
      <c r="F24" s="18">
        <f t="shared" si="2"/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</row>
    <row r="25" ht="14.5" spans="2:11">
      <c r="B25" s="19" t="s">
        <v>44</v>
      </c>
      <c r="C25" s="20" t="s">
        <v>45</v>
      </c>
      <c r="D25" s="21">
        <v>0</v>
      </c>
      <c r="E25" s="21">
        <v>0</v>
      </c>
      <c r="F25" s="18">
        <f t="shared" si="2"/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</row>
    <row r="26" ht="14.5" spans="2:11">
      <c r="B26" s="19" t="s">
        <v>46</v>
      </c>
      <c r="C26" s="20" t="s">
        <v>47</v>
      </c>
      <c r="D26" s="21">
        <v>0</v>
      </c>
      <c r="E26" s="21">
        <v>0</v>
      </c>
      <c r="F26" s="18">
        <f t="shared" si="2"/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</row>
    <row r="27" ht="14.5" spans="2:11">
      <c r="B27" s="17">
        <v>1.3</v>
      </c>
      <c r="C27" s="3" t="s">
        <v>48</v>
      </c>
      <c r="D27" s="18">
        <f t="shared" ref="D27:K27" si="3">SUM(D28:D31)</f>
        <v>0</v>
      </c>
      <c r="E27" s="18">
        <f t="shared" si="3"/>
        <v>0</v>
      </c>
      <c r="F27" s="18">
        <f t="shared" si="3"/>
        <v>0</v>
      </c>
      <c r="G27" s="18">
        <f t="shared" si="3"/>
        <v>0</v>
      </c>
      <c r="H27" s="18">
        <f t="shared" si="3"/>
        <v>0</v>
      </c>
      <c r="I27" s="18">
        <f t="shared" si="3"/>
        <v>0</v>
      </c>
      <c r="J27" s="18">
        <f t="shared" si="3"/>
        <v>0</v>
      </c>
      <c r="K27" s="18">
        <f t="shared" si="3"/>
        <v>0</v>
      </c>
    </row>
    <row r="28" ht="14.5" spans="2:11">
      <c r="B28" s="19" t="s">
        <v>49</v>
      </c>
      <c r="C28" s="20" t="s">
        <v>30</v>
      </c>
      <c r="D28" s="21">
        <v>0</v>
      </c>
      <c r="E28" s="21">
        <v>0</v>
      </c>
      <c r="F28" s="18">
        <f>+D28+E28</f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</row>
    <row r="29" ht="14.5" spans="2:11">
      <c r="B29" s="19" t="s">
        <v>50</v>
      </c>
      <c r="C29" s="20" t="s">
        <v>25</v>
      </c>
      <c r="D29" s="21">
        <v>0</v>
      </c>
      <c r="E29" s="21">
        <v>0</v>
      </c>
      <c r="F29" s="18">
        <f>+D29+E29</f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</row>
    <row r="30" ht="14.5" spans="2:11">
      <c r="B30" s="19" t="s">
        <v>51</v>
      </c>
      <c r="C30" s="20" t="s">
        <v>33</v>
      </c>
      <c r="D30" s="21">
        <v>0</v>
      </c>
      <c r="E30" s="21">
        <v>0</v>
      </c>
      <c r="F30" s="18">
        <f>+D30+E30</f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</row>
    <row r="31" ht="14.5" spans="2:11">
      <c r="B31" s="19" t="s">
        <v>52</v>
      </c>
      <c r="C31" s="20" t="s">
        <v>53</v>
      </c>
      <c r="D31" s="21">
        <v>0</v>
      </c>
      <c r="E31" s="21">
        <v>0</v>
      </c>
      <c r="F31" s="18">
        <f>+D31+E31</f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</row>
    <row r="32" ht="14.5" spans="2:11">
      <c r="B32" s="17">
        <v>1.4</v>
      </c>
      <c r="C32" s="3" t="s">
        <v>54</v>
      </c>
      <c r="D32" s="18">
        <f t="shared" ref="D32:K32" si="4">+D27+D16+D11</f>
        <v>0</v>
      </c>
      <c r="E32" s="18">
        <f t="shared" si="4"/>
        <v>0</v>
      </c>
      <c r="F32" s="18">
        <f t="shared" si="4"/>
        <v>0</v>
      </c>
      <c r="G32" s="18">
        <f t="shared" si="4"/>
        <v>0</v>
      </c>
      <c r="H32" s="18">
        <f t="shared" si="4"/>
        <v>0</v>
      </c>
      <c r="I32" s="18">
        <f t="shared" si="4"/>
        <v>0</v>
      </c>
      <c r="J32" s="18">
        <f t="shared" si="4"/>
        <v>0</v>
      </c>
      <c r="K32" s="18">
        <f t="shared" si="4"/>
        <v>0</v>
      </c>
    </row>
    <row r="33" ht="21" spans="2:11">
      <c r="B33" s="22">
        <v>2</v>
      </c>
      <c r="C33" s="14" t="s">
        <v>55</v>
      </c>
      <c r="D33" s="18">
        <f t="shared" ref="D33:K33" si="5">SUM(D34:D43)</f>
        <v>0</v>
      </c>
      <c r="E33" s="18">
        <f t="shared" si="5"/>
        <v>0</v>
      </c>
      <c r="F33" s="18">
        <f t="shared" si="5"/>
        <v>0</v>
      </c>
      <c r="G33" s="18">
        <f t="shared" si="5"/>
        <v>0</v>
      </c>
      <c r="H33" s="18">
        <f t="shared" si="5"/>
        <v>0</v>
      </c>
      <c r="I33" s="18">
        <f t="shared" si="5"/>
        <v>0</v>
      </c>
      <c r="J33" s="18">
        <f t="shared" si="5"/>
        <v>0</v>
      </c>
      <c r="K33" s="18">
        <f t="shared" si="5"/>
        <v>0</v>
      </c>
    </row>
    <row r="34" ht="14.5" spans="2:11">
      <c r="B34" s="23">
        <v>2.1</v>
      </c>
      <c r="C34" s="20" t="s">
        <v>30</v>
      </c>
      <c r="D34" s="21">
        <v>0</v>
      </c>
      <c r="E34" s="21">
        <v>0</v>
      </c>
      <c r="F34" s="18">
        <f t="shared" ref="F34:F43" si="6">+D34+E34</f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</row>
    <row r="35" ht="14.5" spans="2:11">
      <c r="B35" s="23">
        <v>2.2</v>
      </c>
      <c r="C35" s="20" t="s">
        <v>25</v>
      </c>
      <c r="D35" s="21">
        <v>0</v>
      </c>
      <c r="E35" s="21">
        <v>0</v>
      </c>
      <c r="F35" s="18">
        <f t="shared" si="6"/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</row>
    <row r="36" ht="14.5" spans="2:11">
      <c r="B36" s="23">
        <v>2.3</v>
      </c>
      <c r="C36" s="20" t="s">
        <v>33</v>
      </c>
      <c r="D36" s="21">
        <v>0</v>
      </c>
      <c r="E36" s="21">
        <v>0</v>
      </c>
      <c r="F36" s="18">
        <f t="shared" si="6"/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</row>
    <row r="37" ht="14.5" spans="2:11">
      <c r="B37" s="23">
        <v>2.4</v>
      </c>
      <c r="C37" s="20" t="s">
        <v>35</v>
      </c>
      <c r="D37" s="21">
        <v>0</v>
      </c>
      <c r="E37" s="21">
        <v>0</v>
      </c>
      <c r="F37" s="18">
        <f t="shared" si="6"/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</row>
    <row r="38" ht="14.5" spans="2:11">
      <c r="B38" s="23">
        <v>2.5</v>
      </c>
      <c r="C38" s="20" t="s">
        <v>37</v>
      </c>
      <c r="D38" s="21">
        <v>0</v>
      </c>
      <c r="E38" s="21">
        <v>0</v>
      </c>
      <c r="F38" s="18">
        <f t="shared" si="6"/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</row>
    <row r="39" ht="14.5" spans="2:11">
      <c r="B39" s="23">
        <v>2.6</v>
      </c>
      <c r="C39" s="20" t="s">
        <v>39</v>
      </c>
      <c r="D39" s="21">
        <v>0</v>
      </c>
      <c r="E39" s="21">
        <v>0</v>
      </c>
      <c r="F39" s="18">
        <f t="shared" si="6"/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</row>
    <row r="40" ht="14.5" spans="2:11">
      <c r="B40" s="23">
        <v>2.7</v>
      </c>
      <c r="C40" s="20" t="s">
        <v>41</v>
      </c>
      <c r="D40" s="21">
        <v>0</v>
      </c>
      <c r="E40" s="21">
        <v>0</v>
      </c>
      <c r="F40" s="18">
        <f t="shared" si="6"/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</row>
    <row r="41" ht="14.5" spans="2:11">
      <c r="B41" s="23">
        <v>2.8</v>
      </c>
      <c r="C41" s="20" t="s">
        <v>43</v>
      </c>
      <c r="D41" s="21">
        <v>0</v>
      </c>
      <c r="E41" s="21">
        <v>0</v>
      </c>
      <c r="F41" s="18">
        <f t="shared" si="6"/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</row>
    <row r="42" ht="14.5" spans="2:11">
      <c r="B42" s="23">
        <v>2.9</v>
      </c>
      <c r="C42" s="20" t="s">
        <v>45</v>
      </c>
      <c r="D42" s="21">
        <v>0</v>
      </c>
      <c r="E42" s="21">
        <v>0</v>
      </c>
      <c r="F42" s="18">
        <f t="shared" si="6"/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</row>
    <row r="43" ht="14.5" spans="2:11">
      <c r="B43" s="23">
        <v>2.1</v>
      </c>
      <c r="C43" s="20" t="s">
        <v>47</v>
      </c>
      <c r="D43" s="21">
        <v>0</v>
      </c>
      <c r="E43" s="21">
        <v>0</v>
      </c>
      <c r="F43" s="18">
        <f t="shared" si="6"/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</row>
    <row r="44" ht="14.5" spans="2:11">
      <c r="B44" s="24">
        <v>3</v>
      </c>
      <c r="C44" s="25" t="s">
        <v>56</v>
      </c>
      <c r="D44" s="18">
        <f t="shared" ref="D44:K44" si="7">SUM(D45:D51)</f>
        <v>0</v>
      </c>
      <c r="E44" s="18">
        <f t="shared" si="7"/>
        <v>0</v>
      </c>
      <c r="F44" s="18">
        <f t="shared" si="7"/>
        <v>0</v>
      </c>
      <c r="G44" s="18">
        <f t="shared" si="7"/>
        <v>0</v>
      </c>
      <c r="H44" s="18">
        <f t="shared" si="7"/>
        <v>0</v>
      </c>
      <c r="I44" s="18">
        <f t="shared" si="7"/>
        <v>0</v>
      </c>
      <c r="J44" s="18">
        <f t="shared" si="7"/>
        <v>0</v>
      </c>
      <c r="K44" s="18">
        <f t="shared" si="7"/>
        <v>0</v>
      </c>
    </row>
    <row r="45" ht="14.5" spans="2:11">
      <c r="B45" s="23">
        <v>3.1</v>
      </c>
      <c r="C45" s="20" t="s">
        <v>57</v>
      </c>
      <c r="D45" s="21">
        <v>0</v>
      </c>
      <c r="E45" s="21">
        <v>0</v>
      </c>
      <c r="F45" s="18">
        <f t="shared" ref="F45:F51" si="8">+D45+E45</f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</row>
    <row r="46" ht="14.5" spans="2:11">
      <c r="B46" s="23">
        <v>3.2</v>
      </c>
      <c r="C46" s="20" t="s">
        <v>58</v>
      </c>
      <c r="D46" s="21">
        <v>0</v>
      </c>
      <c r="E46" s="21">
        <v>0</v>
      </c>
      <c r="F46" s="18">
        <f t="shared" si="8"/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</row>
    <row r="47" ht="14.5" spans="2:11">
      <c r="B47" s="23">
        <v>3.3</v>
      </c>
      <c r="C47" s="20" t="s">
        <v>59</v>
      </c>
      <c r="D47" s="21">
        <v>0</v>
      </c>
      <c r="E47" s="21">
        <v>0</v>
      </c>
      <c r="F47" s="18">
        <f t="shared" si="8"/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</row>
    <row r="48" ht="14.5" spans="2:11">
      <c r="B48" s="23">
        <v>3.4</v>
      </c>
      <c r="C48" s="20" t="s">
        <v>60</v>
      </c>
      <c r="D48" s="21">
        <v>0</v>
      </c>
      <c r="E48" s="21">
        <v>0</v>
      </c>
      <c r="F48" s="18">
        <f t="shared" si="8"/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</row>
    <row r="49" ht="14.5" spans="2:11">
      <c r="B49" s="23">
        <v>3.5</v>
      </c>
      <c r="C49" s="20" t="s">
        <v>61</v>
      </c>
      <c r="D49" s="21">
        <v>0</v>
      </c>
      <c r="E49" s="21">
        <v>0</v>
      </c>
      <c r="F49" s="18">
        <f t="shared" si="8"/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</row>
    <row r="50" ht="14.5" spans="2:11">
      <c r="B50" s="23">
        <v>3.6</v>
      </c>
      <c r="C50" s="20" t="s">
        <v>62</v>
      </c>
      <c r="D50" s="21">
        <v>0</v>
      </c>
      <c r="E50" s="21">
        <v>0</v>
      </c>
      <c r="F50" s="18">
        <f t="shared" si="8"/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</row>
    <row r="51" ht="14.5" spans="2:11">
      <c r="B51" s="23">
        <v>3.7</v>
      </c>
      <c r="C51" s="20" t="s">
        <v>63</v>
      </c>
      <c r="D51" s="21">
        <v>0</v>
      </c>
      <c r="E51" s="21">
        <v>0</v>
      </c>
      <c r="F51" s="18">
        <f t="shared" si="8"/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</row>
    <row r="52" ht="14.5" spans="2:11">
      <c r="B52" s="24">
        <v>4</v>
      </c>
      <c r="C52" s="25" t="s">
        <v>64</v>
      </c>
      <c r="D52" s="18">
        <f t="shared" ref="D52:K52" si="9">SUM(D53:D55)</f>
        <v>0</v>
      </c>
      <c r="E52" s="18">
        <f t="shared" si="9"/>
        <v>0</v>
      </c>
      <c r="F52" s="18">
        <f t="shared" si="9"/>
        <v>0</v>
      </c>
      <c r="G52" s="18">
        <f t="shared" si="9"/>
        <v>0</v>
      </c>
      <c r="H52" s="18">
        <f t="shared" si="9"/>
        <v>0</v>
      </c>
      <c r="I52" s="18">
        <f t="shared" si="9"/>
        <v>0</v>
      </c>
      <c r="J52" s="18">
        <f t="shared" si="9"/>
        <v>0</v>
      </c>
      <c r="K52" s="18">
        <f t="shared" si="9"/>
        <v>0</v>
      </c>
    </row>
    <row r="53" ht="14.5" spans="2:11">
      <c r="B53" s="23">
        <v>4.1</v>
      </c>
      <c r="C53" s="20" t="s">
        <v>65</v>
      </c>
      <c r="D53" s="21">
        <v>0</v>
      </c>
      <c r="E53" s="21">
        <v>0</v>
      </c>
      <c r="F53" s="18">
        <f>+D53+E53</f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</row>
    <row r="54" ht="14.5" spans="2:11">
      <c r="B54" s="23">
        <v>4.2</v>
      </c>
      <c r="C54" s="20" t="s">
        <v>66</v>
      </c>
      <c r="D54" s="21">
        <v>0</v>
      </c>
      <c r="E54" s="21">
        <v>0</v>
      </c>
      <c r="F54" s="18">
        <f>+D54+E54</f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</row>
    <row r="55" ht="14.5" spans="2:11">
      <c r="B55" s="23">
        <v>4.3</v>
      </c>
      <c r="C55" s="20" t="s">
        <v>67</v>
      </c>
      <c r="D55" s="21">
        <v>0</v>
      </c>
      <c r="E55" s="21">
        <v>0</v>
      </c>
      <c r="F55" s="18">
        <f>+D55+E55</f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</row>
    <row r="56" ht="14.5" spans="2:11">
      <c r="B56" s="26" t="s">
        <v>68</v>
      </c>
      <c r="C56" s="27"/>
      <c r="D56" s="28" t="s">
        <v>69</v>
      </c>
      <c r="E56" s="29"/>
      <c r="F56" s="30"/>
      <c r="G56" s="31" t="s">
        <v>14</v>
      </c>
      <c r="H56" s="32"/>
      <c r="I56" s="44"/>
      <c r="J56" s="45"/>
      <c r="K56" s="45"/>
    </row>
    <row r="57" ht="14.5" spans="2:11">
      <c r="B57" s="33"/>
      <c r="C57" s="34"/>
      <c r="D57" s="35" t="s">
        <v>70</v>
      </c>
      <c r="E57" s="35" t="s">
        <v>71</v>
      </c>
      <c r="F57" s="35" t="s">
        <v>72</v>
      </c>
      <c r="G57" s="35" t="s">
        <v>70</v>
      </c>
      <c r="H57" s="35" t="s">
        <v>71</v>
      </c>
      <c r="I57" s="35" t="s">
        <v>72</v>
      </c>
      <c r="J57" s="46"/>
      <c r="K57" s="46"/>
    </row>
    <row r="58" ht="14.5" spans="2:11">
      <c r="B58" s="36">
        <v>1</v>
      </c>
      <c r="C58" s="37" t="s">
        <v>73</v>
      </c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47"/>
      <c r="K58" s="47"/>
    </row>
    <row r="59" ht="14.5" spans="2:11">
      <c r="B59" s="39">
        <v>1.1</v>
      </c>
      <c r="C59" s="40" t="s">
        <v>74</v>
      </c>
      <c r="D59" s="38">
        <v>0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47"/>
      <c r="K59" s="47"/>
    </row>
    <row r="60" ht="14.5" spans="2:11">
      <c r="B60" s="39">
        <v>1.2</v>
      </c>
      <c r="C60" s="40" t="s">
        <v>75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47"/>
      <c r="K60" s="47"/>
    </row>
    <row r="61" ht="14.5" spans="2:11">
      <c r="B61" s="39">
        <v>1.3</v>
      </c>
      <c r="C61" s="40" t="s">
        <v>76</v>
      </c>
      <c r="D61" s="38">
        <v>0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47"/>
      <c r="K61" s="47"/>
    </row>
    <row r="62" ht="14.5" spans="2:11">
      <c r="B62" s="39">
        <v>1.4</v>
      </c>
      <c r="C62" s="40" t="s">
        <v>77</v>
      </c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47"/>
      <c r="K62" s="47"/>
    </row>
    <row r="63" ht="14.5" spans="2:11">
      <c r="B63" s="39">
        <v>1.5</v>
      </c>
      <c r="C63" s="40" t="s">
        <v>78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47"/>
      <c r="K63" s="47"/>
    </row>
    <row r="64" ht="14.5" spans="2:11">
      <c r="B64" s="39">
        <v>1.6</v>
      </c>
      <c r="C64" s="40" t="s">
        <v>79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47"/>
      <c r="K64" s="47"/>
    </row>
    <row r="65" ht="14.5" spans="2:11">
      <c r="B65" s="48">
        <v>1.7</v>
      </c>
      <c r="C65" s="49" t="s">
        <v>80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47"/>
      <c r="K65" s="47"/>
    </row>
    <row r="66" ht="14.5" spans="2:11">
      <c r="B66" s="50">
        <v>2</v>
      </c>
      <c r="C66" s="51" t="s">
        <v>81</v>
      </c>
      <c r="D66" s="38">
        <v>0</v>
      </c>
      <c r="E66" s="38">
        <v>0</v>
      </c>
      <c r="F66" s="38">
        <v>0</v>
      </c>
      <c r="G66" s="38">
        <v>0</v>
      </c>
      <c r="H66" s="38">
        <v>0</v>
      </c>
      <c r="I66" s="38">
        <v>0</v>
      </c>
      <c r="J66" s="47"/>
      <c r="K66" s="47"/>
    </row>
    <row r="67" ht="14.5" spans="2:11">
      <c r="B67" s="50">
        <v>3</v>
      </c>
      <c r="C67" s="51" t="s">
        <v>82</v>
      </c>
      <c r="D67" s="38">
        <v>0</v>
      </c>
      <c r="E67" s="38">
        <v>0</v>
      </c>
      <c r="F67" s="38">
        <v>0</v>
      </c>
      <c r="G67" s="38">
        <v>0</v>
      </c>
      <c r="H67" s="38">
        <v>0</v>
      </c>
      <c r="I67" s="38">
        <v>0</v>
      </c>
      <c r="J67" s="47"/>
      <c r="K67" s="47"/>
    </row>
    <row r="68" ht="14.5" spans="2:11">
      <c r="B68" s="50">
        <v>4</v>
      </c>
      <c r="C68" s="51" t="s">
        <v>83</v>
      </c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47"/>
      <c r="K68" s="47"/>
    </row>
    <row r="69" ht="14.5" spans="2:11">
      <c r="B69" s="26" t="s">
        <v>84</v>
      </c>
      <c r="C69" s="27"/>
      <c r="D69" s="28" t="s">
        <v>69</v>
      </c>
      <c r="E69" s="29"/>
      <c r="F69" s="30"/>
      <c r="G69" s="28" t="s">
        <v>14</v>
      </c>
      <c r="H69" s="29"/>
      <c r="I69" s="30"/>
      <c r="J69" s="45"/>
      <c r="K69" s="45"/>
    </row>
    <row r="70" ht="14.5" spans="2:11">
      <c r="B70" s="33"/>
      <c r="C70" s="34"/>
      <c r="D70" s="35" t="s">
        <v>70</v>
      </c>
      <c r="E70" s="35" t="s">
        <v>71</v>
      </c>
      <c r="F70" s="35" t="s">
        <v>72</v>
      </c>
      <c r="G70" s="35" t="s">
        <v>70</v>
      </c>
      <c r="H70" s="35" t="s">
        <v>71</v>
      </c>
      <c r="I70" s="35" t="s">
        <v>72</v>
      </c>
      <c r="J70" s="46"/>
      <c r="K70" s="46"/>
    </row>
    <row r="71" ht="14.5" spans="2:11">
      <c r="B71" s="50">
        <v>1</v>
      </c>
      <c r="C71" s="51" t="s">
        <v>85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46"/>
      <c r="K71" s="46"/>
    </row>
    <row r="72" ht="14.5" spans="2:11">
      <c r="B72" s="39">
        <v>1.1</v>
      </c>
      <c r="C72" s="40" t="s">
        <v>74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46"/>
      <c r="K72" s="46"/>
    </row>
    <row r="73" ht="14.5" spans="2:11">
      <c r="B73" s="39">
        <v>1.2</v>
      </c>
      <c r="C73" s="40" t="s">
        <v>75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46"/>
      <c r="K73" s="46"/>
    </row>
    <row r="74" ht="14.5" spans="2:11">
      <c r="B74" s="39">
        <v>1.3</v>
      </c>
      <c r="C74" s="40" t="s">
        <v>76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46"/>
      <c r="K74" s="46"/>
    </row>
    <row r="75" ht="14.5" spans="2:11">
      <c r="B75" s="39">
        <v>1.4</v>
      </c>
      <c r="C75" s="40" t="s">
        <v>77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46"/>
      <c r="K75" s="46"/>
    </row>
    <row r="76" ht="14.5" spans="2:11">
      <c r="B76" s="39">
        <v>1.5</v>
      </c>
      <c r="C76" s="40" t="s">
        <v>78</v>
      </c>
      <c r="D76" s="52">
        <v>0</v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  <c r="J76" s="46"/>
      <c r="K76" s="46"/>
    </row>
    <row r="77" ht="14.5" spans="2:11">
      <c r="B77" s="39">
        <v>1.6</v>
      </c>
      <c r="C77" s="40" t="s">
        <v>79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46"/>
      <c r="K77" s="46"/>
    </row>
    <row r="78" ht="14.5" spans="2:11">
      <c r="B78" s="48">
        <v>1.7</v>
      </c>
      <c r="C78" s="49" t="s">
        <v>80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46"/>
      <c r="K78" s="46"/>
    </row>
    <row r="79" ht="14.5" spans="2:11">
      <c r="B79" s="50">
        <v>2</v>
      </c>
      <c r="C79" s="51" t="s">
        <v>81</v>
      </c>
      <c r="D79" s="52">
        <v>0</v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  <c r="J79" s="46"/>
      <c r="K79" s="46"/>
    </row>
    <row r="80" ht="14.5" spans="2:11">
      <c r="B80" s="50">
        <v>3</v>
      </c>
      <c r="C80" s="51" t="s">
        <v>82</v>
      </c>
      <c r="D80" s="52">
        <v>0</v>
      </c>
      <c r="E80" s="52">
        <v>0</v>
      </c>
      <c r="F80" s="52">
        <v>0</v>
      </c>
      <c r="G80" s="52">
        <v>0</v>
      </c>
      <c r="H80" s="52">
        <v>0</v>
      </c>
      <c r="I80" s="52">
        <v>0</v>
      </c>
      <c r="J80" s="46"/>
      <c r="K80" s="46"/>
    </row>
    <row r="81" ht="14.5" spans="2:11">
      <c r="B81" s="50">
        <v>4</v>
      </c>
      <c r="C81" s="51" t="s">
        <v>83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46"/>
      <c r="K81" s="46"/>
    </row>
    <row r="82" ht="22.5" customHeight="1" spans="2:11">
      <c r="B82" s="53" t="s">
        <v>86</v>
      </c>
      <c r="C82" s="54"/>
      <c r="D82" s="55" t="s">
        <v>87</v>
      </c>
      <c r="E82" s="55" t="s">
        <v>88</v>
      </c>
      <c r="F82" s="55" t="s">
        <v>89</v>
      </c>
      <c r="G82" s="56"/>
      <c r="H82" s="56"/>
      <c r="I82" s="56"/>
      <c r="J82" s="56"/>
      <c r="K82" s="76"/>
    </row>
    <row r="83" ht="14.5" spans="2:11">
      <c r="B83" s="57">
        <v>1</v>
      </c>
      <c r="C83" s="58" t="s">
        <v>90</v>
      </c>
      <c r="D83" s="59">
        <v>0</v>
      </c>
      <c r="E83" s="59">
        <v>0</v>
      </c>
      <c r="F83" s="59">
        <v>0</v>
      </c>
      <c r="G83" s="60"/>
      <c r="H83" s="60"/>
      <c r="I83" s="60"/>
      <c r="J83" s="60"/>
      <c r="K83" s="77"/>
    </row>
    <row r="84" ht="14.5" spans="2:11">
      <c r="B84" s="57">
        <v>2</v>
      </c>
      <c r="C84" s="58" t="s">
        <v>91</v>
      </c>
      <c r="D84" s="59">
        <v>0</v>
      </c>
      <c r="E84" s="59">
        <v>0</v>
      </c>
      <c r="F84" s="59">
        <v>0</v>
      </c>
      <c r="G84" s="60"/>
      <c r="H84" s="60"/>
      <c r="I84" s="60"/>
      <c r="J84" s="60"/>
      <c r="K84" s="77"/>
    </row>
    <row r="85" ht="14.5" spans="2:11">
      <c r="B85" s="57">
        <v>3</v>
      </c>
      <c r="C85" s="58" t="s">
        <v>92</v>
      </c>
      <c r="D85" s="59">
        <v>0</v>
      </c>
      <c r="E85" s="59">
        <v>0</v>
      </c>
      <c r="F85" s="59">
        <v>0</v>
      </c>
      <c r="G85" s="60"/>
      <c r="H85" s="60"/>
      <c r="I85" s="60"/>
      <c r="J85" s="60"/>
      <c r="K85" s="77"/>
    </row>
    <row r="86" ht="14.5" spans="2:11">
      <c r="B86" s="57">
        <v>4</v>
      </c>
      <c r="C86" s="58" t="s">
        <v>93</v>
      </c>
      <c r="D86" s="59">
        <v>0</v>
      </c>
      <c r="E86" s="59">
        <v>0</v>
      </c>
      <c r="F86" s="59">
        <v>0</v>
      </c>
      <c r="G86" s="60"/>
      <c r="H86" s="60"/>
      <c r="I86" s="60"/>
      <c r="J86" s="60"/>
      <c r="K86" s="77"/>
    </row>
    <row r="87" ht="14.5" spans="2:11">
      <c r="B87" s="57">
        <v>5</v>
      </c>
      <c r="C87" s="58" t="s">
        <v>94</v>
      </c>
      <c r="D87" s="59">
        <v>0</v>
      </c>
      <c r="E87" s="59">
        <v>0</v>
      </c>
      <c r="F87" s="59">
        <v>0</v>
      </c>
      <c r="G87" s="60"/>
      <c r="H87" s="60"/>
      <c r="I87" s="60"/>
      <c r="J87" s="60"/>
      <c r="K87" s="77"/>
    </row>
    <row r="88" ht="24.75" customHeight="1" spans="2:11">
      <c r="B88" s="61" t="s">
        <v>95</v>
      </c>
      <c r="C88" s="62"/>
      <c r="D88" s="63" t="s">
        <v>87</v>
      </c>
      <c r="E88" s="63" t="s">
        <v>88</v>
      </c>
      <c r="F88" s="63" t="s">
        <v>89</v>
      </c>
      <c r="G88" s="60"/>
      <c r="H88" s="60"/>
      <c r="I88" s="60"/>
      <c r="J88" s="60"/>
      <c r="K88" s="77"/>
    </row>
    <row r="89" ht="14.5" spans="2:11">
      <c r="B89" s="64">
        <v>1</v>
      </c>
      <c r="C89" s="65" t="s">
        <v>96</v>
      </c>
      <c r="D89" s="66">
        <v>0</v>
      </c>
      <c r="E89" s="66">
        <v>0</v>
      </c>
      <c r="F89" s="66">
        <v>0</v>
      </c>
      <c r="G89" s="60"/>
      <c r="H89" s="60"/>
      <c r="I89" s="60"/>
      <c r="J89" s="60"/>
      <c r="K89" s="77"/>
    </row>
    <row r="90" ht="21" spans="2:11">
      <c r="B90" s="67">
        <v>1.1</v>
      </c>
      <c r="C90" s="68" t="s">
        <v>97</v>
      </c>
      <c r="D90" s="66">
        <v>0</v>
      </c>
      <c r="E90" s="66">
        <v>0</v>
      </c>
      <c r="F90" s="66">
        <v>0</v>
      </c>
      <c r="G90" s="60"/>
      <c r="H90" s="60"/>
      <c r="I90" s="60"/>
      <c r="J90" s="60"/>
      <c r="K90" s="77"/>
    </row>
    <row r="91" ht="14.5" spans="2:11">
      <c r="B91" s="69" t="s">
        <v>21</v>
      </c>
      <c r="C91" s="2" t="s">
        <v>98</v>
      </c>
      <c r="D91" s="52">
        <v>0</v>
      </c>
      <c r="E91" s="52">
        <v>0</v>
      </c>
      <c r="F91" s="52">
        <v>0</v>
      </c>
      <c r="G91" s="60"/>
      <c r="H91" s="60"/>
      <c r="I91" s="60"/>
      <c r="J91" s="60"/>
      <c r="K91" s="77"/>
    </row>
    <row r="92" ht="14.5" spans="2:11">
      <c r="B92" s="69" t="s">
        <v>22</v>
      </c>
      <c r="C92" s="2" t="s">
        <v>99</v>
      </c>
      <c r="D92" s="52">
        <v>0</v>
      </c>
      <c r="E92" s="52">
        <v>0</v>
      </c>
      <c r="F92" s="52">
        <v>0</v>
      </c>
      <c r="G92" s="60"/>
      <c r="H92" s="60"/>
      <c r="I92" s="60"/>
      <c r="J92" s="60"/>
      <c r="K92" s="77"/>
    </row>
    <row r="93" ht="14.5" spans="2:11">
      <c r="B93" s="69" t="s">
        <v>24</v>
      </c>
      <c r="C93" s="2" t="s">
        <v>100</v>
      </c>
      <c r="D93" s="52">
        <v>0</v>
      </c>
      <c r="E93" s="52">
        <v>0</v>
      </c>
      <c r="F93" s="52">
        <v>0</v>
      </c>
      <c r="G93" s="60"/>
      <c r="H93" s="60"/>
      <c r="I93" s="60"/>
      <c r="J93" s="60"/>
      <c r="K93" s="77"/>
    </row>
    <row r="94" ht="14.5" spans="2:11">
      <c r="B94" s="69" t="s">
        <v>26</v>
      </c>
      <c r="C94" s="2" t="s">
        <v>101</v>
      </c>
      <c r="D94" s="52">
        <v>0</v>
      </c>
      <c r="E94" s="52">
        <v>0</v>
      </c>
      <c r="F94" s="52">
        <v>0</v>
      </c>
      <c r="G94" s="60"/>
      <c r="H94" s="60"/>
      <c r="I94" s="60"/>
      <c r="J94" s="60"/>
      <c r="K94" s="77"/>
    </row>
    <row r="95" ht="14.5" spans="2:11">
      <c r="B95" s="70">
        <v>2</v>
      </c>
      <c r="C95" s="71" t="s">
        <v>102</v>
      </c>
      <c r="D95" s="72">
        <v>0</v>
      </c>
      <c r="E95" s="72">
        <v>0</v>
      </c>
      <c r="F95" s="72">
        <v>0</v>
      </c>
      <c r="G95" s="60"/>
      <c r="H95" s="60"/>
      <c r="I95" s="60"/>
      <c r="J95" s="60"/>
      <c r="K95" s="77"/>
    </row>
    <row r="96" ht="21" spans="2:11">
      <c r="B96" s="67">
        <v>2.1</v>
      </c>
      <c r="C96" s="68" t="s">
        <v>103</v>
      </c>
      <c r="D96" s="59">
        <v>0</v>
      </c>
      <c r="E96" s="59">
        <v>0</v>
      </c>
      <c r="F96" s="59">
        <v>0</v>
      </c>
      <c r="G96" s="60"/>
      <c r="H96" s="60"/>
      <c r="I96" s="60"/>
      <c r="J96" s="60"/>
      <c r="K96" s="77"/>
    </row>
    <row r="97" ht="14.5" spans="2:11">
      <c r="B97" s="69" t="s">
        <v>104</v>
      </c>
      <c r="C97" s="2" t="s">
        <v>98</v>
      </c>
      <c r="D97" s="52">
        <v>0</v>
      </c>
      <c r="E97" s="52">
        <v>0</v>
      </c>
      <c r="F97" s="52">
        <v>0</v>
      </c>
      <c r="G97" s="60"/>
      <c r="H97" s="60"/>
      <c r="I97" s="60"/>
      <c r="J97" s="60"/>
      <c r="K97" s="77"/>
    </row>
    <row r="98" ht="14.5" spans="2:11">
      <c r="B98" s="69" t="s">
        <v>105</v>
      </c>
      <c r="C98" s="2" t="s">
        <v>99</v>
      </c>
      <c r="D98" s="52">
        <v>0</v>
      </c>
      <c r="E98" s="52">
        <v>0</v>
      </c>
      <c r="F98" s="52">
        <v>0</v>
      </c>
      <c r="G98" s="60"/>
      <c r="H98" s="60"/>
      <c r="I98" s="60"/>
      <c r="J98" s="60"/>
      <c r="K98" s="77"/>
    </row>
    <row r="99" ht="14.5" spans="2:11">
      <c r="B99" s="69" t="s">
        <v>106</v>
      </c>
      <c r="C99" s="2" t="s">
        <v>100</v>
      </c>
      <c r="D99" s="52">
        <v>0</v>
      </c>
      <c r="E99" s="52">
        <v>0</v>
      </c>
      <c r="F99" s="52">
        <v>0</v>
      </c>
      <c r="G99" s="60"/>
      <c r="H99" s="60"/>
      <c r="I99" s="60"/>
      <c r="J99" s="60"/>
      <c r="K99" s="77"/>
    </row>
    <row r="100" ht="14.5" spans="2:11">
      <c r="B100" s="69" t="s">
        <v>107</v>
      </c>
      <c r="C100" s="2" t="s">
        <v>101</v>
      </c>
      <c r="D100" s="52">
        <v>0</v>
      </c>
      <c r="E100" s="52">
        <v>0</v>
      </c>
      <c r="F100" s="52">
        <v>0</v>
      </c>
      <c r="G100" s="60"/>
      <c r="H100" s="60"/>
      <c r="I100" s="60"/>
      <c r="J100" s="60"/>
      <c r="K100" s="77"/>
    </row>
    <row r="101" ht="14.5" spans="2:11">
      <c r="B101" s="70">
        <v>3</v>
      </c>
      <c r="C101" s="71" t="s">
        <v>108</v>
      </c>
      <c r="D101" s="52">
        <v>0</v>
      </c>
      <c r="E101" s="52">
        <v>0</v>
      </c>
      <c r="F101" s="52">
        <v>0</v>
      </c>
      <c r="G101" s="60"/>
      <c r="H101" s="60"/>
      <c r="I101" s="60"/>
      <c r="J101" s="60"/>
      <c r="K101" s="77"/>
    </row>
    <row r="102" ht="21" spans="2:11">
      <c r="B102" s="67">
        <v>3.1</v>
      </c>
      <c r="C102" s="68" t="s">
        <v>109</v>
      </c>
      <c r="D102" s="59">
        <v>0</v>
      </c>
      <c r="E102" s="59">
        <v>0</v>
      </c>
      <c r="F102" s="59">
        <v>0</v>
      </c>
      <c r="G102" s="60"/>
      <c r="H102" s="60"/>
      <c r="I102" s="60"/>
      <c r="J102" s="60"/>
      <c r="K102" s="77"/>
    </row>
    <row r="103" ht="14.5" spans="2:11">
      <c r="B103" s="69" t="s">
        <v>110</v>
      </c>
      <c r="C103" s="2" t="s">
        <v>111</v>
      </c>
      <c r="D103" s="52">
        <v>0</v>
      </c>
      <c r="E103" s="52">
        <v>0</v>
      </c>
      <c r="F103" s="52">
        <v>0</v>
      </c>
      <c r="G103" s="60"/>
      <c r="H103" s="60"/>
      <c r="I103" s="60"/>
      <c r="J103" s="60"/>
      <c r="K103" s="77"/>
    </row>
    <row r="104" ht="14.5" spans="2:11">
      <c r="B104" s="69" t="s">
        <v>112</v>
      </c>
      <c r="C104" s="2" t="s">
        <v>113</v>
      </c>
      <c r="D104" s="52">
        <v>0</v>
      </c>
      <c r="E104" s="52">
        <v>0</v>
      </c>
      <c r="F104" s="52">
        <v>0</v>
      </c>
      <c r="G104" s="60"/>
      <c r="H104" s="60"/>
      <c r="I104" s="60"/>
      <c r="J104" s="60"/>
      <c r="K104" s="77"/>
    </row>
    <row r="105" ht="14.5" spans="2:11">
      <c r="B105" s="69" t="s">
        <v>114</v>
      </c>
      <c r="C105" s="2" t="s">
        <v>99</v>
      </c>
      <c r="D105" s="52">
        <v>0</v>
      </c>
      <c r="E105" s="52">
        <v>0</v>
      </c>
      <c r="F105" s="52">
        <v>0</v>
      </c>
      <c r="G105" s="60"/>
      <c r="H105" s="60"/>
      <c r="I105" s="60"/>
      <c r="J105" s="60"/>
      <c r="K105" s="77"/>
    </row>
    <row r="106" ht="14.5" spans="2:11">
      <c r="B106" s="69" t="s">
        <v>115</v>
      </c>
      <c r="C106" s="2" t="s">
        <v>116</v>
      </c>
      <c r="D106" s="52">
        <v>0</v>
      </c>
      <c r="E106" s="52">
        <v>0</v>
      </c>
      <c r="F106" s="52">
        <v>0</v>
      </c>
      <c r="G106" s="60"/>
      <c r="H106" s="60"/>
      <c r="I106" s="60"/>
      <c r="J106" s="60"/>
      <c r="K106" s="77"/>
    </row>
    <row r="107" ht="21" spans="2:11">
      <c r="B107" s="70">
        <v>4</v>
      </c>
      <c r="C107" s="73" t="s">
        <v>117</v>
      </c>
      <c r="D107" s="52">
        <v>0</v>
      </c>
      <c r="E107" s="52">
        <v>0</v>
      </c>
      <c r="F107" s="52">
        <v>0</v>
      </c>
      <c r="G107" s="60"/>
      <c r="H107" s="60"/>
      <c r="I107" s="60"/>
      <c r="J107" s="60"/>
      <c r="K107" s="77"/>
    </row>
    <row r="108" ht="21" spans="2:11">
      <c r="B108" s="67">
        <v>4.1</v>
      </c>
      <c r="C108" s="68" t="s">
        <v>118</v>
      </c>
      <c r="D108" s="59">
        <v>0</v>
      </c>
      <c r="E108" s="59">
        <v>0</v>
      </c>
      <c r="F108" s="59">
        <v>0</v>
      </c>
      <c r="G108" s="60"/>
      <c r="H108" s="60"/>
      <c r="I108" s="60"/>
      <c r="J108" s="60"/>
      <c r="K108" s="77"/>
    </row>
    <row r="109" ht="14.5" spans="2:11">
      <c r="B109" s="69" t="s">
        <v>119</v>
      </c>
      <c r="C109" s="2" t="s">
        <v>120</v>
      </c>
      <c r="D109" s="52">
        <v>0</v>
      </c>
      <c r="E109" s="52">
        <v>0</v>
      </c>
      <c r="F109" s="52">
        <v>0</v>
      </c>
      <c r="G109" s="60"/>
      <c r="H109" s="60"/>
      <c r="I109" s="60"/>
      <c r="J109" s="60"/>
      <c r="K109" s="77"/>
    </row>
    <row r="110" ht="14.5" spans="2:11">
      <c r="B110" s="69" t="s">
        <v>119</v>
      </c>
      <c r="C110" s="2" t="s">
        <v>113</v>
      </c>
      <c r="D110" s="52">
        <v>0</v>
      </c>
      <c r="E110" s="52">
        <v>0</v>
      </c>
      <c r="F110" s="52">
        <v>0</v>
      </c>
      <c r="G110" s="60"/>
      <c r="H110" s="60"/>
      <c r="I110" s="60"/>
      <c r="J110" s="60"/>
      <c r="K110" s="77"/>
    </row>
    <row r="111" ht="14.5" spans="2:11">
      <c r="B111" s="69" t="s">
        <v>121</v>
      </c>
      <c r="C111" s="2" t="s">
        <v>99</v>
      </c>
      <c r="D111" s="52">
        <v>0</v>
      </c>
      <c r="E111" s="52">
        <v>0</v>
      </c>
      <c r="F111" s="52">
        <v>0</v>
      </c>
      <c r="G111" s="60"/>
      <c r="H111" s="60"/>
      <c r="I111" s="60"/>
      <c r="J111" s="60"/>
      <c r="K111" s="77"/>
    </row>
    <row r="112" ht="14.5" spans="2:11">
      <c r="B112" s="69" t="s">
        <v>122</v>
      </c>
      <c r="C112" s="2" t="s">
        <v>116</v>
      </c>
      <c r="D112" s="52">
        <v>0</v>
      </c>
      <c r="E112" s="52">
        <v>0</v>
      </c>
      <c r="F112" s="52">
        <v>0</v>
      </c>
      <c r="G112" s="60"/>
      <c r="H112" s="60"/>
      <c r="I112" s="60"/>
      <c r="J112" s="60"/>
      <c r="K112" s="77"/>
    </row>
    <row r="113" ht="21" spans="2:11">
      <c r="B113" s="70">
        <v>5</v>
      </c>
      <c r="C113" s="71" t="s">
        <v>123</v>
      </c>
      <c r="D113" s="52">
        <v>0</v>
      </c>
      <c r="E113" s="52">
        <v>0</v>
      </c>
      <c r="F113" s="52">
        <v>0</v>
      </c>
      <c r="G113" s="60"/>
      <c r="H113" s="60"/>
      <c r="I113" s="60"/>
      <c r="J113" s="60"/>
      <c r="K113" s="77"/>
    </row>
    <row r="114" ht="31.5" spans="2:11">
      <c r="B114" s="67">
        <v>5.1</v>
      </c>
      <c r="C114" s="68" t="s">
        <v>124</v>
      </c>
      <c r="D114" s="59">
        <v>0</v>
      </c>
      <c r="E114" s="59">
        <v>0</v>
      </c>
      <c r="F114" s="59">
        <v>0</v>
      </c>
      <c r="G114" s="60"/>
      <c r="H114" s="60"/>
      <c r="I114" s="60"/>
      <c r="J114" s="60"/>
      <c r="K114" s="77"/>
    </row>
    <row r="115" ht="14.5" spans="2:11">
      <c r="B115" s="69" t="s">
        <v>125</v>
      </c>
      <c r="C115" s="2" t="s">
        <v>126</v>
      </c>
      <c r="D115" s="52">
        <v>0</v>
      </c>
      <c r="E115" s="52">
        <v>0</v>
      </c>
      <c r="F115" s="52">
        <v>0</v>
      </c>
      <c r="G115" s="60"/>
      <c r="H115" s="60"/>
      <c r="I115" s="60"/>
      <c r="J115" s="60"/>
      <c r="K115" s="77"/>
    </row>
    <row r="116" ht="14.5" spans="2:11">
      <c r="B116" s="69" t="s">
        <v>127</v>
      </c>
      <c r="C116" s="2" t="s">
        <v>128</v>
      </c>
      <c r="D116" s="52">
        <v>0</v>
      </c>
      <c r="E116" s="52">
        <v>0</v>
      </c>
      <c r="F116" s="52">
        <v>0</v>
      </c>
      <c r="G116" s="60"/>
      <c r="H116" s="60"/>
      <c r="I116" s="60"/>
      <c r="J116" s="60"/>
      <c r="K116" s="77"/>
    </row>
    <row r="117" ht="14.5" spans="2:11">
      <c r="B117" s="69" t="s">
        <v>129</v>
      </c>
      <c r="C117" s="2" t="s">
        <v>130</v>
      </c>
      <c r="D117" s="52">
        <v>0</v>
      </c>
      <c r="E117" s="52">
        <v>0</v>
      </c>
      <c r="F117" s="52">
        <v>0</v>
      </c>
      <c r="G117" s="60"/>
      <c r="H117" s="60"/>
      <c r="I117" s="60"/>
      <c r="J117" s="60"/>
      <c r="K117" s="77"/>
    </row>
    <row r="118" ht="14.5" spans="2:11">
      <c r="B118" s="69" t="s">
        <v>131</v>
      </c>
      <c r="C118" s="2" t="s">
        <v>132</v>
      </c>
      <c r="D118" s="52">
        <v>0</v>
      </c>
      <c r="E118" s="52">
        <v>0</v>
      </c>
      <c r="F118" s="52">
        <v>0</v>
      </c>
      <c r="G118" s="60"/>
      <c r="H118" s="60"/>
      <c r="I118" s="60"/>
      <c r="J118" s="60"/>
      <c r="K118" s="77"/>
    </row>
    <row r="119" ht="21" spans="2:11">
      <c r="B119" s="70">
        <v>6</v>
      </c>
      <c r="C119" s="71" t="s">
        <v>133</v>
      </c>
      <c r="D119" s="52">
        <v>0</v>
      </c>
      <c r="E119" s="52">
        <v>0</v>
      </c>
      <c r="F119" s="52">
        <v>0</v>
      </c>
      <c r="G119" s="60"/>
      <c r="H119" s="60"/>
      <c r="I119" s="60"/>
      <c r="J119" s="60"/>
      <c r="K119" s="77"/>
    </row>
    <row r="120" ht="21" spans="2:11">
      <c r="B120" s="67">
        <v>6.1</v>
      </c>
      <c r="C120" s="71" t="s">
        <v>133</v>
      </c>
      <c r="D120" s="59">
        <v>0</v>
      </c>
      <c r="E120" s="59">
        <v>0</v>
      </c>
      <c r="F120" s="59">
        <v>0</v>
      </c>
      <c r="G120" s="60"/>
      <c r="H120" s="60"/>
      <c r="I120" s="60"/>
      <c r="J120" s="60"/>
      <c r="K120" s="77"/>
    </row>
    <row r="121" ht="14.5" spans="2:11">
      <c r="B121" s="69" t="s">
        <v>134</v>
      </c>
      <c r="C121" s="2" t="s">
        <v>126</v>
      </c>
      <c r="D121" s="52">
        <v>0</v>
      </c>
      <c r="E121" s="52">
        <v>0</v>
      </c>
      <c r="F121" s="52">
        <v>0</v>
      </c>
      <c r="G121" s="60"/>
      <c r="H121" s="60"/>
      <c r="I121" s="60"/>
      <c r="J121" s="60"/>
      <c r="K121" s="77"/>
    </row>
    <row r="122" ht="14.5" spans="2:11">
      <c r="B122" s="69" t="s">
        <v>135</v>
      </c>
      <c r="C122" s="2" t="s">
        <v>128</v>
      </c>
      <c r="D122" s="52">
        <v>0</v>
      </c>
      <c r="E122" s="52">
        <v>0</v>
      </c>
      <c r="F122" s="52">
        <v>0</v>
      </c>
      <c r="G122" s="60"/>
      <c r="H122" s="60"/>
      <c r="I122" s="60"/>
      <c r="J122" s="60"/>
      <c r="K122" s="77"/>
    </row>
    <row r="123" ht="14.5" spans="2:11">
      <c r="B123" s="69" t="s">
        <v>136</v>
      </c>
      <c r="C123" s="2" t="s">
        <v>130</v>
      </c>
      <c r="D123" s="52">
        <v>0</v>
      </c>
      <c r="E123" s="52">
        <v>0</v>
      </c>
      <c r="F123" s="52">
        <v>0</v>
      </c>
      <c r="G123" s="60"/>
      <c r="H123" s="60"/>
      <c r="I123" s="60"/>
      <c r="J123" s="60"/>
      <c r="K123" s="77"/>
    </row>
    <row r="124" ht="14.5" spans="2:11">
      <c r="B124" s="69" t="s">
        <v>137</v>
      </c>
      <c r="C124" s="2" t="s">
        <v>132</v>
      </c>
      <c r="D124" s="52">
        <v>0</v>
      </c>
      <c r="E124" s="52">
        <v>0</v>
      </c>
      <c r="F124" s="52">
        <v>0</v>
      </c>
      <c r="G124" s="60"/>
      <c r="H124" s="60"/>
      <c r="I124" s="60"/>
      <c r="J124" s="60"/>
      <c r="K124" s="77"/>
    </row>
    <row r="125" ht="21" spans="2:11">
      <c r="B125" s="74">
        <v>7</v>
      </c>
      <c r="C125" s="75" t="s">
        <v>138</v>
      </c>
      <c r="D125" s="52">
        <v>0</v>
      </c>
      <c r="E125" s="52">
        <v>0</v>
      </c>
      <c r="F125" s="52">
        <v>0</v>
      </c>
      <c r="G125" s="60"/>
      <c r="H125" s="60"/>
      <c r="I125" s="60"/>
      <c r="J125" s="60"/>
      <c r="K125" s="77"/>
    </row>
    <row r="126" ht="21" spans="2:11">
      <c r="B126" s="67">
        <v>7.1</v>
      </c>
      <c r="C126" s="75" t="s">
        <v>138</v>
      </c>
      <c r="D126" s="59">
        <v>0</v>
      </c>
      <c r="E126" s="59">
        <v>0</v>
      </c>
      <c r="F126" s="59">
        <v>0</v>
      </c>
      <c r="G126" s="60"/>
      <c r="H126" s="60"/>
      <c r="I126" s="60"/>
      <c r="J126" s="60"/>
      <c r="K126" s="77"/>
    </row>
    <row r="127" ht="14.5" spans="2:11">
      <c r="B127" s="69" t="s">
        <v>139</v>
      </c>
      <c r="C127" s="2" t="s">
        <v>98</v>
      </c>
      <c r="D127" s="52">
        <v>0</v>
      </c>
      <c r="E127" s="52">
        <v>0</v>
      </c>
      <c r="F127" s="52">
        <v>0</v>
      </c>
      <c r="G127" s="60"/>
      <c r="H127" s="60"/>
      <c r="I127" s="60"/>
      <c r="J127" s="60"/>
      <c r="K127" s="77"/>
    </row>
    <row r="128" ht="14.5" spans="2:11">
      <c r="B128" s="69" t="s">
        <v>140</v>
      </c>
      <c r="C128" s="2" t="s">
        <v>99</v>
      </c>
      <c r="D128" s="52">
        <v>0</v>
      </c>
      <c r="E128" s="52">
        <v>0</v>
      </c>
      <c r="F128" s="52">
        <v>0</v>
      </c>
      <c r="G128" s="60"/>
      <c r="H128" s="60"/>
      <c r="I128" s="60"/>
      <c r="J128" s="60"/>
      <c r="K128" s="77"/>
    </row>
    <row r="129" ht="14.5" spans="2:11">
      <c r="B129" s="69" t="s">
        <v>141</v>
      </c>
      <c r="C129" s="2" t="s">
        <v>100</v>
      </c>
      <c r="D129" s="52">
        <v>0</v>
      </c>
      <c r="E129" s="52">
        <v>0</v>
      </c>
      <c r="F129" s="52">
        <v>0</v>
      </c>
      <c r="G129" s="60"/>
      <c r="H129" s="60"/>
      <c r="I129" s="60"/>
      <c r="J129" s="60"/>
      <c r="K129" s="77"/>
    </row>
    <row r="130" ht="14.5" spans="2:11">
      <c r="B130" s="69" t="s">
        <v>142</v>
      </c>
      <c r="C130" s="2" t="s">
        <v>101</v>
      </c>
      <c r="D130" s="52">
        <v>0</v>
      </c>
      <c r="E130" s="52">
        <v>0</v>
      </c>
      <c r="F130" s="52">
        <v>0</v>
      </c>
      <c r="G130" s="60"/>
      <c r="H130" s="60"/>
      <c r="I130" s="60"/>
      <c r="J130" s="60"/>
      <c r="K130" s="77"/>
    </row>
    <row r="131" ht="21" spans="2:11">
      <c r="B131" s="74">
        <v>8</v>
      </c>
      <c r="C131" s="75" t="s">
        <v>143</v>
      </c>
      <c r="D131" s="52">
        <v>0</v>
      </c>
      <c r="E131" s="52">
        <v>0</v>
      </c>
      <c r="F131" s="52">
        <v>0</v>
      </c>
      <c r="G131" s="60"/>
      <c r="H131" s="60"/>
      <c r="I131" s="60"/>
      <c r="J131" s="60"/>
      <c r="K131" s="77"/>
    </row>
    <row r="132" ht="21" spans="2:11">
      <c r="B132" s="67">
        <v>8.1</v>
      </c>
      <c r="C132" s="75" t="s">
        <v>143</v>
      </c>
      <c r="D132" s="59">
        <v>0</v>
      </c>
      <c r="E132" s="59">
        <v>0</v>
      </c>
      <c r="F132" s="59">
        <v>0</v>
      </c>
      <c r="G132" s="60"/>
      <c r="H132" s="60"/>
      <c r="I132" s="60"/>
      <c r="J132" s="60"/>
      <c r="K132" s="77"/>
    </row>
    <row r="133" ht="14.5" spans="2:11">
      <c r="B133" s="69" t="s">
        <v>144</v>
      </c>
      <c r="C133" s="2" t="s">
        <v>98</v>
      </c>
      <c r="D133" s="52">
        <v>0</v>
      </c>
      <c r="E133" s="52">
        <v>0</v>
      </c>
      <c r="F133" s="52">
        <v>0</v>
      </c>
      <c r="G133" s="60"/>
      <c r="H133" s="60"/>
      <c r="I133" s="60"/>
      <c r="J133" s="60"/>
      <c r="K133" s="77"/>
    </row>
    <row r="134" ht="14.5" spans="2:11">
      <c r="B134" s="69" t="s">
        <v>145</v>
      </c>
      <c r="C134" s="2" t="s">
        <v>99</v>
      </c>
      <c r="D134" s="52">
        <v>0</v>
      </c>
      <c r="E134" s="52">
        <v>0</v>
      </c>
      <c r="F134" s="52">
        <v>0</v>
      </c>
      <c r="G134" s="60"/>
      <c r="H134" s="60"/>
      <c r="I134" s="60"/>
      <c r="J134" s="60"/>
      <c r="K134" s="77"/>
    </row>
    <row r="135" ht="14.5" spans="2:11">
      <c r="B135" s="69" t="s">
        <v>146</v>
      </c>
      <c r="C135" s="2" t="s">
        <v>100</v>
      </c>
      <c r="D135" s="52">
        <v>0</v>
      </c>
      <c r="E135" s="52">
        <v>0</v>
      </c>
      <c r="F135" s="52">
        <v>0</v>
      </c>
      <c r="G135" s="60"/>
      <c r="H135" s="60"/>
      <c r="I135" s="60"/>
      <c r="J135" s="60"/>
      <c r="K135" s="77"/>
    </row>
    <row r="136" ht="14.5" spans="2:11">
      <c r="B136" s="69" t="s">
        <v>147</v>
      </c>
      <c r="C136" s="2" t="s">
        <v>101</v>
      </c>
      <c r="D136" s="52">
        <v>0</v>
      </c>
      <c r="E136" s="52">
        <v>0</v>
      </c>
      <c r="F136" s="52">
        <v>0</v>
      </c>
      <c r="G136" s="60"/>
      <c r="H136" s="60"/>
      <c r="I136" s="60"/>
      <c r="J136" s="60"/>
      <c r="K136" s="77"/>
    </row>
    <row r="137" ht="21" spans="2:11">
      <c r="B137" s="74">
        <v>9</v>
      </c>
      <c r="C137" s="75" t="s">
        <v>148</v>
      </c>
      <c r="D137" s="52">
        <v>0</v>
      </c>
      <c r="E137" s="52">
        <v>0</v>
      </c>
      <c r="F137" s="52">
        <v>0</v>
      </c>
      <c r="G137" s="60"/>
      <c r="H137" s="60"/>
      <c r="I137" s="60"/>
      <c r="J137" s="60"/>
      <c r="K137" s="77"/>
    </row>
    <row r="138" ht="21" spans="2:11">
      <c r="B138" s="67">
        <v>9.1</v>
      </c>
      <c r="C138" s="75" t="s">
        <v>149</v>
      </c>
      <c r="D138" s="59">
        <v>0</v>
      </c>
      <c r="E138" s="59">
        <v>0</v>
      </c>
      <c r="F138" s="59">
        <v>0</v>
      </c>
      <c r="G138" s="60"/>
      <c r="H138" s="60"/>
      <c r="I138" s="60"/>
      <c r="J138" s="60"/>
      <c r="K138" s="77"/>
    </row>
    <row r="139" ht="14.5" spans="2:11">
      <c r="B139" s="69" t="s">
        <v>150</v>
      </c>
      <c r="C139" s="2" t="s">
        <v>98</v>
      </c>
      <c r="D139" s="52">
        <v>0</v>
      </c>
      <c r="E139" s="52">
        <v>0</v>
      </c>
      <c r="F139" s="52">
        <v>0</v>
      </c>
      <c r="G139" s="60"/>
      <c r="H139" s="60"/>
      <c r="I139" s="60"/>
      <c r="J139" s="60"/>
      <c r="K139" s="77"/>
    </row>
    <row r="140" ht="14.5" spans="2:11">
      <c r="B140" s="69" t="s">
        <v>151</v>
      </c>
      <c r="C140" s="2" t="s">
        <v>99</v>
      </c>
      <c r="D140" s="52">
        <v>0</v>
      </c>
      <c r="E140" s="52">
        <v>0</v>
      </c>
      <c r="F140" s="52">
        <v>0</v>
      </c>
      <c r="G140" s="60"/>
      <c r="H140" s="60"/>
      <c r="I140" s="60"/>
      <c r="J140" s="60"/>
      <c r="K140" s="77"/>
    </row>
    <row r="141" ht="14.5" spans="2:11">
      <c r="B141" s="69" t="s">
        <v>152</v>
      </c>
      <c r="C141" s="2" t="s">
        <v>100</v>
      </c>
      <c r="D141" s="52">
        <v>0</v>
      </c>
      <c r="E141" s="52">
        <v>0</v>
      </c>
      <c r="F141" s="52">
        <v>0</v>
      </c>
      <c r="G141" s="60"/>
      <c r="H141" s="60"/>
      <c r="I141" s="60"/>
      <c r="J141" s="60"/>
      <c r="K141" s="77"/>
    </row>
    <row r="142" ht="14.5" spans="2:11">
      <c r="B142" s="69" t="s">
        <v>153</v>
      </c>
      <c r="C142" s="2" t="s">
        <v>101</v>
      </c>
      <c r="D142" s="52">
        <v>0</v>
      </c>
      <c r="E142" s="52">
        <v>0</v>
      </c>
      <c r="F142" s="52">
        <v>0</v>
      </c>
      <c r="G142" s="78"/>
      <c r="H142" s="78"/>
      <c r="I142" s="78"/>
      <c r="J142" s="78"/>
      <c r="K142" s="85"/>
    </row>
    <row r="143" ht="14.5" spans="2:11">
      <c r="B143" s="79" t="s">
        <v>154</v>
      </c>
      <c r="C143" s="79"/>
      <c r="D143" s="80" t="s">
        <v>87</v>
      </c>
      <c r="E143" s="80" t="s">
        <v>88</v>
      </c>
      <c r="F143" s="81" t="s">
        <v>89</v>
      </c>
      <c r="G143" s="80" t="s">
        <v>155</v>
      </c>
      <c r="H143" s="80"/>
      <c r="I143" s="80"/>
      <c r="J143" s="80"/>
      <c r="K143" s="86"/>
    </row>
    <row r="144" ht="31.5" spans="2:11">
      <c r="B144" s="79"/>
      <c r="C144" s="79"/>
      <c r="D144" s="80"/>
      <c r="E144" s="80"/>
      <c r="F144" s="81"/>
      <c r="G144" s="80" t="s">
        <v>10</v>
      </c>
      <c r="H144" s="80" t="s">
        <v>156</v>
      </c>
      <c r="I144" s="80" t="s">
        <v>12</v>
      </c>
      <c r="J144" s="80" t="s">
        <v>157</v>
      </c>
      <c r="K144" s="87"/>
    </row>
    <row r="145" ht="14.5" spans="2:11">
      <c r="B145" s="19">
        <v>1</v>
      </c>
      <c r="C145" s="20" t="s">
        <v>158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87"/>
    </row>
    <row r="146" ht="14.5" spans="2:11">
      <c r="B146" s="82">
        <v>2</v>
      </c>
      <c r="C146" s="83" t="s">
        <v>159</v>
      </c>
      <c r="D146" s="84">
        <v>0</v>
      </c>
      <c r="E146" s="84">
        <v>0</v>
      </c>
      <c r="F146" s="84">
        <v>0</v>
      </c>
      <c r="G146" s="84">
        <v>0</v>
      </c>
      <c r="H146" s="84">
        <v>0</v>
      </c>
      <c r="I146" s="84">
        <v>0</v>
      </c>
      <c r="J146" s="84">
        <v>0</v>
      </c>
      <c r="K146" s="87"/>
    </row>
    <row r="147" ht="14.5" spans="2:11">
      <c r="B147" s="19">
        <v>3</v>
      </c>
      <c r="C147" s="20" t="s">
        <v>160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87"/>
    </row>
    <row r="148" ht="14.5" spans="2:11">
      <c r="B148" s="19">
        <v>4</v>
      </c>
      <c r="C148" s="20" t="s">
        <v>161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87"/>
    </row>
    <row r="149" ht="14.5" spans="2:11">
      <c r="B149" s="19">
        <v>5</v>
      </c>
      <c r="C149" s="20" t="s">
        <v>162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87"/>
    </row>
    <row r="150" ht="14.5" spans="2:11">
      <c r="B150" s="82">
        <v>6</v>
      </c>
      <c r="C150" s="83" t="s">
        <v>163</v>
      </c>
      <c r="D150" s="84">
        <v>0</v>
      </c>
      <c r="E150" s="84">
        <v>0</v>
      </c>
      <c r="F150" s="84">
        <v>0</v>
      </c>
      <c r="G150" s="84">
        <v>0</v>
      </c>
      <c r="H150" s="84">
        <v>0</v>
      </c>
      <c r="I150" s="84">
        <v>0</v>
      </c>
      <c r="J150" s="84">
        <v>0</v>
      </c>
      <c r="K150" s="87"/>
    </row>
    <row r="151" ht="14.5" spans="2:11">
      <c r="B151" s="82">
        <v>7</v>
      </c>
      <c r="C151" s="83" t="s">
        <v>164</v>
      </c>
      <c r="D151" s="84">
        <v>0</v>
      </c>
      <c r="E151" s="84">
        <v>0</v>
      </c>
      <c r="F151" s="84">
        <v>0</v>
      </c>
      <c r="G151" s="84">
        <v>0</v>
      </c>
      <c r="H151" s="84">
        <v>0</v>
      </c>
      <c r="I151" s="84">
        <v>0</v>
      </c>
      <c r="J151" s="84">
        <v>0</v>
      </c>
      <c r="K151" s="88"/>
    </row>
    <row r="152" ht="29.25" customHeight="1" spans="2:11">
      <c r="B152" s="20"/>
      <c r="C152" s="2" t="s">
        <v>165</v>
      </c>
      <c r="D152" s="2"/>
      <c r="E152" s="2"/>
      <c r="F152" s="2"/>
      <c r="G152" s="2"/>
      <c r="H152" s="2"/>
      <c r="I152" s="2"/>
      <c r="J152" s="2"/>
      <c r="K152" s="2"/>
    </row>
    <row r="153" ht="14.5" spans="2:11">
      <c r="B153" s="20"/>
      <c r="C153" s="2" t="s">
        <v>166</v>
      </c>
      <c r="D153" s="2"/>
      <c r="E153" s="2"/>
      <c r="F153" s="2"/>
      <c r="G153" s="2"/>
      <c r="H153" s="2"/>
      <c r="I153" s="2"/>
      <c r="J153" s="2"/>
      <c r="K153" s="20"/>
    </row>
    <row r="154" ht="14.5"/>
    <row r="155" ht="14.5" hidden="1"/>
  </sheetData>
  <sheetProtection password="DE1B" sheet="1"/>
  <mergeCells count="32">
    <mergeCell ref="B2:K2"/>
    <mergeCell ref="C3:D3"/>
    <mergeCell ref="C4:D4"/>
    <mergeCell ref="C5:D5"/>
    <mergeCell ref="B7:K7"/>
    <mergeCell ref="B8:F8"/>
    <mergeCell ref="G8:K8"/>
    <mergeCell ref="B9:C9"/>
    <mergeCell ref="D9:F9"/>
    <mergeCell ref="D56:F56"/>
    <mergeCell ref="G56:I56"/>
    <mergeCell ref="D69:F69"/>
    <mergeCell ref="G69:I69"/>
    <mergeCell ref="B82:C82"/>
    <mergeCell ref="B88:C88"/>
    <mergeCell ref="G143:J143"/>
    <mergeCell ref="C152:K152"/>
    <mergeCell ref="C153:J153"/>
    <mergeCell ref="D143:D144"/>
    <mergeCell ref="E143:E144"/>
    <mergeCell ref="F143:F144"/>
    <mergeCell ref="G9:G10"/>
    <mergeCell ref="H9:H10"/>
    <mergeCell ref="I9:I10"/>
    <mergeCell ref="J9:J10"/>
    <mergeCell ref="K9:K10"/>
    <mergeCell ref="K143:K151"/>
    <mergeCell ref="G82:K142"/>
    <mergeCell ref="B143:C144"/>
    <mergeCell ref="B56:C57"/>
    <mergeCell ref="B69:C70"/>
    <mergeCell ref="E3:K6"/>
  </mergeCells>
  <dataValidations count="1">
    <dataValidation type="decimal" operator="between" allowBlank="1" showInputMessage="1" showErrorMessage="1" sqref="D145:J145 D11:K55 D58:I68 D71:I81 D83:F87 D89:F142 D147:J151">
      <formula1>-1000000000</formula1>
      <formula2>1000000000</formula2>
    </dataValidation>
  </dataValidations>
  <pageMargins left="0.7" right="0.7" top="0.75" bottom="0.75" header="0.3" footer="0.3"/>
  <pageSetup paperSize="9" scale="77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2018-10-31T10:27:58Z</dcterms:created>
  <dcterms:modified xsi:type="dcterms:W3CDTF">2024-02-22T05:56:51Z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42B4CBD231C84F499F620EE014330DF8_13</vt:lpwstr>
  </property>
  <property fmtid="{D5CDD505-2E9C-101B-9397-08002B2CF9AE}" pid="3" name="KSOProductBuildVer">
    <vt:lpwstr>1033-12.2.0.13431</vt:lpwstr>
  </property>
</Properties>
</file>