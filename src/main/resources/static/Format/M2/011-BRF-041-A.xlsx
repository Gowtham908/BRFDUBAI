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41-RE EXPOSURE" sheetId="1" r:id="rId1"/>
  </sheets>
  <externalReferences>
    <externalReference r:id="rId2"/>
  </externalReferences>
  <definedNames>
    <definedName name="_8.1.1">#REF!</definedName>
    <definedName name="_xlnm.Print_Area" localSheetId="0">'BRF 41-RE EXPOSURE'!$B$2:$AV$72</definedName>
    <definedName name="_xlnm.Print_Titles" localSheetId="0">'BRF 41-RE EXPOSURE'!$6:$9</definedName>
  </definedNames>
  <calcPr calcId="144525" fullCalcOnLoad="1"/>
</workbook>
</file>

<file path=xl/sharedStrings.xml><?xml version="1.0" encoding="utf-8"?>
<sst xmlns="http://schemas.openxmlformats.org/spreadsheetml/2006/main" count="185" uniqueCount="102">
  <si>
    <t xml:space="preserve">                                                 BANKING AND MONETARY STATISTICS- EXPOSURES TO REAL ESTATE SECTOR- BRF 41   (AED IN 000s)</t>
  </si>
  <si>
    <t>ID:</t>
  </si>
  <si>
    <t>3-41-1-0</t>
  </si>
  <si>
    <t>BANK</t>
  </si>
  <si>
    <t>Bank of Baroda</t>
  </si>
  <si>
    <t>As On</t>
  </si>
  <si>
    <t>ABU DHABI</t>
  </si>
  <si>
    <t>DUBAI</t>
  </si>
  <si>
    <t>SHARJAH</t>
  </si>
  <si>
    <t>AJMAN</t>
  </si>
  <si>
    <t>RAS AL KHAIMAH</t>
  </si>
  <si>
    <t>UMM AL QUWAIN</t>
  </si>
  <si>
    <t>FUJAIRAH</t>
  </si>
  <si>
    <t>Types of Real Estate Exposures</t>
  </si>
  <si>
    <t>UAE Nationals &amp; their entities (Res &amp; NR)</t>
  </si>
  <si>
    <t xml:space="preserve">Non-UAE Nationals &amp; their entities </t>
  </si>
  <si>
    <t>Total</t>
  </si>
  <si>
    <t>Non-UAE Nationals and their entities  (Res &amp; NR)</t>
  </si>
  <si>
    <t>Residents (Res)</t>
  </si>
  <si>
    <t>Non-Residents( NR)</t>
  </si>
  <si>
    <t>No. of accounts</t>
  </si>
  <si>
    <t>Amount</t>
  </si>
  <si>
    <t>Loans &amp; advances to individuals</t>
  </si>
  <si>
    <t>Completed real estate</t>
  </si>
  <si>
    <t>1.1.1</t>
  </si>
  <si>
    <t>For self use</t>
  </si>
  <si>
    <t>1.1.1.1</t>
  </si>
  <si>
    <t>Residential villas</t>
  </si>
  <si>
    <t>1.1.1.2</t>
  </si>
  <si>
    <t>Residential  flats</t>
  </si>
  <si>
    <t>1.1.2</t>
  </si>
  <si>
    <t>For investment</t>
  </si>
  <si>
    <t>1.1.2.1</t>
  </si>
  <si>
    <t>1.1.2.2</t>
  </si>
  <si>
    <t>1.1.2.3</t>
  </si>
  <si>
    <t>Commercial buildings/ towers</t>
  </si>
  <si>
    <t>1.1.3</t>
  </si>
  <si>
    <t>For Trading/General Purpose</t>
  </si>
  <si>
    <t>For construction</t>
  </si>
  <si>
    <t>1.2.1</t>
  </si>
  <si>
    <t>1.2.1.1</t>
  </si>
  <si>
    <t>Plots</t>
  </si>
  <si>
    <t>1.2.1.2</t>
  </si>
  <si>
    <t>1.2.1.3</t>
  </si>
  <si>
    <t>1.2.2</t>
  </si>
  <si>
    <t>1.2.2.1</t>
  </si>
  <si>
    <t>1.2.2.2</t>
  </si>
  <si>
    <t>1.2.2,3</t>
  </si>
  <si>
    <t>1.2.2.4</t>
  </si>
  <si>
    <t>Loans &amp; advances to corporates including  HNIs</t>
  </si>
  <si>
    <t>2.1.1</t>
  </si>
  <si>
    <t>Plots ( for investment purposes)</t>
  </si>
  <si>
    <t>2.1.2</t>
  </si>
  <si>
    <t>Villas</t>
  </si>
  <si>
    <t>2.1.3</t>
  </si>
  <si>
    <t>Residential buildings</t>
  </si>
  <si>
    <t>2.1.4</t>
  </si>
  <si>
    <t>Commercial buildings/towers</t>
  </si>
  <si>
    <t>2.1.5</t>
  </si>
  <si>
    <t>Shopping complexes, malls</t>
  </si>
  <si>
    <t>2.1.6</t>
  </si>
  <si>
    <t>Warehouses</t>
  </si>
  <si>
    <t>2.1.7</t>
  </si>
  <si>
    <t>Labour complexes</t>
  </si>
  <si>
    <t>2.1.8</t>
  </si>
  <si>
    <t>Hotels (incl.  Hotel apts)</t>
  </si>
  <si>
    <t>2.1.9</t>
  </si>
  <si>
    <t>Entertainment &amp; leisure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</si>
  <si>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</si>
  <si>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</si>
  <si>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</si>
  <si>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</si>
  <si>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</si>
  <si>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</si>
  <si>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</si>
  <si>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</si>
  <si>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Hotels (incl. hotel apts)</t>
  </si>
  <si>
    <t>2.2.9</t>
  </si>
  <si>
    <t>Real Estate Developers</t>
  </si>
  <si>
    <t>2.3.1</t>
  </si>
  <si>
    <t>Completed</t>
  </si>
  <si>
    <t>2.3.2</t>
  </si>
  <si>
    <t>Working Capital to other companies involved in Real Estate</t>
  </si>
  <si>
    <t>Gross real estate loans (1+2)</t>
  </si>
  <si>
    <t>Total Deposits including refinancing and inter-bank deposits@</t>
  </si>
  <si>
    <t>Real Estate Loans to Deposits Ratio (%)</t>
  </si>
  <si>
    <r>
      <t>Other Real Estate Exposure</t>
    </r>
    <r>
      <rPr>
        <b/>
        <sz val="8"/>
        <rFont val="Calibri"/>
        <family val="2"/>
        <charset val="0"/>
      </rPr>
      <t>s</t>
    </r>
  </si>
  <si>
    <r>
      <t>Bank's own investment</t>
    </r>
    <r>
      <rPr>
        <sz val="8"/>
        <rFont val="Calibri"/>
        <family val="2"/>
        <charset val="0"/>
      </rPr>
      <t xml:space="preserve">s in real estate </t>
    </r>
  </si>
  <si>
    <r>
      <t>Bank's investment</t>
    </r>
    <r>
      <rPr>
        <sz val="8"/>
        <rFont val="Calibri"/>
        <family val="2"/>
        <charset val="0"/>
      </rPr>
      <t>s in real estate SPVs or any other similar entities with real estate activities.</t>
    </r>
  </si>
  <si>
    <t xml:space="preserve">Financial guarantees/ stand by LCs extended to finance real estate </t>
  </si>
  <si>
    <t xml:space="preserve"> </t>
  </si>
  <si>
    <t>Real Estate loans extended by UAE subsidiaries</t>
  </si>
  <si>
    <t>Real Estate loans extended by foreign branches/ subsidiaries of local banks</t>
  </si>
  <si>
    <t>Property acquired in settlement of debts</t>
  </si>
  <si>
    <t>Investment in mortgage backed securities or other securitized real estate exposures</t>
  </si>
  <si>
    <t>Deduct loans secured by deposits and irrevocable bank  guarantee up to the extent of security and Govt refinancing</t>
  </si>
  <si>
    <t>Deduct: All provisions for Real Estate including IIS</t>
  </si>
  <si>
    <t>Total Real Estate Exposure</t>
  </si>
  <si>
    <t>Notes</t>
  </si>
  <si>
    <t>Loans and advances to contractors for executing third party projects or for infrastructure projects such as  roads, bridges, etc to be excluded from the real estate exposure.</t>
  </si>
  <si>
    <r>
      <t xml:space="preserve"> @ Total deposits for the purpose of BRF 41 to be obtained from the BRF 2 item 14+15+16+22+</t>
    </r>
    <r>
      <rPr>
        <b/>
        <sz val="8"/>
        <color indexed="10"/>
        <rFont val="Calibri"/>
        <family val="2"/>
        <charset val="0"/>
      </rPr>
      <t>17+18</t>
    </r>
    <r>
      <rPr>
        <b/>
        <sz val="8"/>
        <rFont val="Calibri"/>
        <family val="2"/>
        <charset val="0"/>
      </rPr>
      <t>-17.4-22.4</t>
    </r>
  </si>
  <si>
    <t>FORM NO: BSD/BRF 41- RE EXP/NOV14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</si>
</sst>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</numFmts>
  <fonts count="36">
    <font>
      <sz val="11"/>
      <color theme="1"/>
      <name val="Calibri"/>
      <family val="2"/>
      <charset val="0"/>
      <scheme val="minor"/>
    </font>
    <font>
      <b/>
      <sz val="8"/>
      <name val="Calibri"/>
      <family val="2"/>
      <charset val="0"/>
    </font>
    <font>
      <sz val="8"/>
      <name val="Calibri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b/>
      <sz val="9"/>
      <name val="Calibri"/>
      <family val="2"/>
      <charset val="0"/>
    </font>
    <font>
      <sz val="11"/>
      <name val="Calibri"/>
      <family val="2"/>
      <charset val="0"/>
    </font>
    <font>
      <b/>
      <i/>
      <sz val="8"/>
      <name val="Calibri"/>
      <family val="2"/>
      <charset val="0"/>
    </font>
    <font>
      <b/>
      <sz val="11"/>
      <name val="Calibri"/>
      <family val="2"/>
      <charset val="0"/>
    </font>
    <font>
      <b/>
      <sz val="8"/>
      <color indexed="55"/>
      <name val="Calibri"/>
      <family val="2"/>
      <charset val="0"/>
    </font>
    <font>
      <b/>
      <sz val="10"/>
      <name val="Calibri"/>
      <family val="2"/>
      <charset val="0"/>
    </font>
    <font>
      <b/>
      <sz val="12"/>
      <color indexed="10"/>
      <name val="Calibri"/>
      <family val="2"/>
      <charset val="0"/>
    </font>
    <font>
      <b/>
      <sz val="14"/>
      <color indexed="10"/>
      <name val="Calibri"/>
      <family val="2"/>
      <charset val="0"/>
    </font>
    <font>
      <sz val="11"/>
      <color indexed="8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b/>
      <sz val="8"/>
      <color indexed="10"/>
      <name val="Calibri"/>
      <family val="2"/>
      <charset val="0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16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7" applyNumberFormat="0" applyFill="0" applyAlignment="0" applyProtection="0"/>
    <xf numFmtId="0" fontId="21" fillId="0" borderId="18" applyNumberFormat="0" applyFill="0" applyAlignment="0" applyProtection="0"/>
    <xf numFmtId="0" fontId="22" fillId="0" borderId="19" applyNumberFormat="0" applyFill="0" applyAlignment="0" applyProtection="0"/>
    <xf numFmtId="0" fontId="22" fillId="0" borderId="0" applyNumberFormat="0" applyFill="0" applyBorder="0" applyAlignment="0" applyProtection="0"/>
    <xf numFmtId="0" fontId="23" fillId="8" borderId="20" applyNumberFormat="0" applyAlignment="0" applyProtection="0"/>
    <xf numFmtId="0" fontId="24" fillId="9" borderId="21" applyNumberFormat="0" applyAlignment="0" applyProtection="0"/>
    <xf numFmtId="0" fontId="25" fillId="9" borderId="20" applyNumberFormat="0" applyAlignment="0" applyProtection="0"/>
    <xf numFmtId="0" fontId="26" fillId="10" borderId="22" applyNumberFormat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11" borderId="0" applyNumberFormat="0" applyBorder="0" applyAlignment="0" applyProtection="0"/>
    <xf numFmtId="0" fontId="30" fillId="12" borderId="0" applyNumberFormat="0" applyBorder="0" applyAlignment="0" applyProtection="0"/>
    <xf numFmtId="0" fontId="31" fillId="13" borderId="0" applyNumberFormat="0" applyBorder="0" applyAlignment="0" applyProtection="0"/>
    <xf numFmtId="0" fontId="3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32" fillId="21" borderId="0" applyNumberFormat="0" applyBorder="0" applyAlignment="0" applyProtection="0"/>
    <xf numFmtId="0" fontId="3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32" fillId="25" borderId="0" applyNumberFormat="0" applyBorder="0" applyAlignment="0" applyProtection="0"/>
    <xf numFmtId="0" fontId="32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32" fillId="37" borderId="0" applyNumberFormat="0" applyBorder="0" applyAlignment="0" applyProtection="0"/>
    <xf numFmtId="43" fontId="14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>
      <alignment vertical="center"/>
    </xf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99">
    <xf numFmtId="0" fontId="0" fillId="0" borderId="0" xfId="0"/>
    <xf numFmtId="0" fontId="1" fillId="0" borderId="0" xfId="56" applyFont="1" applyFill="1" applyBorder="1">
      <alignment vertical="center"/>
    </xf>
    <xf numFmtId="0" fontId="2" fillId="2" borderId="0" xfId="56" applyFont="1" applyFill="1" applyBorder="1">
      <alignment vertical="center"/>
    </xf>
    <xf numFmtId="0" fontId="2" fillId="0" borderId="0" xfId="56" applyFont="1" applyFill="1" applyBorder="1">
      <alignment vertical="center"/>
    </xf>
    <xf numFmtId="0" fontId="2" fillId="0" borderId="0" xfId="56" applyFont="1" applyFill="1" applyBorder="1" applyAlignment="1">
      <alignment horizontal="right" vertical="center"/>
    </xf>
    <xf numFmtId="0" fontId="3" fillId="3" borderId="1" xfId="54" applyFont="1" applyFill="1" applyBorder="1" applyAlignment="1" applyProtection="1">
      <alignment horizontal="center"/>
    </xf>
    <xf numFmtId="0" fontId="4" fillId="4" borderId="1" xfId="50" applyFont="1" applyFill="1" applyBorder="1" applyAlignment="1" applyProtection="1"/>
    <xf numFmtId="15" fontId="5" fillId="0" borderId="1" xfId="51" applyNumberFormat="1" applyFont="1" applyFill="1" applyBorder="1" applyAlignment="1" applyProtection="1">
      <alignment horizontal="left"/>
    </xf>
    <xf numFmtId="0" fontId="0" fillId="0" borderId="2" xfId="0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15" fontId="5" fillId="4" borderId="1" xfId="51" applyNumberFormat="1" applyFont="1" applyFill="1" applyBorder="1" applyAlignment="1" applyProtection="1">
      <alignment horizontal="left"/>
    </xf>
    <xf numFmtId="0" fontId="0" fillId="0" borderId="4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5" fillId="4" borderId="1" xfId="51" applyFont="1" applyFill="1" applyBorder="1" applyProtection="1"/>
    <xf numFmtId="0" fontId="0" fillId="0" borderId="5" xfId="0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9" xfId="56" applyFont="1" applyFill="1" applyBorder="1" applyAlignment="1">
      <alignment horizontal="center" vertical="center"/>
    </xf>
    <xf numFmtId="0" fontId="6" fillId="3" borderId="1" xfId="56" applyFont="1" applyFill="1" applyBorder="1" applyAlignment="1">
      <alignment horizontal="center" vertical="center"/>
    </xf>
    <xf numFmtId="0" fontId="1" fillId="3" borderId="1" xfId="56" applyFont="1" applyFill="1" applyBorder="1" applyAlignment="1">
      <alignment horizontal="center" vertical="center" wrapText="1"/>
    </xf>
    <xf numFmtId="0" fontId="2" fillId="3" borderId="1" xfId="56" applyFont="1" applyFill="1" applyBorder="1" applyAlignment="1">
      <alignment horizontal="center" vertical="center" wrapText="1"/>
    </xf>
    <xf numFmtId="0" fontId="2" fillId="3" borderId="10" xfId="56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1" xfId="56" applyFont="1" applyFill="1" applyBorder="1" applyAlignment="1">
      <alignment horizontal="center" vertical="center"/>
    </xf>
    <xf numFmtId="0" fontId="1" fillId="3" borderId="1" xfId="56" applyFont="1" applyFill="1" applyBorder="1" applyAlignment="1">
      <alignment vertical="center" wrapText="1"/>
    </xf>
    <xf numFmtId="0" fontId="1" fillId="3" borderId="1" xfId="56" applyFont="1" applyFill="1" applyBorder="1">
      <alignment vertical="center"/>
    </xf>
    <xf numFmtId="0" fontId="1" fillId="3" borderId="1" xfId="56" applyFont="1" applyFill="1" applyBorder="1" applyAlignment="1">
      <alignment horizontal="right" vertical="center"/>
    </xf>
    <xf numFmtId="3" fontId="1" fillId="4" borderId="1" xfId="56" applyNumberFormat="1" applyFont="1" applyFill="1" applyBorder="1">
      <alignment vertical="center"/>
    </xf>
    <xf numFmtId="3" fontId="2" fillId="4" borderId="1" xfId="56" applyNumberFormat="1" applyFont="1" applyFill="1" applyBorder="1">
      <alignment vertical="center"/>
    </xf>
    <xf numFmtId="3" fontId="8" fillId="4" borderId="1" xfId="56" applyNumberFormat="1" applyFont="1" applyFill="1" applyBorder="1">
      <alignment vertical="center"/>
    </xf>
    <xf numFmtId="0" fontId="2" fillId="2" borderId="1" xfId="56" applyFont="1" applyFill="1" applyBorder="1">
      <alignment vertical="center"/>
    </xf>
    <xf numFmtId="0" fontId="2" fillId="0" borderId="1" xfId="56" applyFont="1" applyFill="1" applyBorder="1" applyAlignment="1">
      <alignment horizontal="right" vertical="center"/>
    </xf>
    <xf numFmtId="0" fontId="2" fillId="0" borderId="1" xfId="56" applyFont="1" applyFill="1" applyBorder="1">
      <alignment vertical="center"/>
    </xf>
    <xf numFmtId="3" fontId="2" fillId="0" borderId="1" xfId="56" applyNumberFormat="1" applyFont="1" applyFill="1" applyBorder="1" applyProtection="1">
      <alignment vertical="center"/>
      <protection locked="0"/>
    </xf>
    <xf numFmtId="0" fontId="1" fillId="2" borderId="1" xfId="56" applyFont="1" applyFill="1" applyBorder="1">
      <alignment vertical="center"/>
    </xf>
    <xf numFmtId="0" fontId="1" fillId="5" borderId="7" xfId="56" applyFont="1" applyFill="1" applyBorder="1" applyAlignment="1">
      <alignment horizontal="left" vertical="center" wrapText="1"/>
    </xf>
    <xf numFmtId="0" fontId="1" fillId="5" borderId="8" xfId="56" applyFont="1" applyFill="1" applyBorder="1" applyAlignment="1">
      <alignment horizontal="left" vertical="center" wrapText="1"/>
    </xf>
    <xf numFmtId="0" fontId="1" fillId="5" borderId="12" xfId="56" applyFont="1" applyFill="1" applyBorder="1" applyAlignment="1">
      <alignment horizontal="left" vertical="center" wrapText="1"/>
    </xf>
    <xf numFmtId="0" fontId="2" fillId="3" borderId="1" xfId="56" applyFont="1" applyFill="1" applyBorder="1">
      <alignment vertical="center"/>
    </xf>
    <xf numFmtId="0" fontId="0" fillId="2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3" borderId="2" xfId="56" applyFont="1" applyFill="1" applyBorder="1" applyAlignment="1">
      <alignment horizontal="center" vertical="center" wrapText="1"/>
    </xf>
    <xf numFmtId="0" fontId="1" fillId="3" borderId="13" xfId="56" applyFont="1" applyFill="1" applyBorder="1" applyAlignment="1">
      <alignment horizontal="center" vertical="center" wrapText="1"/>
    </xf>
    <xf numFmtId="9" fontId="1" fillId="3" borderId="1" xfId="3" applyFont="1" applyFill="1" applyBorder="1" applyAlignment="1">
      <alignment horizontal="center" vertical="center" wrapText="1"/>
    </xf>
    <xf numFmtId="0" fontId="1" fillId="3" borderId="5" xfId="56" applyFont="1" applyFill="1" applyBorder="1" applyAlignment="1">
      <alignment horizontal="center" vertical="center" wrapText="1"/>
    </xf>
    <xf numFmtId="0" fontId="1" fillId="3" borderId="14" xfId="56" applyFont="1" applyFill="1" applyBorder="1" applyAlignment="1">
      <alignment horizontal="center" vertical="center" wrapText="1"/>
    </xf>
    <xf numFmtId="0" fontId="1" fillId="2" borderId="1" xfId="56" applyFont="1" applyFill="1" applyBorder="1" applyAlignment="1">
      <alignment horizontal="center" vertical="top" wrapText="1"/>
    </xf>
    <xf numFmtId="3" fontId="10" fillId="2" borderId="1" xfId="56" applyNumberFormat="1" applyFont="1" applyFill="1" applyBorder="1" applyAlignment="1">
      <alignment vertical="center" wrapText="1"/>
    </xf>
    <xf numFmtId="3" fontId="2" fillId="2" borderId="1" xfId="56" applyNumberFormat="1" applyFont="1" applyFill="1" applyBorder="1">
      <alignment vertical="center"/>
    </xf>
    <xf numFmtId="3" fontId="8" fillId="2" borderId="1" xfId="56" applyNumberFormat="1" applyFont="1" applyFill="1" applyBorder="1">
      <alignment vertical="center"/>
    </xf>
    <xf numFmtId="3" fontId="1" fillId="2" borderId="1" xfId="56" applyNumberFormat="1" applyFont="1" applyFill="1" applyBorder="1">
      <alignment vertical="center"/>
    </xf>
    <xf numFmtId="0" fontId="2" fillId="0" borderId="1" xfId="56" applyFont="1" applyFill="1" applyBorder="1" applyProtection="1">
      <alignment vertical="center"/>
      <protection locked="0"/>
    </xf>
    <xf numFmtId="0" fontId="2" fillId="4" borderId="2" xfId="56" applyFont="1" applyFill="1" applyBorder="1" applyAlignment="1">
      <alignment horizontal="center" vertical="center"/>
    </xf>
    <xf numFmtId="0" fontId="2" fillId="4" borderId="3" xfId="56" applyFont="1" applyFill="1" applyBorder="1" applyAlignment="1">
      <alignment horizontal="center" vertical="center"/>
    </xf>
    <xf numFmtId="0" fontId="2" fillId="4" borderId="1" xfId="56" applyFont="1" applyFill="1" applyBorder="1">
      <alignment vertical="center"/>
    </xf>
    <xf numFmtId="0" fontId="2" fillId="4" borderId="4" xfId="56" applyFont="1" applyFill="1" applyBorder="1" applyAlignment="1">
      <alignment horizontal="center" vertical="center"/>
    </xf>
    <xf numFmtId="0" fontId="2" fillId="4" borderId="0" xfId="56" applyFont="1" applyFill="1" applyBorder="1" applyAlignment="1">
      <alignment horizontal="center" vertical="center"/>
    </xf>
    <xf numFmtId="0" fontId="1" fillId="3" borderId="9" xfId="56" applyFont="1" applyFill="1" applyBorder="1" applyAlignment="1">
      <alignment horizontal="center" vertical="center"/>
    </xf>
    <xf numFmtId="0" fontId="1" fillId="3" borderId="1" xfId="56" applyFont="1" applyFill="1" applyBorder="1" applyAlignment="1">
      <alignment horizontal="center" vertical="center"/>
    </xf>
    <xf numFmtId="0" fontId="1" fillId="3" borderId="11" xfId="56" applyFont="1" applyFill="1" applyBorder="1" applyAlignment="1">
      <alignment horizontal="center" vertical="center"/>
    </xf>
    <xf numFmtId="0" fontId="0" fillId="0" borderId="13" xfId="0" applyBorder="1" applyAlignment="1" applyProtection="1">
      <alignment horizontal="center"/>
    </xf>
    <xf numFmtId="0" fontId="0" fillId="0" borderId="15" xfId="0" applyBorder="1" applyAlignment="1" applyProtection="1">
      <alignment horizontal="center"/>
    </xf>
    <xf numFmtId="0" fontId="0" fillId="0" borderId="14" xfId="0" applyBorder="1" applyAlignment="1" applyProtection="1">
      <alignment horizontal="center"/>
    </xf>
    <xf numFmtId="0" fontId="2" fillId="4" borderId="13" xfId="56" applyFont="1" applyFill="1" applyBorder="1" applyAlignment="1">
      <alignment horizontal="center" vertical="center"/>
    </xf>
    <xf numFmtId="0" fontId="2" fillId="4" borderId="15" xfId="56" applyFont="1" applyFill="1" applyBorder="1" applyAlignment="1">
      <alignment horizontal="center" vertical="center"/>
    </xf>
    <xf numFmtId="0" fontId="1" fillId="5" borderId="1" xfId="56" applyFont="1" applyFill="1" applyBorder="1" applyAlignment="1">
      <alignment vertical="center" wrapText="1"/>
    </xf>
    <xf numFmtId="0" fontId="1" fillId="3" borderId="1" xfId="56" applyFont="1" applyFill="1" applyBorder="1" applyAlignment="1">
      <alignment horizontal="right" wrapText="1"/>
    </xf>
    <xf numFmtId="0" fontId="1" fillId="3" borderId="7" xfId="56" applyFont="1" applyFill="1" applyBorder="1" applyAlignment="1">
      <alignment horizontal="left" wrapText="1"/>
    </xf>
    <xf numFmtId="0" fontId="1" fillId="3" borderId="8" xfId="56" applyFont="1" applyFill="1" applyBorder="1" applyAlignment="1">
      <alignment horizontal="left" wrapText="1"/>
    </xf>
    <xf numFmtId="0" fontId="1" fillId="6" borderId="7" xfId="56" applyFont="1" applyFill="1" applyBorder="1" applyAlignment="1">
      <alignment horizontal="left" vertical="center"/>
    </xf>
    <xf numFmtId="0" fontId="1" fillId="6" borderId="8" xfId="56" applyFont="1" applyFill="1" applyBorder="1" applyAlignment="1">
      <alignment horizontal="left" vertical="center"/>
    </xf>
    <xf numFmtId="0" fontId="2" fillId="2" borderId="7" xfId="56" applyFont="1" applyFill="1" applyBorder="1" applyAlignment="1">
      <alignment horizontal="center" vertical="center"/>
    </xf>
    <xf numFmtId="0" fontId="2" fillId="2" borderId="12" xfId="56" applyFont="1" applyFill="1" applyBorder="1" applyAlignment="1">
      <alignment horizontal="center" vertical="center"/>
    </xf>
    <xf numFmtId="0" fontId="1" fillId="5" borderId="7" xfId="56" applyFont="1" applyFill="1" applyBorder="1" applyAlignment="1">
      <alignment horizontal="left" vertical="center"/>
    </xf>
    <xf numFmtId="0" fontId="1" fillId="5" borderId="8" xfId="56" applyFont="1" applyFill="1" applyBorder="1" applyAlignment="1">
      <alignment horizontal="left" vertical="center"/>
    </xf>
    <xf numFmtId="0" fontId="1" fillId="5" borderId="12" xfId="56" applyFont="1" applyFill="1" applyBorder="1" applyAlignment="1">
      <alignment horizontal="left" vertical="center"/>
    </xf>
    <xf numFmtId="0" fontId="11" fillId="2" borderId="7" xfId="56" applyFont="1" applyFill="1" applyBorder="1" applyAlignment="1">
      <alignment horizontal="center" vertical="center"/>
    </xf>
    <xf numFmtId="0" fontId="11" fillId="2" borderId="8" xfId="56" applyFont="1" applyFill="1" applyBorder="1" applyAlignment="1">
      <alignment horizontal="center" vertical="center"/>
    </xf>
    <xf numFmtId="0" fontId="12" fillId="0" borderId="0" xfId="56" applyFont="1" applyFill="1" applyBorder="1">
      <alignment vertical="center"/>
    </xf>
    <xf numFmtId="0" fontId="13" fillId="0" borderId="0" xfId="56" applyFont="1" applyFill="1" applyBorder="1">
      <alignment vertical="center"/>
    </xf>
    <xf numFmtId="176" fontId="1" fillId="2" borderId="1" xfId="56" applyNumberFormat="1" applyFont="1" applyFill="1" applyBorder="1">
      <alignment vertical="center"/>
    </xf>
    <xf numFmtId="0" fontId="2" fillId="4" borderId="5" xfId="56" applyFont="1" applyFill="1" applyBorder="1" applyAlignment="1">
      <alignment horizontal="center" vertical="center"/>
    </xf>
    <xf numFmtId="0" fontId="2" fillId="4" borderId="6" xfId="56" applyFont="1" applyFill="1" applyBorder="1" applyAlignment="1">
      <alignment horizontal="center" vertical="center"/>
    </xf>
    <xf numFmtId="0" fontId="1" fillId="6" borderId="12" xfId="56" applyFont="1" applyFill="1" applyBorder="1" applyAlignment="1">
      <alignment horizontal="left" vertical="center"/>
    </xf>
    <xf numFmtId="0" fontId="1" fillId="3" borderId="1" xfId="56" applyFont="1" applyFill="1" applyBorder="1" applyAlignment="1">
      <alignment horizontal="left" wrapText="1"/>
    </xf>
    <xf numFmtId="0" fontId="1" fillId="2" borderId="1" xfId="56" applyFont="1" applyFill="1" applyBorder="1" applyAlignment="1">
      <alignment horizontal="left" wrapText="1"/>
    </xf>
    <xf numFmtId="0" fontId="1" fillId="2" borderId="7" xfId="56" applyFont="1" applyFill="1" applyBorder="1" applyAlignment="1">
      <alignment horizontal="center" wrapText="1"/>
    </xf>
    <xf numFmtId="0" fontId="1" fillId="2" borderId="8" xfId="56" applyFont="1" applyFill="1" applyBorder="1" applyAlignment="1">
      <alignment horizontal="center" wrapText="1"/>
    </xf>
    <xf numFmtId="0" fontId="1" fillId="3" borderId="12" xfId="56" applyFont="1" applyFill="1" applyBorder="1" applyAlignment="1">
      <alignment horizontal="left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2" fillId="4" borderId="14" xfId="56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wrapText="1"/>
    </xf>
    <xf numFmtId="0" fontId="1" fillId="2" borderId="12" xfId="56" applyFont="1" applyFill="1" applyBorder="1" applyAlignment="1">
      <alignment horizontal="center" wrapText="1"/>
    </xf>
    <xf numFmtId="0" fontId="11" fillId="2" borderId="12" xfId="56" applyFont="1" applyFill="1" applyBorder="1" applyAlignment="1">
      <alignment horizontal="center" vertical="center"/>
    </xf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Percent 2" xfId="60"/>
    <cellStyle name="Percent 3" xfId="61"/>
  </cellStyles>
  <tableStyles count="0" defaultTableStyle="TableStyleMedium9" defaultPivotStyle="PivotStyleLight16"/>
  <colors>
    <mruColors>
      <color rgb="00FF0000"/>
      <color rgb="00FFFF00"/>
      <color rgb="00FFFFFF"/>
      <color rgb="00969696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krishna.chowdary\Local%20Settings\Temporary%20Internet%20Files\OLK2C\BRFLatest\quarterly8_9_13\RE%20BRF%2059%20Quarterly-%203009201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 59-RE EXPOSUR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B1:AV77"/>
  <sheetViews>
    <sheetView showGridLines="0" tabSelected="1" zoomScaleSheetLayoutView="60" workbookViewId="0">
      <pane ySplit="9" topLeftCell="A62" activePane="bottomLeft" state="frozen"/>
      <selection/>
      <selection pane="bottomLeft" activeCell="B2" sqref="B2:AV72"/>
    </sheetView>
  </sheetViews>
  <sheetFormatPr defaultColWidth="0" defaultRowHeight="15" customHeight="1" zeroHeight="1"/>
  <cols>
    <col min="1" max="1" width="1" style="3" customWidth="1"/>
    <col min="2" max="2" width="5.70909090909091" style="3"/>
    <col min="3" max="3" width="5.70909090909091" style="4"/>
    <col min="4" max="4" width="23" style="3" customWidth="1"/>
    <col min="5" max="12" width="10.7090909090909" style="3" customWidth="1"/>
    <col min="13" max="13" width="1.13636363636364" style="2" customWidth="1"/>
    <col min="14" max="48" width="10.7090909090909" style="3" customWidth="1"/>
    <col min="49" max="49" width="2.42727272727273" style="3" customWidth="1"/>
    <col min="50" max="16384" width="0" style="3" hidden="1"/>
  </cols>
  <sheetData>
    <row r="1" customHeight="1"/>
    <row r="2" customHeight="1" spans="2:48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customHeight="1" spans="2:48">
      <c r="B3" s="6" t="s">
        <v>1</v>
      </c>
      <c r="C3" s="7" t="s">
        <v>2</v>
      </c>
      <c r="D3" s="7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64"/>
    </row>
    <row r="4" customHeight="1" spans="2:48">
      <c r="B4" s="10" t="s">
        <v>3</v>
      </c>
      <c r="C4" s="7" t="s">
        <v>4</v>
      </c>
      <c r="D4" s="7"/>
      <c r="E4" s="11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65"/>
    </row>
    <row r="5" customHeight="1" spans="2:48">
      <c r="B5" s="13" t="s">
        <v>5</v>
      </c>
      <c r="C5" s="7"/>
      <c r="D5" s="7"/>
      <c r="E5" s="14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66"/>
    </row>
    <row r="6" customFormat="1" customHeight="1" spans="2:48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41"/>
      <c r="N6" s="42" t="s">
        <v>6</v>
      </c>
      <c r="O6" s="42"/>
      <c r="P6" s="42"/>
      <c r="Q6" s="42"/>
      <c r="R6" s="42"/>
      <c r="S6" s="42" t="s">
        <v>7</v>
      </c>
      <c r="T6" s="42"/>
      <c r="U6" s="42"/>
      <c r="V6" s="42"/>
      <c r="W6" s="42"/>
      <c r="X6" s="42" t="s">
        <v>8</v>
      </c>
      <c r="Y6" s="42"/>
      <c r="Z6" s="42"/>
      <c r="AA6" s="42"/>
      <c r="AB6" s="42"/>
      <c r="AC6" s="42" t="s">
        <v>9</v>
      </c>
      <c r="AD6" s="42"/>
      <c r="AE6" s="42"/>
      <c r="AF6" s="42"/>
      <c r="AG6" s="42"/>
      <c r="AH6" s="42" t="s">
        <v>10</v>
      </c>
      <c r="AI6" s="42"/>
      <c r="AJ6" s="42"/>
      <c r="AK6" s="42"/>
      <c r="AL6" s="42"/>
      <c r="AM6" s="42" t="s">
        <v>11</v>
      </c>
      <c r="AN6" s="42"/>
      <c r="AO6" s="42"/>
      <c r="AP6" s="42"/>
      <c r="AQ6" s="42"/>
      <c r="AR6" s="42" t="s">
        <v>12</v>
      </c>
      <c r="AS6" s="42"/>
      <c r="AT6" s="42"/>
      <c r="AU6" s="42"/>
      <c r="AV6" s="42"/>
    </row>
    <row r="7" s="1" customFormat="1" customHeight="1" spans="2:48">
      <c r="B7" s="18"/>
      <c r="C7" s="19" t="s">
        <v>13</v>
      </c>
      <c r="D7" s="19"/>
      <c r="E7" s="20" t="s">
        <v>14</v>
      </c>
      <c r="F7" s="21"/>
      <c r="G7" s="20" t="s">
        <v>15</v>
      </c>
      <c r="H7" s="20"/>
      <c r="I7" s="20"/>
      <c r="J7" s="20"/>
      <c r="K7" s="20" t="s">
        <v>16</v>
      </c>
      <c r="L7" s="43"/>
      <c r="M7" s="44"/>
      <c r="N7" s="45" t="s">
        <v>14</v>
      </c>
      <c r="O7" s="46"/>
      <c r="P7" s="45" t="s">
        <v>17</v>
      </c>
      <c r="Q7" s="46"/>
      <c r="R7" s="61" t="s">
        <v>16</v>
      </c>
      <c r="S7" s="20" t="s">
        <v>14</v>
      </c>
      <c r="T7" s="21"/>
      <c r="U7" s="20" t="s">
        <v>17</v>
      </c>
      <c r="V7" s="20"/>
      <c r="W7" s="62" t="s">
        <v>16</v>
      </c>
      <c r="X7" s="20" t="s">
        <v>14</v>
      </c>
      <c r="Y7" s="21"/>
      <c r="Z7" s="20" t="s">
        <v>17</v>
      </c>
      <c r="AA7" s="20"/>
      <c r="AB7" s="62" t="s">
        <v>16</v>
      </c>
      <c r="AC7" s="20" t="s">
        <v>14</v>
      </c>
      <c r="AD7" s="21"/>
      <c r="AE7" s="20" t="s">
        <v>17</v>
      </c>
      <c r="AF7" s="20"/>
      <c r="AG7" s="62" t="s">
        <v>16</v>
      </c>
      <c r="AH7" s="20" t="s">
        <v>14</v>
      </c>
      <c r="AI7" s="21"/>
      <c r="AJ7" s="20" t="s">
        <v>17</v>
      </c>
      <c r="AK7" s="20"/>
      <c r="AL7" s="62" t="s">
        <v>16</v>
      </c>
      <c r="AM7" s="20" t="s">
        <v>14</v>
      </c>
      <c r="AN7" s="21"/>
      <c r="AO7" s="20" t="s">
        <v>17</v>
      </c>
      <c r="AP7" s="20"/>
      <c r="AQ7" s="62" t="s">
        <v>16</v>
      </c>
      <c r="AR7" s="20" t="s">
        <v>14</v>
      </c>
      <c r="AS7" s="21"/>
      <c r="AT7" s="20" t="s">
        <v>17</v>
      </c>
      <c r="AU7" s="20"/>
      <c r="AV7" s="62" t="s">
        <v>16</v>
      </c>
    </row>
    <row r="8" s="1" customFormat="1" ht="38.25" customHeight="1" spans="2:48">
      <c r="B8" s="22"/>
      <c r="C8" s="19"/>
      <c r="D8" s="19"/>
      <c r="E8" s="23"/>
      <c r="F8" s="23"/>
      <c r="G8" s="24" t="s">
        <v>18</v>
      </c>
      <c r="H8" s="24"/>
      <c r="I8" s="47" t="s">
        <v>19</v>
      </c>
      <c r="J8" s="47"/>
      <c r="K8" s="43"/>
      <c r="L8" s="43"/>
      <c r="M8" s="44"/>
      <c r="N8" s="48"/>
      <c r="O8" s="49"/>
      <c r="P8" s="48"/>
      <c r="Q8" s="49"/>
      <c r="R8" s="63"/>
      <c r="S8" s="23"/>
      <c r="T8" s="23"/>
      <c r="U8" s="20"/>
      <c r="V8" s="20"/>
      <c r="W8" s="62"/>
      <c r="X8" s="23"/>
      <c r="Y8" s="23"/>
      <c r="Z8" s="20"/>
      <c r="AA8" s="20"/>
      <c r="AB8" s="62"/>
      <c r="AC8" s="23"/>
      <c r="AD8" s="23"/>
      <c r="AE8" s="20"/>
      <c r="AF8" s="20"/>
      <c r="AG8" s="62"/>
      <c r="AH8" s="23"/>
      <c r="AI8" s="23"/>
      <c r="AJ8" s="20"/>
      <c r="AK8" s="20"/>
      <c r="AL8" s="62"/>
      <c r="AM8" s="23"/>
      <c r="AN8" s="23"/>
      <c r="AO8" s="20"/>
      <c r="AP8" s="20"/>
      <c r="AQ8" s="62"/>
      <c r="AR8" s="23"/>
      <c r="AS8" s="23"/>
      <c r="AT8" s="20"/>
      <c r="AU8" s="20"/>
      <c r="AV8" s="62"/>
    </row>
    <row r="9" s="1" customFormat="1" ht="10.5" spans="2:48">
      <c r="B9" s="25"/>
      <c r="C9" s="19"/>
      <c r="D9" s="19"/>
      <c r="E9" s="26" t="s">
        <v>20</v>
      </c>
      <c r="F9" s="27" t="s">
        <v>21</v>
      </c>
      <c r="G9" s="26" t="s">
        <v>20</v>
      </c>
      <c r="H9" s="27" t="s">
        <v>21</v>
      </c>
      <c r="I9" s="26" t="s">
        <v>20</v>
      </c>
      <c r="J9" s="27" t="s">
        <v>21</v>
      </c>
      <c r="K9" s="26" t="s">
        <v>20</v>
      </c>
      <c r="L9" s="27" t="s">
        <v>21</v>
      </c>
      <c r="M9" s="50"/>
      <c r="N9" s="26" t="s">
        <v>20</v>
      </c>
      <c r="O9" s="27" t="s">
        <v>21</v>
      </c>
      <c r="P9" s="26" t="s">
        <v>20</v>
      </c>
      <c r="Q9" s="27" t="s">
        <v>21</v>
      </c>
      <c r="R9" s="27" t="s">
        <v>21</v>
      </c>
      <c r="S9" s="26" t="s">
        <v>20</v>
      </c>
      <c r="T9" s="27" t="s">
        <v>21</v>
      </c>
      <c r="U9" s="26" t="s">
        <v>20</v>
      </c>
      <c r="V9" s="27" t="s">
        <v>21</v>
      </c>
      <c r="W9" s="27" t="s">
        <v>21</v>
      </c>
      <c r="X9" s="26" t="s">
        <v>20</v>
      </c>
      <c r="Y9" s="27" t="s">
        <v>21</v>
      </c>
      <c r="Z9" s="26" t="s">
        <v>20</v>
      </c>
      <c r="AA9" s="27" t="s">
        <v>21</v>
      </c>
      <c r="AB9" s="27" t="s">
        <v>21</v>
      </c>
      <c r="AC9" s="26" t="s">
        <v>20</v>
      </c>
      <c r="AD9" s="27" t="s">
        <v>21</v>
      </c>
      <c r="AE9" s="26" t="s">
        <v>20</v>
      </c>
      <c r="AF9" s="27" t="s">
        <v>21</v>
      </c>
      <c r="AG9" s="27" t="s">
        <v>21</v>
      </c>
      <c r="AH9" s="26" t="s">
        <v>20</v>
      </c>
      <c r="AI9" s="27" t="s">
        <v>21</v>
      </c>
      <c r="AJ9" s="26" t="s">
        <v>20</v>
      </c>
      <c r="AK9" s="27" t="s">
        <v>21</v>
      </c>
      <c r="AL9" s="27" t="s">
        <v>21</v>
      </c>
      <c r="AM9" s="26" t="s">
        <v>20</v>
      </c>
      <c r="AN9" s="27" t="s">
        <v>21</v>
      </c>
      <c r="AO9" s="26" t="s">
        <v>20</v>
      </c>
      <c r="AP9" s="27" t="s">
        <v>21</v>
      </c>
      <c r="AQ9" s="27" t="s">
        <v>21</v>
      </c>
      <c r="AR9" s="26" t="s">
        <v>20</v>
      </c>
      <c r="AS9" s="27" t="s">
        <v>21</v>
      </c>
      <c r="AT9" s="26" t="s">
        <v>20</v>
      </c>
      <c r="AU9" s="27" t="s">
        <v>21</v>
      </c>
      <c r="AV9" s="27" t="s">
        <v>21</v>
      </c>
    </row>
    <row r="10" s="1" customFormat="1" ht="10.5" spans="2:48">
      <c r="B10" s="27">
        <v>1</v>
      </c>
      <c r="C10" s="28"/>
      <c r="D10" s="26" t="s">
        <v>22</v>
      </c>
      <c r="E10" s="29">
        <f t="shared" ref="E10:L10" si="0">E11+E20</f>
        <v>0</v>
      </c>
      <c r="F10" s="29">
        <f t="shared" si="0"/>
        <v>0</v>
      </c>
      <c r="G10" s="29">
        <f t="shared" si="0"/>
        <v>0</v>
      </c>
      <c r="H10" s="29">
        <f t="shared" si="0"/>
        <v>0</v>
      </c>
      <c r="I10" s="29">
        <f t="shared" si="0"/>
        <v>0</v>
      </c>
      <c r="J10" s="29">
        <f t="shared" si="0"/>
        <v>0</v>
      </c>
      <c r="K10" s="29">
        <f t="shared" si="0"/>
        <v>0</v>
      </c>
      <c r="L10" s="29">
        <f t="shared" si="0"/>
        <v>0</v>
      </c>
      <c r="M10" s="51"/>
      <c r="N10" s="29">
        <f>N11+N20</f>
        <v>0</v>
      </c>
      <c r="O10" s="29">
        <f>O11+O20</f>
        <v>0</v>
      </c>
      <c r="P10" s="29">
        <f>P11+P20</f>
        <v>0</v>
      </c>
      <c r="Q10" s="29">
        <f>Q11+Q20</f>
        <v>0</v>
      </c>
      <c r="R10" s="29">
        <f>O10+Q10</f>
        <v>0</v>
      </c>
      <c r="S10" s="29">
        <f>S11+S20</f>
        <v>0</v>
      </c>
      <c r="T10" s="29">
        <f>T11+T20</f>
        <v>0</v>
      </c>
      <c r="U10" s="29">
        <f>U11+U20</f>
        <v>0</v>
      </c>
      <c r="V10" s="29">
        <f>V11+V20</f>
        <v>0</v>
      </c>
      <c r="W10" s="29">
        <f>T10+V10</f>
        <v>0</v>
      </c>
      <c r="X10" s="29">
        <f>X11+X20</f>
        <v>0</v>
      </c>
      <c r="Y10" s="29">
        <f>Y11+Y20</f>
        <v>0</v>
      </c>
      <c r="Z10" s="29">
        <f>Z11+Z20</f>
        <v>0</v>
      </c>
      <c r="AA10" s="29">
        <f>AA11+AA20</f>
        <v>0</v>
      </c>
      <c r="AB10" s="29">
        <f>Y10+AA10</f>
        <v>0</v>
      </c>
      <c r="AC10" s="29">
        <f>AC11+AC20</f>
        <v>0</v>
      </c>
      <c r="AD10" s="29">
        <f>AD11+AD20</f>
        <v>0</v>
      </c>
      <c r="AE10" s="29">
        <f>AE11+AE20</f>
        <v>0</v>
      </c>
      <c r="AF10" s="29">
        <f>AF11+AF20</f>
        <v>0</v>
      </c>
      <c r="AG10" s="29">
        <f>AD10+AF10</f>
        <v>0</v>
      </c>
      <c r="AH10" s="29">
        <f>AH11+AH20</f>
        <v>0</v>
      </c>
      <c r="AI10" s="29">
        <f>AI11+AI20</f>
        <v>0</v>
      </c>
      <c r="AJ10" s="29">
        <f>AJ11+AJ20</f>
        <v>0</v>
      </c>
      <c r="AK10" s="29">
        <f>AK11+AK20</f>
        <v>0</v>
      </c>
      <c r="AL10" s="29">
        <f>AI10+AK10</f>
        <v>0</v>
      </c>
      <c r="AM10" s="29">
        <f>AM11+AM20</f>
        <v>0</v>
      </c>
      <c r="AN10" s="29">
        <f>AN11+AN20</f>
        <v>0</v>
      </c>
      <c r="AO10" s="29">
        <f>AO11+AO20</f>
        <v>0</v>
      </c>
      <c r="AP10" s="29">
        <f>AP11+AP20</f>
        <v>0</v>
      </c>
      <c r="AQ10" s="29">
        <f>AN10+AP10</f>
        <v>0</v>
      </c>
      <c r="AR10" s="29">
        <f>AR11+AR20</f>
        <v>0</v>
      </c>
      <c r="AS10" s="29">
        <f>AS11+AS20</f>
        <v>0</v>
      </c>
      <c r="AT10" s="29">
        <f>AT11+AT20</f>
        <v>0</v>
      </c>
      <c r="AU10" s="29">
        <f>AU11+AU20</f>
        <v>0</v>
      </c>
      <c r="AV10" s="29">
        <f>AS10+AU10</f>
        <v>0</v>
      </c>
    </row>
    <row r="11" ht="14.5" spans="2:48">
      <c r="B11" s="27"/>
      <c r="C11" s="28">
        <v>1.1</v>
      </c>
      <c r="D11" s="26" t="s">
        <v>23</v>
      </c>
      <c r="E11" s="30">
        <f>E12+E15+E19</f>
        <v>0</v>
      </c>
      <c r="F11" s="30">
        <f t="shared" ref="F11:AV11" si="1">F12+F15+F19</f>
        <v>0</v>
      </c>
      <c r="G11" s="30">
        <f t="shared" si="1"/>
        <v>0</v>
      </c>
      <c r="H11" s="30">
        <f t="shared" si="1"/>
        <v>0</v>
      </c>
      <c r="I11" s="30">
        <f t="shared" si="1"/>
        <v>0</v>
      </c>
      <c r="J11" s="30">
        <f t="shared" si="1"/>
        <v>0</v>
      </c>
      <c r="K11" s="30">
        <f>E11+G11+I11</f>
        <v>0</v>
      </c>
      <c r="L11" s="30">
        <f>F11+H11+J11</f>
        <v>0</v>
      </c>
      <c r="M11" s="52"/>
      <c r="N11" s="30">
        <f>N12+N15+N19</f>
        <v>0</v>
      </c>
      <c r="O11" s="30">
        <f>O12+O15+O19</f>
        <v>0</v>
      </c>
      <c r="P11" s="30">
        <f>P12+P15+P19</f>
        <v>0</v>
      </c>
      <c r="Q11" s="30">
        <f>Q12+Q15+Q19</f>
        <v>0</v>
      </c>
      <c r="R11" s="30">
        <f t="shared" si="1"/>
        <v>0</v>
      </c>
      <c r="S11" s="30">
        <f t="shared" si="1"/>
        <v>0</v>
      </c>
      <c r="T11" s="30">
        <f t="shared" si="1"/>
        <v>0</v>
      </c>
      <c r="U11" s="30">
        <f t="shared" si="1"/>
        <v>0</v>
      </c>
      <c r="V11" s="30">
        <f t="shared" si="1"/>
        <v>0</v>
      </c>
      <c r="W11" s="30">
        <f t="shared" si="1"/>
        <v>0</v>
      </c>
      <c r="X11" s="30">
        <f t="shared" si="1"/>
        <v>0</v>
      </c>
      <c r="Y11" s="30">
        <f t="shared" si="1"/>
        <v>0</v>
      </c>
      <c r="Z11" s="30">
        <f t="shared" si="1"/>
        <v>0</v>
      </c>
      <c r="AA11" s="30">
        <f t="shared" si="1"/>
        <v>0</v>
      </c>
      <c r="AB11" s="30">
        <f t="shared" si="1"/>
        <v>0</v>
      </c>
      <c r="AC11" s="30">
        <f t="shared" si="1"/>
        <v>0</v>
      </c>
      <c r="AD11" s="30">
        <f t="shared" si="1"/>
        <v>0</v>
      </c>
      <c r="AE11" s="30">
        <f t="shared" si="1"/>
        <v>0</v>
      </c>
      <c r="AF11" s="30">
        <f t="shared" si="1"/>
        <v>0</v>
      </c>
      <c r="AG11" s="30">
        <f t="shared" si="1"/>
        <v>0</v>
      </c>
      <c r="AH11" s="30">
        <f t="shared" si="1"/>
        <v>0</v>
      </c>
      <c r="AI11" s="30">
        <f t="shared" si="1"/>
        <v>0</v>
      </c>
      <c r="AJ11" s="30">
        <f t="shared" si="1"/>
        <v>0</v>
      </c>
      <c r="AK11" s="30">
        <f t="shared" si="1"/>
        <v>0</v>
      </c>
      <c r="AL11" s="30">
        <f t="shared" si="1"/>
        <v>0</v>
      </c>
      <c r="AM11" s="30">
        <f t="shared" si="1"/>
        <v>0</v>
      </c>
      <c r="AN11" s="30">
        <f t="shared" si="1"/>
        <v>0</v>
      </c>
      <c r="AO11" s="30">
        <f t="shared" si="1"/>
        <v>0</v>
      </c>
      <c r="AP11" s="30">
        <f t="shared" si="1"/>
        <v>0</v>
      </c>
      <c r="AQ11" s="30">
        <f t="shared" si="1"/>
        <v>0</v>
      </c>
      <c r="AR11" s="30">
        <f t="shared" si="1"/>
        <v>0</v>
      </c>
      <c r="AS11" s="30">
        <f t="shared" si="1"/>
        <v>0</v>
      </c>
      <c r="AT11" s="30">
        <f t="shared" si="1"/>
        <v>0</v>
      </c>
      <c r="AU11" s="30">
        <f t="shared" si="1"/>
        <v>0</v>
      </c>
      <c r="AV11" s="30">
        <f t="shared" si="1"/>
        <v>0</v>
      </c>
    </row>
    <row r="12" ht="14.5" spans="2:48">
      <c r="B12" s="27"/>
      <c r="C12" s="28" t="s">
        <v>24</v>
      </c>
      <c r="D12" s="26" t="s">
        <v>25</v>
      </c>
      <c r="E12" s="31">
        <f>E13+E14</f>
        <v>0</v>
      </c>
      <c r="F12" s="31">
        <f t="shared" ref="F12:AV12" si="2">F13+F14</f>
        <v>0</v>
      </c>
      <c r="G12" s="31">
        <f t="shared" si="2"/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  <c r="M12" s="53"/>
      <c r="N12" s="31">
        <f>N13+N14</f>
        <v>0</v>
      </c>
      <c r="O12" s="31">
        <f>O13+O14</f>
        <v>0</v>
      </c>
      <c r="P12" s="31">
        <f>P13+P14</f>
        <v>0</v>
      </c>
      <c r="Q12" s="31">
        <f>Q13+Q14</f>
        <v>0</v>
      </c>
      <c r="R12" s="31">
        <f t="shared" si="2"/>
        <v>0</v>
      </c>
      <c r="S12" s="31">
        <f t="shared" si="2"/>
        <v>0</v>
      </c>
      <c r="T12" s="31">
        <f t="shared" si="2"/>
        <v>0</v>
      </c>
      <c r="U12" s="31">
        <f t="shared" si="2"/>
        <v>0</v>
      </c>
      <c r="V12" s="31">
        <f t="shared" si="2"/>
        <v>0</v>
      </c>
      <c r="W12" s="31">
        <f t="shared" si="2"/>
        <v>0</v>
      </c>
      <c r="X12" s="31">
        <f t="shared" si="2"/>
        <v>0</v>
      </c>
      <c r="Y12" s="31">
        <f t="shared" si="2"/>
        <v>0</v>
      </c>
      <c r="Z12" s="31">
        <f t="shared" si="2"/>
        <v>0</v>
      </c>
      <c r="AA12" s="31">
        <f t="shared" si="2"/>
        <v>0</v>
      </c>
      <c r="AB12" s="31">
        <f t="shared" si="2"/>
        <v>0</v>
      </c>
      <c r="AC12" s="31">
        <f t="shared" si="2"/>
        <v>0</v>
      </c>
      <c r="AD12" s="31">
        <f t="shared" si="2"/>
        <v>0</v>
      </c>
      <c r="AE12" s="31">
        <f t="shared" si="2"/>
        <v>0</v>
      </c>
      <c r="AF12" s="31">
        <f t="shared" si="2"/>
        <v>0</v>
      </c>
      <c r="AG12" s="31">
        <f t="shared" si="2"/>
        <v>0</v>
      </c>
      <c r="AH12" s="31">
        <f t="shared" si="2"/>
        <v>0</v>
      </c>
      <c r="AI12" s="31">
        <f t="shared" si="2"/>
        <v>0</v>
      </c>
      <c r="AJ12" s="31">
        <f t="shared" si="2"/>
        <v>0</v>
      </c>
      <c r="AK12" s="31">
        <f t="shared" si="2"/>
        <v>0</v>
      </c>
      <c r="AL12" s="31">
        <f t="shared" si="2"/>
        <v>0</v>
      </c>
      <c r="AM12" s="31">
        <f t="shared" si="2"/>
        <v>0</v>
      </c>
      <c r="AN12" s="31">
        <f t="shared" si="2"/>
        <v>0</v>
      </c>
      <c r="AO12" s="31">
        <f t="shared" si="2"/>
        <v>0</v>
      </c>
      <c r="AP12" s="31">
        <f t="shared" si="2"/>
        <v>0</v>
      </c>
      <c r="AQ12" s="31">
        <f t="shared" si="2"/>
        <v>0</v>
      </c>
      <c r="AR12" s="31">
        <f t="shared" si="2"/>
        <v>0</v>
      </c>
      <c r="AS12" s="31">
        <f t="shared" si="2"/>
        <v>0</v>
      </c>
      <c r="AT12" s="31">
        <f t="shared" si="2"/>
        <v>0</v>
      </c>
      <c r="AU12" s="31">
        <f t="shared" si="2"/>
        <v>0</v>
      </c>
      <c r="AV12" s="31">
        <f t="shared" si="2"/>
        <v>0</v>
      </c>
    </row>
    <row r="13" ht="14.5" spans="2:48">
      <c r="B13" s="32"/>
      <c r="C13" s="33" t="s">
        <v>26</v>
      </c>
      <c r="D13" s="34" t="s">
        <v>27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0">
        <f>+E13+G13+I13</f>
        <v>0</v>
      </c>
      <c r="L13" s="30">
        <f>+F13+H13+J13</f>
        <v>0</v>
      </c>
      <c r="M13" s="52"/>
      <c r="N13" s="35">
        <v>0</v>
      </c>
      <c r="O13" s="35">
        <v>0</v>
      </c>
      <c r="P13" s="35">
        <v>0</v>
      </c>
      <c r="Q13" s="35">
        <v>0</v>
      </c>
      <c r="R13" s="30">
        <f>+O13+Q13</f>
        <v>0</v>
      </c>
      <c r="S13" s="35">
        <v>0</v>
      </c>
      <c r="T13" s="35">
        <v>0</v>
      </c>
      <c r="U13" s="35">
        <v>0</v>
      </c>
      <c r="V13" s="35">
        <v>0</v>
      </c>
      <c r="W13" s="30">
        <f>+T13+V13</f>
        <v>0</v>
      </c>
      <c r="X13" s="35">
        <v>0</v>
      </c>
      <c r="Y13" s="35">
        <v>0</v>
      </c>
      <c r="Z13" s="35">
        <v>0</v>
      </c>
      <c r="AA13" s="35">
        <v>0</v>
      </c>
      <c r="AB13" s="30">
        <f>+Y13+AA13</f>
        <v>0</v>
      </c>
      <c r="AC13" s="35">
        <v>0</v>
      </c>
      <c r="AD13" s="35">
        <v>0</v>
      </c>
      <c r="AE13" s="35">
        <v>0</v>
      </c>
      <c r="AF13" s="35">
        <v>0</v>
      </c>
      <c r="AG13" s="30">
        <f>+AD13+AF13</f>
        <v>0</v>
      </c>
      <c r="AH13" s="35">
        <v>0</v>
      </c>
      <c r="AI13" s="35">
        <v>0</v>
      </c>
      <c r="AJ13" s="35">
        <v>0</v>
      </c>
      <c r="AK13" s="35">
        <v>0</v>
      </c>
      <c r="AL13" s="30">
        <f>+AI13+AK13</f>
        <v>0</v>
      </c>
      <c r="AM13" s="35">
        <v>0</v>
      </c>
      <c r="AN13" s="35">
        <v>0</v>
      </c>
      <c r="AO13" s="35">
        <v>0</v>
      </c>
      <c r="AP13" s="35">
        <v>0</v>
      </c>
      <c r="AQ13" s="30">
        <f>+AN13+AP13</f>
        <v>0</v>
      </c>
      <c r="AR13" s="35">
        <v>0</v>
      </c>
      <c r="AS13" s="35">
        <v>0</v>
      </c>
      <c r="AT13" s="35">
        <v>0</v>
      </c>
      <c r="AU13" s="35">
        <v>0</v>
      </c>
      <c r="AV13" s="30">
        <f>+AS13+AU13</f>
        <v>0</v>
      </c>
    </row>
    <row r="14" ht="14.5" spans="2:48">
      <c r="B14" s="32"/>
      <c r="C14" s="33" t="s">
        <v>28</v>
      </c>
      <c r="D14" s="34" t="s">
        <v>29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0">
        <f>+E14+G14+I14</f>
        <v>0</v>
      </c>
      <c r="L14" s="30">
        <f>+F14+H14+J14</f>
        <v>0</v>
      </c>
      <c r="M14" s="52"/>
      <c r="N14" s="35">
        <v>0</v>
      </c>
      <c r="O14" s="35">
        <v>0</v>
      </c>
      <c r="P14" s="35">
        <v>0</v>
      </c>
      <c r="Q14" s="35">
        <v>0</v>
      </c>
      <c r="R14" s="30">
        <f>+O14+Q14</f>
        <v>0</v>
      </c>
      <c r="S14" s="35">
        <v>0</v>
      </c>
      <c r="T14" s="35">
        <v>0</v>
      </c>
      <c r="U14" s="35">
        <v>0</v>
      </c>
      <c r="V14" s="35">
        <v>0</v>
      </c>
      <c r="W14" s="30">
        <f>+T14+V14</f>
        <v>0</v>
      </c>
      <c r="X14" s="35">
        <v>0</v>
      </c>
      <c r="Y14" s="35">
        <v>0</v>
      </c>
      <c r="Z14" s="35">
        <v>0</v>
      </c>
      <c r="AA14" s="35">
        <v>0</v>
      </c>
      <c r="AB14" s="30">
        <f>+Y14+AA14</f>
        <v>0</v>
      </c>
      <c r="AC14" s="35">
        <v>0</v>
      </c>
      <c r="AD14" s="35">
        <v>0</v>
      </c>
      <c r="AE14" s="35">
        <v>0</v>
      </c>
      <c r="AF14" s="35">
        <v>0</v>
      </c>
      <c r="AG14" s="30">
        <f>+AD14+AF14</f>
        <v>0</v>
      </c>
      <c r="AH14" s="35">
        <v>0</v>
      </c>
      <c r="AI14" s="35">
        <v>0</v>
      </c>
      <c r="AJ14" s="35">
        <v>0</v>
      </c>
      <c r="AK14" s="35">
        <v>0</v>
      </c>
      <c r="AL14" s="30">
        <f>+AI14+AK14</f>
        <v>0</v>
      </c>
      <c r="AM14" s="35">
        <v>0</v>
      </c>
      <c r="AN14" s="35">
        <v>0</v>
      </c>
      <c r="AO14" s="35">
        <v>0</v>
      </c>
      <c r="AP14" s="35">
        <v>0</v>
      </c>
      <c r="AQ14" s="30">
        <f>+AN14+AP14</f>
        <v>0</v>
      </c>
      <c r="AR14" s="35">
        <v>0</v>
      </c>
      <c r="AS14" s="35">
        <v>0</v>
      </c>
      <c r="AT14" s="35">
        <v>0</v>
      </c>
      <c r="AU14" s="35">
        <v>0</v>
      </c>
      <c r="AV14" s="30">
        <f>+AS14+AU14</f>
        <v>0</v>
      </c>
    </row>
    <row r="15" ht="14.5" spans="2:48">
      <c r="B15" s="27"/>
      <c r="C15" s="28" t="s">
        <v>30</v>
      </c>
      <c r="D15" s="26" t="s">
        <v>31</v>
      </c>
      <c r="E15" s="31">
        <f>E16+E17+E18</f>
        <v>0</v>
      </c>
      <c r="F15" s="31">
        <f t="shared" ref="F15:AV15" si="3">F16+F17+F18</f>
        <v>0</v>
      </c>
      <c r="G15" s="31">
        <f t="shared" si="3"/>
        <v>0</v>
      </c>
      <c r="H15" s="31">
        <f t="shared" si="3"/>
        <v>0</v>
      </c>
      <c r="I15" s="31">
        <f t="shared" si="3"/>
        <v>0</v>
      </c>
      <c r="J15" s="31">
        <f t="shared" si="3"/>
        <v>0</v>
      </c>
      <c r="K15" s="31">
        <f t="shared" si="3"/>
        <v>0</v>
      </c>
      <c r="L15" s="31">
        <f t="shared" si="3"/>
        <v>0</v>
      </c>
      <c r="M15" s="53"/>
      <c r="N15" s="31">
        <f>N16+N17+N18</f>
        <v>0</v>
      </c>
      <c r="O15" s="31">
        <f>O16+O17+O18</f>
        <v>0</v>
      </c>
      <c r="P15" s="31">
        <f>P16+P17+P18</f>
        <v>0</v>
      </c>
      <c r="Q15" s="31">
        <f>Q16+Q17+Q18</f>
        <v>0</v>
      </c>
      <c r="R15" s="31">
        <f t="shared" si="3"/>
        <v>0</v>
      </c>
      <c r="S15" s="31">
        <f t="shared" si="3"/>
        <v>0</v>
      </c>
      <c r="T15" s="31">
        <f t="shared" si="3"/>
        <v>0</v>
      </c>
      <c r="U15" s="31">
        <f t="shared" si="3"/>
        <v>0</v>
      </c>
      <c r="V15" s="31">
        <f t="shared" si="3"/>
        <v>0</v>
      </c>
      <c r="W15" s="31">
        <f t="shared" si="3"/>
        <v>0</v>
      </c>
      <c r="X15" s="31">
        <f t="shared" si="3"/>
        <v>0</v>
      </c>
      <c r="Y15" s="31">
        <f t="shared" si="3"/>
        <v>0</v>
      </c>
      <c r="Z15" s="31">
        <f t="shared" si="3"/>
        <v>0</v>
      </c>
      <c r="AA15" s="31">
        <f t="shared" si="3"/>
        <v>0</v>
      </c>
      <c r="AB15" s="31">
        <f t="shared" si="3"/>
        <v>0</v>
      </c>
      <c r="AC15" s="31">
        <f t="shared" si="3"/>
        <v>0</v>
      </c>
      <c r="AD15" s="31">
        <f t="shared" si="3"/>
        <v>0</v>
      </c>
      <c r="AE15" s="31">
        <f t="shared" si="3"/>
        <v>0</v>
      </c>
      <c r="AF15" s="31">
        <f t="shared" si="3"/>
        <v>0</v>
      </c>
      <c r="AG15" s="31">
        <f t="shared" si="3"/>
        <v>0</v>
      </c>
      <c r="AH15" s="31">
        <f t="shared" si="3"/>
        <v>0</v>
      </c>
      <c r="AI15" s="31">
        <f t="shared" si="3"/>
        <v>0</v>
      </c>
      <c r="AJ15" s="31">
        <f t="shared" si="3"/>
        <v>0</v>
      </c>
      <c r="AK15" s="31">
        <f t="shared" si="3"/>
        <v>0</v>
      </c>
      <c r="AL15" s="31">
        <f t="shared" si="3"/>
        <v>0</v>
      </c>
      <c r="AM15" s="31">
        <f t="shared" si="3"/>
        <v>0</v>
      </c>
      <c r="AN15" s="31">
        <f t="shared" si="3"/>
        <v>0</v>
      </c>
      <c r="AO15" s="31">
        <f t="shared" si="3"/>
        <v>0</v>
      </c>
      <c r="AP15" s="31">
        <f t="shared" si="3"/>
        <v>0</v>
      </c>
      <c r="AQ15" s="31">
        <f t="shared" si="3"/>
        <v>0</v>
      </c>
      <c r="AR15" s="31">
        <f t="shared" si="3"/>
        <v>0</v>
      </c>
      <c r="AS15" s="31">
        <f t="shared" si="3"/>
        <v>0</v>
      </c>
      <c r="AT15" s="31">
        <f t="shared" si="3"/>
        <v>0</v>
      </c>
      <c r="AU15" s="31">
        <f t="shared" si="3"/>
        <v>0</v>
      </c>
      <c r="AV15" s="31">
        <f t="shared" si="3"/>
        <v>0</v>
      </c>
    </row>
    <row r="16" ht="14.5" spans="2:48">
      <c r="B16" s="32"/>
      <c r="C16" s="33" t="s">
        <v>32</v>
      </c>
      <c r="D16" s="34" t="s">
        <v>27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0">
        <f t="shared" ref="K16:L19" si="4">+E16+G16+I16</f>
        <v>0</v>
      </c>
      <c r="L16" s="30">
        <f t="shared" si="4"/>
        <v>0</v>
      </c>
      <c r="M16" s="52"/>
      <c r="N16" s="35">
        <v>0</v>
      </c>
      <c r="O16" s="35">
        <v>0</v>
      </c>
      <c r="P16" s="35">
        <v>0</v>
      </c>
      <c r="Q16" s="35">
        <v>0</v>
      </c>
      <c r="R16" s="30">
        <f>+O16+Q16</f>
        <v>0</v>
      </c>
      <c r="S16" s="35">
        <v>0</v>
      </c>
      <c r="T16" s="35">
        <v>0</v>
      </c>
      <c r="U16" s="35">
        <v>0</v>
      </c>
      <c r="V16" s="35">
        <v>0</v>
      </c>
      <c r="W16" s="30">
        <f>+T16+V16</f>
        <v>0</v>
      </c>
      <c r="X16" s="35">
        <v>0</v>
      </c>
      <c r="Y16" s="35">
        <v>0</v>
      </c>
      <c r="Z16" s="35">
        <v>0</v>
      </c>
      <c r="AA16" s="35">
        <v>0</v>
      </c>
      <c r="AB16" s="30">
        <f>+Y16+AA16</f>
        <v>0</v>
      </c>
      <c r="AC16" s="35">
        <v>0</v>
      </c>
      <c r="AD16" s="35">
        <v>0</v>
      </c>
      <c r="AE16" s="35">
        <v>0</v>
      </c>
      <c r="AF16" s="35">
        <v>0</v>
      </c>
      <c r="AG16" s="30">
        <f>+AD16+AF16</f>
        <v>0</v>
      </c>
      <c r="AH16" s="35">
        <v>0</v>
      </c>
      <c r="AI16" s="35">
        <v>0</v>
      </c>
      <c r="AJ16" s="35">
        <v>0</v>
      </c>
      <c r="AK16" s="35">
        <v>0</v>
      </c>
      <c r="AL16" s="30">
        <f>+AI16+AK16</f>
        <v>0</v>
      </c>
      <c r="AM16" s="35">
        <v>0</v>
      </c>
      <c r="AN16" s="35">
        <v>0</v>
      </c>
      <c r="AO16" s="35">
        <v>0</v>
      </c>
      <c r="AP16" s="35">
        <v>0</v>
      </c>
      <c r="AQ16" s="30">
        <f>+AN16+AP16</f>
        <v>0</v>
      </c>
      <c r="AR16" s="35">
        <v>0</v>
      </c>
      <c r="AS16" s="35">
        <v>0</v>
      </c>
      <c r="AT16" s="35">
        <v>0</v>
      </c>
      <c r="AU16" s="35">
        <v>0</v>
      </c>
      <c r="AV16" s="30">
        <f>+AS16+AU16</f>
        <v>0</v>
      </c>
    </row>
    <row r="17" ht="14.5" spans="2:48">
      <c r="B17" s="32"/>
      <c r="C17" s="33" t="s">
        <v>33</v>
      </c>
      <c r="D17" s="34" t="s">
        <v>29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0">
        <f t="shared" si="4"/>
        <v>0</v>
      </c>
      <c r="L17" s="30">
        <f t="shared" si="4"/>
        <v>0</v>
      </c>
      <c r="M17" s="52"/>
      <c r="N17" s="35">
        <v>0</v>
      </c>
      <c r="O17" s="35">
        <v>0</v>
      </c>
      <c r="P17" s="35">
        <v>0</v>
      </c>
      <c r="Q17" s="35">
        <v>0</v>
      </c>
      <c r="R17" s="30">
        <f>+O17+Q17</f>
        <v>0</v>
      </c>
      <c r="S17" s="35">
        <v>0</v>
      </c>
      <c r="T17" s="35">
        <v>0</v>
      </c>
      <c r="U17" s="35">
        <v>0</v>
      </c>
      <c r="V17" s="35">
        <v>0</v>
      </c>
      <c r="W17" s="30">
        <f>+T17+V17</f>
        <v>0</v>
      </c>
      <c r="X17" s="35">
        <v>0</v>
      </c>
      <c r="Y17" s="35">
        <v>0</v>
      </c>
      <c r="Z17" s="35">
        <v>0</v>
      </c>
      <c r="AA17" s="35">
        <v>0</v>
      </c>
      <c r="AB17" s="30">
        <f>+Y17+AA17</f>
        <v>0</v>
      </c>
      <c r="AC17" s="35">
        <v>0</v>
      </c>
      <c r="AD17" s="35">
        <v>0</v>
      </c>
      <c r="AE17" s="35">
        <v>0</v>
      </c>
      <c r="AF17" s="35">
        <v>0</v>
      </c>
      <c r="AG17" s="30">
        <f>+AD17+AF17</f>
        <v>0</v>
      </c>
      <c r="AH17" s="35">
        <v>0</v>
      </c>
      <c r="AI17" s="35">
        <v>0</v>
      </c>
      <c r="AJ17" s="35">
        <v>0</v>
      </c>
      <c r="AK17" s="35">
        <v>0</v>
      </c>
      <c r="AL17" s="30">
        <f>+AI17+AK17</f>
        <v>0</v>
      </c>
      <c r="AM17" s="35">
        <v>0</v>
      </c>
      <c r="AN17" s="35">
        <v>0</v>
      </c>
      <c r="AO17" s="35">
        <v>0</v>
      </c>
      <c r="AP17" s="35">
        <v>0</v>
      </c>
      <c r="AQ17" s="30">
        <f>+AN17+AP17</f>
        <v>0</v>
      </c>
      <c r="AR17" s="35">
        <v>0</v>
      </c>
      <c r="AS17" s="35">
        <v>0</v>
      </c>
      <c r="AT17" s="35">
        <v>0</v>
      </c>
      <c r="AU17" s="35">
        <v>0</v>
      </c>
      <c r="AV17" s="30">
        <f>+AS17+AU17</f>
        <v>0</v>
      </c>
    </row>
    <row r="18" s="1" customFormat="1" ht="10.5" spans="2:48">
      <c r="B18" s="32"/>
      <c r="C18" s="33" t="s">
        <v>34</v>
      </c>
      <c r="D18" s="34" t="s">
        <v>35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0">
        <f t="shared" si="4"/>
        <v>0</v>
      </c>
      <c r="L18" s="30">
        <f t="shared" si="4"/>
        <v>0</v>
      </c>
      <c r="M18" s="52"/>
      <c r="N18" s="35">
        <v>0</v>
      </c>
      <c r="O18" s="35">
        <v>0</v>
      </c>
      <c r="P18" s="35">
        <v>0</v>
      </c>
      <c r="Q18" s="35">
        <v>0</v>
      </c>
      <c r="R18" s="30">
        <f>+O18+Q18</f>
        <v>0</v>
      </c>
      <c r="S18" s="35">
        <v>0</v>
      </c>
      <c r="T18" s="35">
        <v>0</v>
      </c>
      <c r="U18" s="35">
        <v>0</v>
      </c>
      <c r="V18" s="35">
        <v>0</v>
      </c>
      <c r="W18" s="30">
        <f>+T18+V18</f>
        <v>0</v>
      </c>
      <c r="X18" s="35">
        <v>0</v>
      </c>
      <c r="Y18" s="35">
        <v>0</v>
      </c>
      <c r="Z18" s="35">
        <v>0</v>
      </c>
      <c r="AA18" s="35">
        <v>0</v>
      </c>
      <c r="AB18" s="30">
        <f>+Y18+AA18</f>
        <v>0</v>
      </c>
      <c r="AC18" s="35">
        <v>0</v>
      </c>
      <c r="AD18" s="35">
        <v>0</v>
      </c>
      <c r="AE18" s="35">
        <v>0</v>
      </c>
      <c r="AF18" s="35">
        <v>0</v>
      </c>
      <c r="AG18" s="30">
        <f>+AD18+AF18</f>
        <v>0</v>
      </c>
      <c r="AH18" s="35">
        <v>0</v>
      </c>
      <c r="AI18" s="35">
        <v>0</v>
      </c>
      <c r="AJ18" s="35">
        <v>0</v>
      </c>
      <c r="AK18" s="35">
        <v>0</v>
      </c>
      <c r="AL18" s="30">
        <f>+AI18+AK18</f>
        <v>0</v>
      </c>
      <c r="AM18" s="35">
        <v>0</v>
      </c>
      <c r="AN18" s="35">
        <v>0</v>
      </c>
      <c r="AO18" s="35">
        <v>0</v>
      </c>
      <c r="AP18" s="35">
        <v>0</v>
      </c>
      <c r="AQ18" s="30">
        <f>+AN18+AP18</f>
        <v>0</v>
      </c>
      <c r="AR18" s="35">
        <v>0</v>
      </c>
      <c r="AS18" s="35">
        <v>0</v>
      </c>
      <c r="AT18" s="35">
        <v>0</v>
      </c>
      <c r="AU18" s="35">
        <v>0</v>
      </c>
      <c r="AV18" s="30">
        <f>+AS18+AU18</f>
        <v>0</v>
      </c>
    </row>
    <row r="19" s="1" customFormat="1" ht="10.5" spans="2:48">
      <c r="B19" s="27"/>
      <c r="C19" s="28" t="s">
        <v>36</v>
      </c>
      <c r="D19" s="26" t="s">
        <v>37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0">
        <f t="shared" si="4"/>
        <v>0</v>
      </c>
      <c r="L19" s="30">
        <f t="shared" si="4"/>
        <v>0</v>
      </c>
      <c r="M19" s="52"/>
      <c r="N19" s="35">
        <v>0</v>
      </c>
      <c r="O19" s="35">
        <v>0</v>
      </c>
      <c r="P19" s="35">
        <v>0</v>
      </c>
      <c r="Q19" s="35">
        <v>0</v>
      </c>
      <c r="R19" s="30">
        <f>+O19+Q19</f>
        <v>0</v>
      </c>
      <c r="S19" s="35">
        <v>0</v>
      </c>
      <c r="T19" s="35">
        <v>0</v>
      </c>
      <c r="U19" s="35">
        <v>0</v>
      </c>
      <c r="V19" s="35">
        <v>0</v>
      </c>
      <c r="W19" s="30">
        <f>+T19+V19</f>
        <v>0</v>
      </c>
      <c r="X19" s="35">
        <v>0</v>
      </c>
      <c r="Y19" s="35">
        <v>0</v>
      </c>
      <c r="Z19" s="35">
        <v>0</v>
      </c>
      <c r="AA19" s="35">
        <v>0</v>
      </c>
      <c r="AB19" s="30">
        <f>+Y19+AA19</f>
        <v>0</v>
      </c>
      <c r="AC19" s="35">
        <v>0</v>
      </c>
      <c r="AD19" s="35">
        <v>0</v>
      </c>
      <c r="AE19" s="35">
        <v>0</v>
      </c>
      <c r="AF19" s="35">
        <v>0</v>
      </c>
      <c r="AG19" s="30">
        <f>+AD19+AF19</f>
        <v>0</v>
      </c>
      <c r="AH19" s="35">
        <v>0</v>
      </c>
      <c r="AI19" s="35">
        <v>0</v>
      </c>
      <c r="AJ19" s="35">
        <v>0</v>
      </c>
      <c r="AK19" s="35">
        <v>0</v>
      </c>
      <c r="AL19" s="30">
        <f>+AI19+AK19</f>
        <v>0</v>
      </c>
      <c r="AM19" s="35">
        <v>0</v>
      </c>
      <c r="AN19" s="35">
        <v>0</v>
      </c>
      <c r="AO19" s="35">
        <v>0</v>
      </c>
      <c r="AP19" s="35">
        <v>0</v>
      </c>
      <c r="AQ19" s="30">
        <f>+AN19+AP19</f>
        <v>0</v>
      </c>
      <c r="AR19" s="35">
        <v>0</v>
      </c>
      <c r="AS19" s="35">
        <v>0</v>
      </c>
      <c r="AT19" s="35">
        <v>0</v>
      </c>
      <c r="AU19" s="35">
        <v>0</v>
      </c>
      <c r="AV19" s="30">
        <f>+AS19+AU19</f>
        <v>0</v>
      </c>
    </row>
    <row r="20" ht="14.5" spans="2:48">
      <c r="B20" s="27"/>
      <c r="C20" s="28">
        <v>1.2</v>
      </c>
      <c r="D20" s="26" t="s">
        <v>38</v>
      </c>
      <c r="E20" s="30">
        <f>E21+E25</f>
        <v>0</v>
      </c>
      <c r="F20" s="30">
        <f t="shared" ref="F20:AV20" si="5">F21+F25</f>
        <v>0</v>
      </c>
      <c r="G20" s="30">
        <f t="shared" si="5"/>
        <v>0</v>
      </c>
      <c r="H20" s="30">
        <f t="shared" si="5"/>
        <v>0</v>
      </c>
      <c r="I20" s="30">
        <f t="shared" si="5"/>
        <v>0</v>
      </c>
      <c r="J20" s="30">
        <f t="shared" si="5"/>
        <v>0</v>
      </c>
      <c r="K20" s="30">
        <f t="shared" si="5"/>
        <v>0</v>
      </c>
      <c r="L20" s="30">
        <f t="shared" si="5"/>
        <v>0</v>
      </c>
      <c r="M20" s="52"/>
      <c r="N20" s="30">
        <f>N21+N25</f>
        <v>0</v>
      </c>
      <c r="O20" s="30">
        <f>O21+O25</f>
        <v>0</v>
      </c>
      <c r="P20" s="30">
        <f>P21+P25</f>
        <v>0</v>
      </c>
      <c r="Q20" s="30">
        <f>Q21+Q25</f>
        <v>0</v>
      </c>
      <c r="R20" s="30">
        <f t="shared" si="5"/>
        <v>0</v>
      </c>
      <c r="S20" s="30">
        <f t="shared" si="5"/>
        <v>0</v>
      </c>
      <c r="T20" s="30">
        <f t="shared" si="5"/>
        <v>0</v>
      </c>
      <c r="U20" s="30">
        <f t="shared" si="5"/>
        <v>0</v>
      </c>
      <c r="V20" s="30">
        <f t="shared" si="5"/>
        <v>0</v>
      </c>
      <c r="W20" s="30">
        <f t="shared" si="5"/>
        <v>0</v>
      </c>
      <c r="X20" s="30">
        <f t="shared" si="5"/>
        <v>0</v>
      </c>
      <c r="Y20" s="30">
        <f t="shared" si="5"/>
        <v>0</v>
      </c>
      <c r="Z20" s="30">
        <f t="shared" si="5"/>
        <v>0</v>
      </c>
      <c r="AA20" s="30">
        <f t="shared" si="5"/>
        <v>0</v>
      </c>
      <c r="AB20" s="30">
        <f t="shared" si="5"/>
        <v>0</v>
      </c>
      <c r="AC20" s="30">
        <f t="shared" si="5"/>
        <v>0</v>
      </c>
      <c r="AD20" s="30">
        <f t="shared" si="5"/>
        <v>0</v>
      </c>
      <c r="AE20" s="30">
        <f t="shared" si="5"/>
        <v>0</v>
      </c>
      <c r="AF20" s="30">
        <f t="shared" si="5"/>
        <v>0</v>
      </c>
      <c r="AG20" s="30">
        <f t="shared" si="5"/>
        <v>0</v>
      </c>
      <c r="AH20" s="30">
        <f t="shared" si="5"/>
        <v>0</v>
      </c>
      <c r="AI20" s="30">
        <f t="shared" si="5"/>
        <v>0</v>
      </c>
      <c r="AJ20" s="30">
        <f t="shared" si="5"/>
        <v>0</v>
      </c>
      <c r="AK20" s="30">
        <f t="shared" si="5"/>
        <v>0</v>
      </c>
      <c r="AL20" s="30">
        <f t="shared" si="5"/>
        <v>0</v>
      </c>
      <c r="AM20" s="30">
        <f t="shared" si="5"/>
        <v>0</v>
      </c>
      <c r="AN20" s="30">
        <f t="shared" si="5"/>
        <v>0</v>
      </c>
      <c r="AO20" s="30">
        <f t="shared" si="5"/>
        <v>0</v>
      </c>
      <c r="AP20" s="30">
        <f t="shared" si="5"/>
        <v>0</v>
      </c>
      <c r="AQ20" s="30">
        <f t="shared" si="5"/>
        <v>0</v>
      </c>
      <c r="AR20" s="30">
        <f t="shared" si="5"/>
        <v>0</v>
      </c>
      <c r="AS20" s="30">
        <f t="shared" si="5"/>
        <v>0</v>
      </c>
      <c r="AT20" s="30">
        <f t="shared" si="5"/>
        <v>0</v>
      </c>
      <c r="AU20" s="30">
        <f t="shared" si="5"/>
        <v>0</v>
      </c>
      <c r="AV20" s="30">
        <f t="shared" si="5"/>
        <v>0</v>
      </c>
    </row>
    <row r="21" ht="14.5" spans="2:48">
      <c r="B21" s="27"/>
      <c r="C21" s="28" t="s">
        <v>39</v>
      </c>
      <c r="D21" s="26" t="s">
        <v>25</v>
      </c>
      <c r="E21" s="31">
        <f>E22+E23+E24</f>
        <v>0</v>
      </c>
      <c r="F21" s="31">
        <f t="shared" ref="F21:AV21" si="6">F22+F23+F24</f>
        <v>0</v>
      </c>
      <c r="G21" s="31">
        <f t="shared" si="6"/>
        <v>0</v>
      </c>
      <c r="H21" s="31">
        <f t="shared" si="6"/>
        <v>0</v>
      </c>
      <c r="I21" s="31">
        <f t="shared" si="6"/>
        <v>0</v>
      </c>
      <c r="J21" s="31">
        <f t="shared" si="6"/>
        <v>0</v>
      </c>
      <c r="K21" s="31">
        <f t="shared" si="6"/>
        <v>0</v>
      </c>
      <c r="L21" s="31">
        <f t="shared" si="6"/>
        <v>0</v>
      </c>
      <c r="M21" s="53"/>
      <c r="N21" s="31">
        <f>N22+N23+N24</f>
        <v>0</v>
      </c>
      <c r="O21" s="31">
        <f>O22+O23+O24</f>
        <v>0</v>
      </c>
      <c r="P21" s="31">
        <f>P22+P23+P24</f>
        <v>0</v>
      </c>
      <c r="Q21" s="31">
        <f>Q22+Q23+Q24</f>
        <v>0</v>
      </c>
      <c r="R21" s="31">
        <f t="shared" si="6"/>
        <v>0</v>
      </c>
      <c r="S21" s="31">
        <f t="shared" si="6"/>
        <v>0</v>
      </c>
      <c r="T21" s="31">
        <f t="shared" si="6"/>
        <v>0</v>
      </c>
      <c r="U21" s="31">
        <f t="shared" si="6"/>
        <v>0</v>
      </c>
      <c r="V21" s="31">
        <f t="shared" si="6"/>
        <v>0</v>
      </c>
      <c r="W21" s="31">
        <f t="shared" si="6"/>
        <v>0</v>
      </c>
      <c r="X21" s="31">
        <f t="shared" si="6"/>
        <v>0</v>
      </c>
      <c r="Y21" s="31">
        <f t="shared" si="6"/>
        <v>0</v>
      </c>
      <c r="Z21" s="31">
        <f t="shared" si="6"/>
        <v>0</v>
      </c>
      <c r="AA21" s="31">
        <f t="shared" si="6"/>
        <v>0</v>
      </c>
      <c r="AB21" s="31">
        <f t="shared" si="6"/>
        <v>0</v>
      </c>
      <c r="AC21" s="31">
        <f t="shared" si="6"/>
        <v>0</v>
      </c>
      <c r="AD21" s="31">
        <f t="shared" si="6"/>
        <v>0</v>
      </c>
      <c r="AE21" s="31">
        <f t="shared" si="6"/>
        <v>0</v>
      </c>
      <c r="AF21" s="31">
        <f t="shared" si="6"/>
        <v>0</v>
      </c>
      <c r="AG21" s="31">
        <f t="shared" si="6"/>
        <v>0</v>
      </c>
      <c r="AH21" s="31">
        <f t="shared" si="6"/>
        <v>0</v>
      </c>
      <c r="AI21" s="31">
        <f t="shared" si="6"/>
        <v>0</v>
      </c>
      <c r="AJ21" s="31">
        <f t="shared" si="6"/>
        <v>0</v>
      </c>
      <c r="AK21" s="31">
        <f t="shared" si="6"/>
        <v>0</v>
      </c>
      <c r="AL21" s="31">
        <f t="shared" si="6"/>
        <v>0</v>
      </c>
      <c r="AM21" s="31">
        <f t="shared" si="6"/>
        <v>0</v>
      </c>
      <c r="AN21" s="31">
        <f t="shared" si="6"/>
        <v>0</v>
      </c>
      <c r="AO21" s="31">
        <f t="shared" si="6"/>
        <v>0</v>
      </c>
      <c r="AP21" s="31">
        <f t="shared" si="6"/>
        <v>0</v>
      </c>
      <c r="AQ21" s="31">
        <f t="shared" si="6"/>
        <v>0</v>
      </c>
      <c r="AR21" s="31">
        <f t="shared" si="6"/>
        <v>0</v>
      </c>
      <c r="AS21" s="31">
        <f t="shared" si="6"/>
        <v>0</v>
      </c>
      <c r="AT21" s="31">
        <f t="shared" si="6"/>
        <v>0</v>
      </c>
      <c r="AU21" s="31">
        <f t="shared" si="6"/>
        <v>0</v>
      </c>
      <c r="AV21" s="31">
        <f t="shared" si="6"/>
        <v>0</v>
      </c>
    </row>
    <row r="22" ht="14.5" spans="2:48">
      <c r="B22" s="32"/>
      <c r="C22" s="33" t="s">
        <v>40</v>
      </c>
      <c r="D22" s="34" t="s">
        <v>41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0">
        <f t="shared" ref="K22:L24" si="7">+E22+G22+I22</f>
        <v>0</v>
      </c>
      <c r="L22" s="30">
        <f t="shared" si="7"/>
        <v>0</v>
      </c>
      <c r="M22" s="52"/>
      <c r="N22" s="35">
        <v>0</v>
      </c>
      <c r="O22" s="35">
        <v>0</v>
      </c>
      <c r="P22" s="35">
        <v>0</v>
      </c>
      <c r="Q22" s="35">
        <v>0</v>
      </c>
      <c r="R22" s="30">
        <f>+O22+Q22</f>
        <v>0</v>
      </c>
      <c r="S22" s="35">
        <v>0</v>
      </c>
      <c r="T22" s="35">
        <v>0</v>
      </c>
      <c r="U22" s="35">
        <v>0</v>
      </c>
      <c r="V22" s="35">
        <v>0</v>
      </c>
      <c r="W22" s="30">
        <f>+T22+V22</f>
        <v>0</v>
      </c>
      <c r="X22" s="35">
        <v>0</v>
      </c>
      <c r="Y22" s="35">
        <v>0</v>
      </c>
      <c r="Z22" s="35">
        <v>0</v>
      </c>
      <c r="AA22" s="35">
        <v>0</v>
      </c>
      <c r="AB22" s="30">
        <f>+Y22+AA22</f>
        <v>0</v>
      </c>
      <c r="AC22" s="35">
        <v>0</v>
      </c>
      <c r="AD22" s="35">
        <v>0</v>
      </c>
      <c r="AE22" s="35">
        <v>0</v>
      </c>
      <c r="AF22" s="35">
        <v>0</v>
      </c>
      <c r="AG22" s="30">
        <f>+AD22+AF22</f>
        <v>0</v>
      </c>
      <c r="AH22" s="35">
        <v>0</v>
      </c>
      <c r="AI22" s="35">
        <v>0</v>
      </c>
      <c r="AJ22" s="35">
        <v>0</v>
      </c>
      <c r="AK22" s="35">
        <v>0</v>
      </c>
      <c r="AL22" s="30">
        <f>+AI22+AK22</f>
        <v>0</v>
      </c>
      <c r="AM22" s="35">
        <v>0</v>
      </c>
      <c r="AN22" s="35">
        <v>0</v>
      </c>
      <c r="AO22" s="35">
        <v>0</v>
      </c>
      <c r="AP22" s="35">
        <v>0</v>
      </c>
      <c r="AQ22" s="30">
        <f>+AN22+AP22</f>
        <v>0</v>
      </c>
      <c r="AR22" s="35">
        <v>0</v>
      </c>
      <c r="AS22" s="35">
        <v>0</v>
      </c>
      <c r="AT22" s="35">
        <v>0</v>
      </c>
      <c r="AU22" s="35">
        <v>0</v>
      </c>
      <c r="AV22" s="30">
        <f>+AS22+AU22</f>
        <v>0</v>
      </c>
    </row>
    <row r="23" ht="14.5" spans="2:48">
      <c r="B23" s="32"/>
      <c r="C23" s="33" t="s">
        <v>42</v>
      </c>
      <c r="D23" s="34" t="s">
        <v>27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0">
        <f t="shared" si="7"/>
        <v>0</v>
      </c>
      <c r="L23" s="30">
        <f t="shared" si="7"/>
        <v>0</v>
      </c>
      <c r="M23" s="52"/>
      <c r="N23" s="35">
        <v>0</v>
      </c>
      <c r="O23" s="35">
        <v>0</v>
      </c>
      <c r="P23" s="35">
        <v>0</v>
      </c>
      <c r="Q23" s="35">
        <v>0</v>
      </c>
      <c r="R23" s="30">
        <f>+O23+Q23</f>
        <v>0</v>
      </c>
      <c r="S23" s="35">
        <v>0</v>
      </c>
      <c r="T23" s="35">
        <v>0</v>
      </c>
      <c r="U23" s="35">
        <v>0</v>
      </c>
      <c r="V23" s="35">
        <v>0</v>
      </c>
      <c r="W23" s="30">
        <f>+T23+V23</f>
        <v>0</v>
      </c>
      <c r="X23" s="35">
        <v>0</v>
      </c>
      <c r="Y23" s="35">
        <v>0</v>
      </c>
      <c r="Z23" s="35">
        <v>0</v>
      </c>
      <c r="AA23" s="35">
        <v>0</v>
      </c>
      <c r="AB23" s="30">
        <f>+Y23+AA23</f>
        <v>0</v>
      </c>
      <c r="AC23" s="35">
        <v>0</v>
      </c>
      <c r="AD23" s="35">
        <v>0</v>
      </c>
      <c r="AE23" s="35">
        <v>0</v>
      </c>
      <c r="AF23" s="35">
        <v>0</v>
      </c>
      <c r="AG23" s="30">
        <f>+AD23+AF23</f>
        <v>0</v>
      </c>
      <c r="AH23" s="35">
        <v>0</v>
      </c>
      <c r="AI23" s="35">
        <v>0</v>
      </c>
      <c r="AJ23" s="35">
        <v>0</v>
      </c>
      <c r="AK23" s="35">
        <v>0</v>
      </c>
      <c r="AL23" s="30">
        <f>+AI23+AK23</f>
        <v>0</v>
      </c>
      <c r="AM23" s="35">
        <v>0</v>
      </c>
      <c r="AN23" s="35">
        <v>0</v>
      </c>
      <c r="AO23" s="35">
        <v>0</v>
      </c>
      <c r="AP23" s="35">
        <v>0</v>
      </c>
      <c r="AQ23" s="30">
        <f>+AN23+AP23</f>
        <v>0</v>
      </c>
      <c r="AR23" s="35">
        <v>0</v>
      </c>
      <c r="AS23" s="35">
        <v>0</v>
      </c>
      <c r="AT23" s="35">
        <v>0</v>
      </c>
      <c r="AU23" s="35">
        <v>0</v>
      </c>
      <c r="AV23" s="30">
        <f>+AS23+AU23</f>
        <v>0</v>
      </c>
    </row>
    <row r="24" ht="14.5" spans="2:48">
      <c r="B24" s="32"/>
      <c r="C24" s="33" t="s">
        <v>43</v>
      </c>
      <c r="D24" s="34" t="s">
        <v>29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0">
        <f t="shared" si="7"/>
        <v>0</v>
      </c>
      <c r="L24" s="30">
        <f t="shared" si="7"/>
        <v>0</v>
      </c>
      <c r="M24" s="52"/>
      <c r="N24" s="35">
        <v>0</v>
      </c>
      <c r="O24" s="35">
        <v>0</v>
      </c>
      <c r="P24" s="35">
        <v>0</v>
      </c>
      <c r="Q24" s="35">
        <v>0</v>
      </c>
      <c r="R24" s="30">
        <f>+O24+Q24</f>
        <v>0</v>
      </c>
      <c r="S24" s="35">
        <v>0</v>
      </c>
      <c r="T24" s="35">
        <v>0</v>
      </c>
      <c r="U24" s="35">
        <v>0</v>
      </c>
      <c r="V24" s="35">
        <v>0</v>
      </c>
      <c r="W24" s="30">
        <f>+T24+V24</f>
        <v>0</v>
      </c>
      <c r="X24" s="35">
        <v>0</v>
      </c>
      <c r="Y24" s="35">
        <v>0</v>
      </c>
      <c r="Z24" s="35">
        <v>0</v>
      </c>
      <c r="AA24" s="35">
        <v>0</v>
      </c>
      <c r="AB24" s="30">
        <f>+Y24+AA24</f>
        <v>0</v>
      </c>
      <c r="AC24" s="35">
        <v>0</v>
      </c>
      <c r="AD24" s="35">
        <v>0</v>
      </c>
      <c r="AE24" s="35">
        <v>0</v>
      </c>
      <c r="AF24" s="35">
        <v>0</v>
      </c>
      <c r="AG24" s="30">
        <f>+AD24+AF24</f>
        <v>0</v>
      </c>
      <c r="AH24" s="35">
        <v>0</v>
      </c>
      <c r="AI24" s="35">
        <v>0</v>
      </c>
      <c r="AJ24" s="35">
        <v>0</v>
      </c>
      <c r="AK24" s="35">
        <v>0</v>
      </c>
      <c r="AL24" s="30">
        <f>+AI24+AK24</f>
        <v>0</v>
      </c>
      <c r="AM24" s="35">
        <v>0</v>
      </c>
      <c r="AN24" s="35">
        <v>0</v>
      </c>
      <c r="AO24" s="35">
        <v>0</v>
      </c>
      <c r="AP24" s="35">
        <v>0</v>
      </c>
      <c r="AQ24" s="30">
        <f>+AN24+AP24</f>
        <v>0</v>
      </c>
      <c r="AR24" s="35">
        <v>0</v>
      </c>
      <c r="AS24" s="35">
        <v>0</v>
      </c>
      <c r="AT24" s="35">
        <v>0</v>
      </c>
      <c r="AU24" s="35">
        <v>0</v>
      </c>
      <c r="AV24" s="30">
        <f>+AS24+AU24</f>
        <v>0</v>
      </c>
    </row>
    <row r="25" ht="14.5" spans="2:48">
      <c r="B25" s="27"/>
      <c r="C25" s="28" t="s">
        <v>44</v>
      </c>
      <c r="D25" s="26" t="s">
        <v>31</v>
      </c>
      <c r="E25" s="31">
        <f>E26+E27+E28+E29</f>
        <v>0</v>
      </c>
      <c r="F25" s="31">
        <f t="shared" ref="F25:AV25" si="8">F26+F27+F28+F29</f>
        <v>0</v>
      </c>
      <c r="G25" s="31">
        <f t="shared" si="8"/>
        <v>0</v>
      </c>
      <c r="H25" s="31">
        <f t="shared" si="8"/>
        <v>0</v>
      </c>
      <c r="I25" s="31">
        <f t="shared" si="8"/>
        <v>0</v>
      </c>
      <c r="J25" s="31">
        <f t="shared" si="8"/>
        <v>0</v>
      </c>
      <c r="K25" s="31">
        <f t="shared" si="8"/>
        <v>0</v>
      </c>
      <c r="L25" s="31">
        <f t="shared" si="8"/>
        <v>0</v>
      </c>
      <c r="M25" s="53"/>
      <c r="N25" s="31">
        <f>N26+N27+N28+N29</f>
        <v>0</v>
      </c>
      <c r="O25" s="31">
        <f>O26+O27+O28+O29</f>
        <v>0</v>
      </c>
      <c r="P25" s="31">
        <f>P26+P27+P28+P29</f>
        <v>0</v>
      </c>
      <c r="Q25" s="31">
        <f>Q26+Q27+Q28+Q29</f>
        <v>0</v>
      </c>
      <c r="R25" s="31">
        <f t="shared" si="8"/>
        <v>0</v>
      </c>
      <c r="S25" s="31">
        <f t="shared" si="8"/>
        <v>0</v>
      </c>
      <c r="T25" s="31">
        <f t="shared" si="8"/>
        <v>0</v>
      </c>
      <c r="U25" s="31">
        <f t="shared" si="8"/>
        <v>0</v>
      </c>
      <c r="V25" s="31">
        <f t="shared" si="8"/>
        <v>0</v>
      </c>
      <c r="W25" s="31">
        <f t="shared" si="8"/>
        <v>0</v>
      </c>
      <c r="X25" s="31">
        <f t="shared" si="8"/>
        <v>0</v>
      </c>
      <c r="Y25" s="31">
        <f t="shared" si="8"/>
        <v>0</v>
      </c>
      <c r="Z25" s="31">
        <f t="shared" si="8"/>
        <v>0</v>
      </c>
      <c r="AA25" s="31">
        <f t="shared" si="8"/>
        <v>0</v>
      </c>
      <c r="AB25" s="31">
        <f t="shared" si="8"/>
        <v>0</v>
      </c>
      <c r="AC25" s="31">
        <f t="shared" si="8"/>
        <v>0</v>
      </c>
      <c r="AD25" s="31">
        <f t="shared" si="8"/>
        <v>0</v>
      </c>
      <c r="AE25" s="31">
        <f t="shared" si="8"/>
        <v>0</v>
      </c>
      <c r="AF25" s="31">
        <f t="shared" si="8"/>
        <v>0</v>
      </c>
      <c r="AG25" s="31">
        <f t="shared" si="8"/>
        <v>0</v>
      </c>
      <c r="AH25" s="31">
        <f t="shared" si="8"/>
        <v>0</v>
      </c>
      <c r="AI25" s="31">
        <f t="shared" si="8"/>
        <v>0</v>
      </c>
      <c r="AJ25" s="31">
        <f t="shared" si="8"/>
        <v>0</v>
      </c>
      <c r="AK25" s="31">
        <f t="shared" si="8"/>
        <v>0</v>
      </c>
      <c r="AL25" s="31">
        <f t="shared" si="8"/>
        <v>0</v>
      </c>
      <c r="AM25" s="31">
        <f t="shared" si="8"/>
        <v>0</v>
      </c>
      <c r="AN25" s="31">
        <f t="shared" si="8"/>
        <v>0</v>
      </c>
      <c r="AO25" s="31">
        <f t="shared" si="8"/>
        <v>0</v>
      </c>
      <c r="AP25" s="31">
        <f t="shared" si="8"/>
        <v>0</v>
      </c>
      <c r="AQ25" s="31">
        <f t="shared" si="8"/>
        <v>0</v>
      </c>
      <c r="AR25" s="31">
        <f t="shared" si="8"/>
        <v>0</v>
      </c>
      <c r="AS25" s="31">
        <f t="shared" si="8"/>
        <v>0</v>
      </c>
      <c r="AT25" s="31">
        <f t="shared" si="8"/>
        <v>0</v>
      </c>
      <c r="AU25" s="31">
        <f t="shared" si="8"/>
        <v>0</v>
      </c>
      <c r="AV25" s="31">
        <f t="shared" si="8"/>
        <v>0</v>
      </c>
    </row>
    <row r="26" ht="14.5" spans="2:48">
      <c r="B26" s="32"/>
      <c r="C26" s="33" t="s">
        <v>45</v>
      </c>
      <c r="D26" s="34" t="s">
        <v>41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0">
        <f t="shared" ref="K26:L29" si="9">+E26+G26+I26</f>
        <v>0</v>
      </c>
      <c r="L26" s="30">
        <f t="shared" si="9"/>
        <v>0</v>
      </c>
      <c r="M26" s="52"/>
      <c r="N26" s="35">
        <v>0</v>
      </c>
      <c r="O26" s="35">
        <v>0</v>
      </c>
      <c r="P26" s="35">
        <v>0</v>
      </c>
      <c r="Q26" s="35">
        <v>0</v>
      </c>
      <c r="R26" s="30">
        <f>+O26+Q26</f>
        <v>0</v>
      </c>
      <c r="S26" s="35">
        <v>0</v>
      </c>
      <c r="T26" s="35">
        <v>0</v>
      </c>
      <c r="U26" s="35">
        <v>0</v>
      </c>
      <c r="V26" s="35">
        <v>0</v>
      </c>
      <c r="W26" s="30">
        <f>+T26+V26</f>
        <v>0</v>
      </c>
      <c r="X26" s="35">
        <v>0</v>
      </c>
      <c r="Y26" s="35">
        <v>0</v>
      </c>
      <c r="Z26" s="35">
        <v>0</v>
      </c>
      <c r="AA26" s="35">
        <v>0</v>
      </c>
      <c r="AB26" s="30">
        <f>+Y26+AA26</f>
        <v>0</v>
      </c>
      <c r="AC26" s="35">
        <v>0</v>
      </c>
      <c r="AD26" s="35">
        <v>0</v>
      </c>
      <c r="AE26" s="35">
        <v>0</v>
      </c>
      <c r="AF26" s="35">
        <v>0</v>
      </c>
      <c r="AG26" s="30">
        <f>+AD26+AF26</f>
        <v>0</v>
      </c>
      <c r="AH26" s="35">
        <v>0</v>
      </c>
      <c r="AI26" s="35">
        <v>0</v>
      </c>
      <c r="AJ26" s="35">
        <v>0</v>
      </c>
      <c r="AK26" s="35">
        <v>0</v>
      </c>
      <c r="AL26" s="30">
        <f>+AI26+AK26</f>
        <v>0</v>
      </c>
      <c r="AM26" s="35">
        <v>0</v>
      </c>
      <c r="AN26" s="35">
        <v>0</v>
      </c>
      <c r="AO26" s="35">
        <v>0</v>
      </c>
      <c r="AP26" s="35">
        <v>0</v>
      </c>
      <c r="AQ26" s="30">
        <f>+AN26+AP26</f>
        <v>0</v>
      </c>
      <c r="AR26" s="35">
        <v>0</v>
      </c>
      <c r="AS26" s="35">
        <v>0</v>
      </c>
      <c r="AT26" s="35">
        <v>0</v>
      </c>
      <c r="AU26" s="35">
        <v>0</v>
      </c>
      <c r="AV26" s="30">
        <f>+AS26+AU26</f>
        <v>0</v>
      </c>
    </row>
    <row r="27" ht="14.5" spans="2:48">
      <c r="B27" s="32"/>
      <c r="C27" s="33" t="s">
        <v>46</v>
      </c>
      <c r="D27" s="34" t="s">
        <v>27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0">
        <f t="shared" si="9"/>
        <v>0</v>
      </c>
      <c r="L27" s="30">
        <f t="shared" si="9"/>
        <v>0</v>
      </c>
      <c r="M27" s="52"/>
      <c r="N27" s="35">
        <v>0</v>
      </c>
      <c r="O27" s="35">
        <v>0</v>
      </c>
      <c r="P27" s="35">
        <v>0</v>
      </c>
      <c r="Q27" s="35">
        <v>0</v>
      </c>
      <c r="R27" s="30">
        <f>+O27+Q27</f>
        <v>0</v>
      </c>
      <c r="S27" s="35">
        <v>0</v>
      </c>
      <c r="T27" s="35">
        <v>0</v>
      </c>
      <c r="U27" s="35">
        <v>0</v>
      </c>
      <c r="V27" s="35">
        <v>0</v>
      </c>
      <c r="W27" s="30">
        <f>+T27+V27</f>
        <v>0</v>
      </c>
      <c r="X27" s="35">
        <v>0</v>
      </c>
      <c r="Y27" s="35">
        <v>0</v>
      </c>
      <c r="Z27" s="35">
        <v>0</v>
      </c>
      <c r="AA27" s="35">
        <v>0</v>
      </c>
      <c r="AB27" s="30">
        <f>+Y27+AA27</f>
        <v>0</v>
      </c>
      <c r="AC27" s="35">
        <v>0</v>
      </c>
      <c r="AD27" s="35">
        <v>0</v>
      </c>
      <c r="AE27" s="35">
        <v>0</v>
      </c>
      <c r="AF27" s="35">
        <v>0</v>
      </c>
      <c r="AG27" s="30">
        <f>+AD27+AF27</f>
        <v>0</v>
      </c>
      <c r="AH27" s="35">
        <v>0</v>
      </c>
      <c r="AI27" s="35">
        <v>0</v>
      </c>
      <c r="AJ27" s="35">
        <v>0</v>
      </c>
      <c r="AK27" s="35">
        <v>0</v>
      </c>
      <c r="AL27" s="30">
        <f>+AI27+AK27</f>
        <v>0</v>
      </c>
      <c r="AM27" s="35">
        <v>0</v>
      </c>
      <c r="AN27" s="35">
        <v>0</v>
      </c>
      <c r="AO27" s="35">
        <v>0</v>
      </c>
      <c r="AP27" s="35">
        <v>0</v>
      </c>
      <c r="AQ27" s="30">
        <f>+AN27+AP27</f>
        <v>0</v>
      </c>
      <c r="AR27" s="35">
        <v>0</v>
      </c>
      <c r="AS27" s="35">
        <v>0</v>
      </c>
      <c r="AT27" s="35">
        <v>0</v>
      </c>
      <c r="AU27" s="35">
        <v>0</v>
      </c>
      <c r="AV27" s="30">
        <f>+AS27+AU27</f>
        <v>0</v>
      </c>
    </row>
    <row r="28" s="1" customFormat="1" ht="10.5" spans="2:48">
      <c r="B28" s="32"/>
      <c r="C28" s="33" t="s">
        <v>47</v>
      </c>
      <c r="D28" s="34" t="s">
        <v>29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0">
        <f t="shared" si="9"/>
        <v>0</v>
      </c>
      <c r="L28" s="30">
        <f t="shared" si="9"/>
        <v>0</v>
      </c>
      <c r="M28" s="52"/>
      <c r="N28" s="35">
        <v>0</v>
      </c>
      <c r="O28" s="35">
        <v>0</v>
      </c>
      <c r="P28" s="35">
        <v>0</v>
      </c>
      <c r="Q28" s="35">
        <v>0</v>
      </c>
      <c r="R28" s="30">
        <f>+O28+Q28</f>
        <v>0</v>
      </c>
      <c r="S28" s="35">
        <v>0</v>
      </c>
      <c r="T28" s="35">
        <v>0</v>
      </c>
      <c r="U28" s="35">
        <v>0</v>
      </c>
      <c r="V28" s="35">
        <v>0</v>
      </c>
      <c r="W28" s="30">
        <f>+T28+V28</f>
        <v>0</v>
      </c>
      <c r="X28" s="35">
        <v>0</v>
      </c>
      <c r="Y28" s="35">
        <v>0</v>
      </c>
      <c r="Z28" s="35">
        <v>0</v>
      </c>
      <c r="AA28" s="35">
        <v>0</v>
      </c>
      <c r="AB28" s="30">
        <f>+Y28+AA28</f>
        <v>0</v>
      </c>
      <c r="AC28" s="35">
        <v>0</v>
      </c>
      <c r="AD28" s="35">
        <v>0</v>
      </c>
      <c r="AE28" s="35">
        <v>0</v>
      </c>
      <c r="AF28" s="35">
        <v>0</v>
      </c>
      <c r="AG28" s="30">
        <f>+AD28+AF28</f>
        <v>0</v>
      </c>
      <c r="AH28" s="35">
        <v>0</v>
      </c>
      <c r="AI28" s="35">
        <v>0</v>
      </c>
      <c r="AJ28" s="35">
        <v>0</v>
      </c>
      <c r="AK28" s="35">
        <v>0</v>
      </c>
      <c r="AL28" s="30">
        <f>+AI28+AK28</f>
        <v>0</v>
      </c>
      <c r="AM28" s="35">
        <v>0</v>
      </c>
      <c r="AN28" s="35">
        <v>0</v>
      </c>
      <c r="AO28" s="35">
        <v>0</v>
      </c>
      <c r="AP28" s="35">
        <v>0</v>
      </c>
      <c r="AQ28" s="30">
        <f>+AN28+AP28</f>
        <v>0</v>
      </c>
      <c r="AR28" s="35">
        <v>0</v>
      </c>
      <c r="AS28" s="35">
        <v>0</v>
      </c>
      <c r="AT28" s="35">
        <v>0</v>
      </c>
      <c r="AU28" s="35">
        <v>0</v>
      </c>
      <c r="AV28" s="30">
        <f>+AS28+AU28</f>
        <v>0</v>
      </c>
    </row>
    <row r="29" ht="14.5" spans="2:48">
      <c r="B29" s="32"/>
      <c r="C29" s="33" t="s">
        <v>48</v>
      </c>
      <c r="D29" s="34" t="s">
        <v>35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0">
        <f t="shared" si="9"/>
        <v>0</v>
      </c>
      <c r="L29" s="30">
        <f t="shared" si="9"/>
        <v>0</v>
      </c>
      <c r="M29" s="52"/>
      <c r="N29" s="35">
        <v>0</v>
      </c>
      <c r="O29" s="35">
        <v>0</v>
      </c>
      <c r="P29" s="35">
        <v>0</v>
      </c>
      <c r="Q29" s="35">
        <v>0</v>
      </c>
      <c r="R29" s="30">
        <f>+O29+Q29</f>
        <v>0</v>
      </c>
      <c r="S29" s="35">
        <v>0</v>
      </c>
      <c r="T29" s="35">
        <v>0</v>
      </c>
      <c r="U29" s="35">
        <v>0</v>
      </c>
      <c r="V29" s="35">
        <v>0</v>
      </c>
      <c r="W29" s="30">
        <f>+T29+V29</f>
        <v>0</v>
      </c>
      <c r="X29" s="35">
        <v>0</v>
      </c>
      <c r="Y29" s="35">
        <v>0</v>
      </c>
      <c r="Z29" s="35">
        <v>0</v>
      </c>
      <c r="AA29" s="35">
        <v>0</v>
      </c>
      <c r="AB29" s="30">
        <f>+Y29+AA29</f>
        <v>0</v>
      </c>
      <c r="AC29" s="35">
        <v>0</v>
      </c>
      <c r="AD29" s="35">
        <v>0</v>
      </c>
      <c r="AE29" s="35">
        <v>0</v>
      </c>
      <c r="AF29" s="35">
        <v>0</v>
      </c>
      <c r="AG29" s="30">
        <f>+AD29+AF29</f>
        <v>0</v>
      </c>
      <c r="AH29" s="35">
        <v>0</v>
      </c>
      <c r="AI29" s="35">
        <v>0</v>
      </c>
      <c r="AJ29" s="35">
        <v>0</v>
      </c>
      <c r="AK29" s="35">
        <v>0</v>
      </c>
      <c r="AL29" s="30">
        <f>+AI29+AK29</f>
        <v>0</v>
      </c>
      <c r="AM29" s="35">
        <v>0</v>
      </c>
      <c r="AN29" s="35">
        <v>0</v>
      </c>
      <c r="AO29" s="35">
        <v>0</v>
      </c>
      <c r="AP29" s="35">
        <v>0</v>
      </c>
      <c r="AQ29" s="30">
        <f>+AN29+AP29</f>
        <v>0</v>
      </c>
      <c r="AR29" s="35">
        <v>0</v>
      </c>
      <c r="AS29" s="35">
        <v>0</v>
      </c>
      <c r="AT29" s="35">
        <v>0</v>
      </c>
      <c r="AU29" s="35">
        <v>0</v>
      </c>
      <c r="AV29" s="30">
        <f>+AS29+AU29</f>
        <v>0</v>
      </c>
    </row>
    <row r="30" ht="21" spans="2:48">
      <c r="B30" s="27">
        <v>2</v>
      </c>
      <c r="C30" s="28"/>
      <c r="D30" s="26" t="s">
        <v>49</v>
      </c>
      <c r="E30" s="30">
        <f t="shared" ref="E30:L30" si="10">E31+E41+E51+E54</f>
        <v>0</v>
      </c>
      <c r="F30" s="30">
        <f t="shared" si="10"/>
        <v>0</v>
      </c>
      <c r="G30" s="30">
        <f t="shared" si="10"/>
        <v>0</v>
      </c>
      <c r="H30" s="30">
        <f t="shared" si="10"/>
        <v>0</v>
      </c>
      <c r="I30" s="30">
        <f t="shared" si="10"/>
        <v>0</v>
      </c>
      <c r="J30" s="30">
        <f t="shared" si="10"/>
        <v>0</v>
      </c>
      <c r="K30" s="30">
        <f t="shared" si="10"/>
        <v>0</v>
      </c>
      <c r="L30" s="30">
        <f t="shared" si="10"/>
        <v>0</v>
      </c>
      <c r="M30" s="54"/>
      <c r="N30" s="30">
        <f t="shared" ref="N30:AV30" si="11">N31+N41+N51+N54</f>
        <v>0</v>
      </c>
      <c r="O30" s="30">
        <f t="shared" si="11"/>
        <v>0</v>
      </c>
      <c r="P30" s="30">
        <f t="shared" si="11"/>
        <v>0</v>
      </c>
      <c r="Q30" s="30">
        <f t="shared" si="11"/>
        <v>0</v>
      </c>
      <c r="R30" s="30">
        <f t="shared" si="11"/>
        <v>0</v>
      </c>
      <c r="S30" s="30">
        <f t="shared" si="11"/>
        <v>0</v>
      </c>
      <c r="T30" s="30">
        <f t="shared" si="11"/>
        <v>0</v>
      </c>
      <c r="U30" s="30">
        <f t="shared" si="11"/>
        <v>0</v>
      </c>
      <c r="V30" s="30">
        <f t="shared" si="11"/>
        <v>0</v>
      </c>
      <c r="W30" s="30">
        <f t="shared" si="11"/>
        <v>0</v>
      </c>
      <c r="X30" s="30">
        <f t="shared" si="11"/>
        <v>0</v>
      </c>
      <c r="Y30" s="30">
        <f t="shared" si="11"/>
        <v>0</v>
      </c>
      <c r="Z30" s="30">
        <f t="shared" si="11"/>
        <v>0</v>
      </c>
      <c r="AA30" s="30">
        <f t="shared" si="11"/>
        <v>0</v>
      </c>
      <c r="AB30" s="30">
        <f t="shared" si="11"/>
        <v>0</v>
      </c>
      <c r="AC30" s="30">
        <f t="shared" si="11"/>
        <v>0</v>
      </c>
      <c r="AD30" s="30">
        <f t="shared" si="11"/>
        <v>0</v>
      </c>
      <c r="AE30" s="30">
        <f t="shared" si="11"/>
        <v>0</v>
      </c>
      <c r="AF30" s="30">
        <f t="shared" si="11"/>
        <v>0</v>
      </c>
      <c r="AG30" s="30">
        <f t="shared" si="11"/>
        <v>0</v>
      </c>
      <c r="AH30" s="30">
        <f t="shared" si="11"/>
        <v>0</v>
      </c>
      <c r="AI30" s="30">
        <f t="shared" si="11"/>
        <v>0</v>
      </c>
      <c r="AJ30" s="30">
        <f t="shared" si="11"/>
        <v>0</v>
      </c>
      <c r="AK30" s="30">
        <f t="shared" si="11"/>
        <v>0</v>
      </c>
      <c r="AL30" s="30">
        <f t="shared" si="11"/>
        <v>0</v>
      </c>
      <c r="AM30" s="30">
        <f t="shared" si="11"/>
        <v>0</v>
      </c>
      <c r="AN30" s="30">
        <f t="shared" si="11"/>
        <v>0</v>
      </c>
      <c r="AO30" s="30">
        <f t="shared" si="11"/>
        <v>0</v>
      </c>
      <c r="AP30" s="30">
        <f t="shared" si="11"/>
        <v>0</v>
      </c>
      <c r="AQ30" s="30">
        <f t="shared" si="11"/>
        <v>0</v>
      </c>
      <c r="AR30" s="30">
        <f t="shared" si="11"/>
        <v>0</v>
      </c>
      <c r="AS30" s="30">
        <f t="shared" si="11"/>
        <v>0</v>
      </c>
      <c r="AT30" s="30">
        <f t="shared" si="11"/>
        <v>0</v>
      </c>
      <c r="AU30" s="30">
        <f t="shared" si="11"/>
        <v>0</v>
      </c>
      <c r="AV30" s="30">
        <f t="shared" si="11"/>
        <v>0</v>
      </c>
    </row>
    <row r="31" ht="14.5" spans="2:48">
      <c r="B31" s="27"/>
      <c r="C31" s="28">
        <v>2.1</v>
      </c>
      <c r="D31" s="26" t="s">
        <v>23</v>
      </c>
      <c r="E31" s="30">
        <f>SUM(E32:E40)</f>
        <v>0</v>
      </c>
      <c r="F31" s="30">
        <f t="shared" ref="F31:AV31" si="12">SUM(F32:F40)</f>
        <v>0</v>
      </c>
      <c r="G31" s="30">
        <f t="shared" si="12"/>
        <v>0</v>
      </c>
      <c r="H31" s="30">
        <f t="shared" si="12"/>
        <v>0</v>
      </c>
      <c r="I31" s="30">
        <f t="shared" si="12"/>
        <v>0</v>
      </c>
      <c r="J31" s="30">
        <f t="shared" si="12"/>
        <v>0</v>
      </c>
      <c r="K31" s="30">
        <f t="shared" si="12"/>
        <v>0</v>
      </c>
      <c r="L31" s="30">
        <f t="shared" si="12"/>
        <v>0</v>
      </c>
      <c r="M31" s="52"/>
      <c r="N31" s="30">
        <f>SUM(N32:N40)</f>
        <v>0</v>
      </c>
      <c r="O31" s="30">
        <f>SUM(O32:O40)</f>
        <v>0</v>
      </c>
      <c r="P31" s="30">
        <f>SUM(P32:P40)</f>
        <v>0</v>
      </c>
      <c r="Q31" s="30">
        <f>SUM(Q32:Q40)</f>
        <v>0</v>
      </c>
      <c r="R31" s="29">
        <f t="shared" si="12"/>
        <v>0</v>
      </c>
      <c r="S31" s="30">
        <f t="shared" si="12"/>
        <v>0</v>
      </c>
      <c r="T31" s="30">
        <f t="shared" si="12"/>
        <v>0</v>
      </c>
      <c r="U31" s="30">
        <f t="shared" si="12"/>
        <v>0</v>
      </c>
      <c r="V31" s="30">
        <f t="shared" si="12"/>
        <v>0</v>
      </c>
      <c r="W31" s="29">
        <f t="shared" si="12"/>
        <v>0</v>
      </c>
      <c r="X31" s="30">
        <f t="shared" si="12"/>
        <v>0</v>
      </c>
      <c r="Y31" s="30">
        <f t="shared" si="12"/>
        <v>0</v>
      </c>
      <c r="Z31" s="30">
        <f t="shared" si="12"/>
        <v>0</v>
      </c>
      <c r="AA31" s="30">
        <f t="shared" si="12"/>
        <v>0</v>
      </c>
      <c r="AB31" s="29">
        <f t="shared" si="12"/>
        <v>0</v>
      </c>
      <c r="AC31" s="30">
        <f t="shared" si="12"/>
        <v>0</v>
      </c>
      <c r="AD31" s="30">
        <f t="shared" si="12"/>
        <v>0</v>
      </c>
      <c r="AE31" s="30">
        <f t="shared" si="12"/>
        <v>0</v>
      </c>
      <c r="AF31" s="30">
        <f t="shared" si="12"/>
        <v>0</v>
      </c>
      <c r="AG31" s="29">
        <f t="shared" si="12"/>
        <v>0</v>
      </c>
      <c r="AH31" s="30">
        <f t="shared" si="12"/>
        <v>0</v>
      </c>
      <c r="AI31" s="30">
        <f t="shared" si="12"/>
        <v>0</v>
      </c>
      <c r="AJ31" s="30">
        <f t="shared" si="12"/>
        <v>0</v>
      </c>
      <c r="AK31" s="30">
        <f t="shared" si="12"/>
        <v>0</v>
      </c>
      <c r="AL31" s="29">
        <f t="shared" si="12"/>
        <v>0</v>
      </c>
      <c r="AM31" s="30">
        <f t="shared" si="12"/>
        <v>0</v>
      </c>
      <c r="AN31" s="30">
        <f t="shared" si="12"/>
        <v>0</v>
      </c>
      <c r="AO31" s="30">
        <f t="shared" si="12"/>
        <v>0</v>
      </c>
      <c r="AP31" s="30">
        <f t="shared" si="12"/>
        <v>0</v>
      </c>
      <c r="AQ31" s="29">
        <f t="shared" si="12"/>
        <v>0</v>
      </c>
      <c r="AR31" s="30">
        <f t="shared" si="12"/>
        <v>0</v>
      </c>
      <c r="AS31" s="30">
        <f t="shared" si="12"/>
        <v>0</v>
      </c>
      <c r="AT31" s="30">
        <f t="shared" si="12"/>
        <v>0</v>
      </c>
      <c r="AU31" s="30">
        <f t="shared" si="12"/>
        <v>0</v>
      </c>
      <c r="AV31" s="29">
        <f t="shared" si="12"/>
        <v>0</v>
      </c>
    </row>
    <row r="32" ht="14.5" spans="2:48">
      <c r="B32" s="32"/>
      <c r="C32" s="33" t="s">
        <v>50</v>
      </c>
      <c r="D32" s="34" t="s">
        <v>51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0">
        <f t="shared" ref="K32:L40" si="13">+E32+G32+I32</f>
        <v>0</v>
      </c>
      <c r="L32" s="30">
        <f t="shared" si="13"/>
        <v>0</v>
      </c>
      <c r="M32" s="52"/>
      <c r="N32" s="35">
        <v>0</v>
      </c>
      <c r="O32" s="35">
        <v>0</v>
      </c>
      <c r="P32" s="35">
        <v>0</v>
      </c>
      <c r="Q32" s="35">
        <v>0</v>
      </c>
      <c r="R32" s="30">
        <f t="shared" ref="R32:R40" si="14">+O32+Q32</f>
        <v>0</v>
      </c>
      <c r="S32" s="35">
        <v>0</v>
      </c>
      <c r="T32" s="35">
        <v>0</v>
      </c>
      <c r="U32" s="35">
        <v>0</v>
      </c>
      <c r="V32" s="35">
        <v>0</v>
      </c>
      <c r="W32" s="30">
        <f t="shared" ref="W32:W40" si="15">+T32+V32</f>
        <v>0</v>
      </c>
      <c r="X32" s="35">
        <v>0</v>
      </c>
      <c r="Y32" s="35">
        <v>0</v>
      </c>
      <c r="Z32" s="35">
        <v>0</v>
      </c>
      <c r="AA32" s="35">
        <v>0</v>
      </c>
      <c r="AB32" s="30">
        <f t="shared" ref="AB32:AB40" si="16">+Y32+AA32</f>
        <v>0</v>
      </c>
      <c r="AC32" s="35">
        <v>0</v>
      </c>
      <c r="AD32" s="35">
        <v>0</v>
      </c>
      <c r="AE32" s="35">
        <v>0</v>
      </c>
      <c r="AF32" s="35">
        <v>0</v>
      </c>
      <c r="AG32" s="30">
        <f t="shared" ref="AG32:AG40" si="17">+AD32+AF32</f>
        <v>0</v>
      </c>
      <c r="AH32" s="35">
        <v>0</v>
      </c>
      <c r="AI32" s="35">
        <v>0</v>
      </c>
      <c r="AJ32" s="35">
        <v>0</v>
      </c>
      <c r="AK32" s="35">
        <v>0</v>
      </c>
      <c r="AL32" s="30">
        <f t="shared" ref="AL32:AL40" si="18">+AI32+AK32</f>
        <v>0</v>
      </c>
      <c r="AM32" s="35">
        <v>0</v>
      </c>
      <c r="AN32" s="35">
        <v>0</v>
      </c>
      <c r="AO32" s="35">
        <v>0</v>
      </c>
      <c r="AP32" s="35">
        <v>0</v>
      </c>
      <c r="AQ32" s="30">
        <f t="shared" ref="AQ32:AQ40" si="19">+AN32+AP32</f>
        <v>0</v>
      </c>
      <c r="AR32" s="35">
        <v>0</v>
      </c>
      <c r="AS32" s="35">
        <v>0</v>
      </c>
      <c r="AT32" s="35">
        <v>0</v>
      </c>
      <c r="AU32" s="35">
        <v>0</v>
      </c>
      <c r="AV32" s="30">
        <f t="shared" ref="AV32:AV40" si="20">+AS32+AU32</f>
        <v>0</v>
      </c>
    </row>
    <row r="33" ht="14.5" spans="2:48">
      <c r="B33" s="32"/>
      <c r="C33" s="33" t="s">
        <v>52</v>
      </c>
      <c r="D33" s="34" t="s">
        <v>53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0">
        <f t="shared" si="13"/>
        <v>0</v>
      </c>
      <c r="L33" s="30">
        <f t="shared" si="13"/>
        <v>0</v>
      </c>
      <c r="M33" s="52"/>
      <c r="N33" s="35">
        <v>0</v>
      </c>
      <c r="O33" s="35">
        <v>0</v>
      </c>
      <c r="P33" s="35">
        <v>0</v>
      </c>
      <c r="Q33" s="35">
        <v>0</v>
      </c>
      <c r="R33" s="30">
        <f t="shared" si="14"/>
        <v>0</v>
      </c>
      <c r="S33" s="35">
        <v>0</v>
      </c>
      <c r="T33" s="35">
        <v>0</v>
      </c>
      <c r="U33" s="35">
        <v>0</v>
      </c>
      <c r="V33" s="35">
        <v>0</v>
      </c>
      <c r="W33" s="30">
        <f t="shared" si="15"/>
        <v>0</v>
      </c>
      <c r="X33" s="35">
        <v>0</v>
      </c>
      <c r="Y33" s="35">
        <v>0</v>
      </c>
      <c r="Z33" s="35">
        <v>0</v>
      </c>
      <c r="AA33" s="35">
        <v>0</v>
      </c>
      <c r="AB33" s="30">
        <f t="shared" si="16"/>
        <v>0</v>
      </c>
      <c r="AC33" s="35">
        <v>0</v>
      </c>
      <c r="AD33" s="35">
        <v>0</v>
      </c>
      <c r="AE33" s="35">
        <v>0</v>
      </c>
      <c r="AF33" s="35">
        <v>0</v>
      </c>
      <c r="AG33" s="30">
        <f t="shared" si="17"/>
        <v>0</v>
      </c>
      <c r="AH33" s="35">
        <v>0</v>
      </c>
      <c r="AI33" s="35">
        <v>0</v>
      </c>
      <c r="AJ33" s="35">
        <v>0</v>
      </c>
      <c r="AK33" s="35">
        <v>0</v>
      </c>
      <c r="AL33" s="30">
        <f t="shared" si="18"/>
        <v>0</v>
      </c>
      <c r="AM33" s="35">
        <v>0</v>
      </c>
      <c r="AN33" s="35">
        <v>0</v>
      </c>
      <c r="AO33" s="35">
        <v>0</v>
      </c>
      <c r="AP33" s="35">
        <v>0</v>
      </c>
      <c r="AQ33" s="30">
        <f t="shared" si="19"/>
        <v>0</v>
      </c>
      <c r="AR33" s="35">
        <v>0</v>
      </c>
      <c r="AS33" s="35">
        <v>0</v>
      </c>
      <c r="AT33" s="35">
        <v>0</v>
      </c>
      <c r="AU33" s="35">
        <v>0</v>
      </c>
      <c r="AV33" s="30">
        <f t="shared" si="20"/>
        <v>0</v>
      </c>
    </row>
    <row r="34" ht="14.5" spans="2:48">
      <c r="B34" s="32"/>
      <c r="C34" s="33" t="s">
        <v>54</v>
      </c>
      <c r="D34" s="34" t="s">
        <v>55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0">
        <f t="shared" si="13"/>
        <v>0</v>
      </c>
      <c r="L34" s="30">
        <f t="shared" si="13"/>
        <v>0</v>
      </c>
      <c r="M34" s="52"/>
      <c r="N34" s="35">
        <v>0</v>
      </c>
      <c r="O34" s="35">
        <v>0</v>
      </c>
      <c r="P34" s="35">
        <v>0</v>
      </c>
      <c r="Q34" s="35">
        <v>0</v>
      </c>
      <c r="R34" s="30">
        <f t="shared" si="14"/>
        <v>0</v>
      </c>
      <c r="S34" s="35">
        <v>0</v>
      </c>
      <c r="T34" s="35">
        <v>0</v>
      </c>
      <c r="U34" s="35">
        <v>0</v>
      </c>
      <c r="V34" s="35">
        <v>0</v>
      </c>
      <c r="W34" s="30">
        <f t="shared" si="15"/>
        <v>0</v>
      </c>
      <c r="X34" s="35">
        <v>0</v>
      </c>
      <c r="Y34" s="35">
        <v>0</v>
      </c>
      <c r="Z34" s="35">
        <v>0</v>
      </c>
      <c r="AA34" s="35">
        <v>0</v>
      </c>
      <c r="AB34" s="30">
        <f t="shared" si="16"/>
        <v>0</v>
      </c>
      <c r="AC34" s="35">
        <v>0</v>
      </c>
      <c r="AD34" s="35">
        <v>0</v>
      </c>
      <c r="AE34" s="35">
        <v>0</v>
      </c>
      <c r="AF34" s="35">
        <v>0</v>
      </c>
      <c r="AG34" s="30">
        <f t="shared" si="17"/>
        <v>0</v>
      </c>
      <c r="AH34" s="35">
        <v>0</v>
      </c>
      <c r="AI34" s="35">
        <v>0</v>
      </c>
      <c r="AJ34" s="35">
        <v>0</v>
      </c>
      <c r="AK34" s="35">
        <v>0</v>
      </c>
      <c r="AL34" s="30">
        <f t="shared" si="18"/>
        <v>0</v>
      </c>
      <c r="AM34" s="35">
        <v>0</v>
      </c>
      <c r="AN34" s="35">
        <v>0</v>
      </c>
      <c r="AO34" s="35">
        <v>0</v>
      </c>
      <c r="AP34" s="35">
        <v>0</v>
      </c>
      <c r="AQ34" s="30">
        <f t="shared" si="19"/>
        <v>0</v>
      </c>
      <c r="AR34" s="35">
        <v>0</v>
      </c>
      <c r="AS34" s="35">
        <v>0</v>
      </c>
      <c r="AT34" s="35">
        <v>0</v>
      </c>
      <c r="AU34" s="35">
        <v>0</v>
      </c>
      <c r="AV34" s="30">
        <f t="shared" si="20"/>
        <v>0</v>
      </c>
    </row>
    <row r="35" ht="14.5" spans="2:48">
      <c r="B35" s="32"/>
      <c r="C35" s="33" t="s">
        <v>56</v>
      </c>
      <c r="D35" s="34" t="s">
        <v>57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0">
        <f t="shared" si="13"/>
        <v>0</v>
      </c>
      <c r="L35" s="30">
        <f t="shared" si="13"/>
        <v>0</v>
      </c>
      <c r="M35" s="52"/>
      <c r="N35" s="35">
        <v>0</v>
      </c>
      <c r="O35" s="35">
        <v>0</v>
      </c>
      <c r="P35" s="35">
        <v>0</v>
      </c>
      <c r="Q35" s="35">
        <v>0</v>
      </c>
      <c r="R35" s="30">
        <f t="shared" si="14"/>
        <v>0</v>
      </c>
      <c r="S35" s="35">
        <v>0</v>
      </c>
      <c r="T35" s="35">
        <v>0</v>
      </c>
      <c r="U35" s="35">
        <v>0</v>
      </c>
      <c r="V35" s="35">
        <v>0</v>
      </c>
      <c r="W35" s="30">
        <f t="shared" si="15"/>
        <v>0</v>
      </c>
      <c r="X35" s="35">
        <v>0</v>
      </c>
      <c r="Y35" s="35">
        <v>0</v>
      </c>
      <c r="Z35" s="35">
        <v>0</v>
      </c>
      <c r="AA35" s="35">
        <v>0</v>
      </c>
      <c r="AB35" s="30">
        <f t="shared" si="16"/>
        <v>0</v>
      </c>
      <c r="AC35" s="35">
        <v>0</v>
      </c>
      <c r="AD35" s="35">
        <v>0</v>
      </c>
      <c r="AE35" s="35">
        <v>0</v>
      </c>
      <c r="AF35" s="35">
        <v>0</v>
      </c>
      <c r="AG35" s="30">
        <f t="shared" si="17"/>
        <v>0</v>
      </c>
      <c r="AH35" s="35">
        <v>0</v>
      </c>
      <c r="AI35" s="35">
        <v>0</v>
      </c>
      <c r="AJ35" s="35">
        <v>0</v>
      </c>
      <c r="AK35" s="35">
        <v>0</v>
      </c>
      <c r="AL35" s="30">
        <f t="shared" si="18"/>
        <v>0</v>
      </c>
      <c r="AM35" s="35">
        <v>0</v>
      </c>
      <c r="AN35" s="35">
        <v>0</v>
      </c>
      <c r="AO35" s="35">
        <v>0</v>
      </c>
      <c r="AP35" s="35">
        <v>0</v>
      </c>
      <c r="AQ35" s="30">
        <f t="shared" si="19"/>
        <v>0</v>
      </c>
      <c r="AR35" s="35">
        <v>0</v>
      </c>
      <c r="AS35" s="35">
        <v>0</v>
      </c>
      <c r="AT35" s="35">
        <v>0</v>
      </c>
      <c r="AU35" s="35">
        <v>0</v>
      </c>
      <c r="AV35" s="30">
        <f t="shared" si="20"/>
        <v>0</v>
      </c>
    </row>
    <row r="36" ht="14.5" spans="2:48">
      <c r="B36" s="32"/>
      <c r="C36" s="33" t="s">
        <v>58</v>
      </c>
      <c r="D36" s="34" t="s">
        <v>59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0">
        <f t="shared" si="13"/>
        <v>0</v>
      </c>
      <c r="L36" s="30">
        <f t="shared" si="13"/>
        <v>0</v>
      </c>
      <c r="M36" s="52"/>
      <c r="N36" s="35">
        <v>0</v>
      </c>
      <c r="O36" s="35">
        <v>0</v>
      </c>
      <c r="P36" s="35">
        <v>0</v>
      </c>
      <c r="Q36" s="35">
        <v>0</v>
      </c>
      <c r="R36" s="30">
        <f t="shared" si="14"/>
        <v>0</v>
      </c>
      <c r="S36" s="35">
        <v>0</v>
      </c>
      <c r="T36" s="35">
        <v>0</v>
      </c>
      <c r="U36" s="35">
        <v>0</v>
      </c>
      <c r="V36" s="35">
        <v>0</v>
      </c>
      <c r="W36" s="30">
        <f t="shared" si="15"/>
        <v>0</v>
      </c>
      <c r="X36" s="35">
        <v>0</v>
      </c>
      <c r="Y36" s="35">
        <v>0</v>
      </c>
      <c r="Z36" s="35">
        <v>0</v>
      </c>
      <c r="AA36" s="35">
        <v>0</v>
      </c>
      <c r="AB36" s="30">
        <f t="shared" si="16"/>
        <v>0</v>
      </c>
      <c r="AC36" s="35">
        <v>0</v>
      </c>
      <c r="AD36" s="35">
        <v>0</v>
      </c>
      <c r="AE36" s="35">
        <v>0</v>
      </c>
      <c r="AF36" s="35">
        <v>0</v>
      </c>
      <c r="AG36" s="30">
        <f t="shared" si="17"/>
        <v>0</v>
      </c>
      <c r="AH36" s="35">
        <v>0</v>
      </c>
      <c r="AI36" s="35">
        <v>0</v>
      </c>
      <c r="AJ36" s="35">
        <v>0</v>
      </c>
      <c r="AK36" s="35">
        <v>0</v>
      </c>
      <c r="AL36" s="30">
        <f t="shared" si="18"/>
        <v>0</v>
      </c>
      <c r="AM36" s="35">
        <v>0</v>
      </c>
      <c r="AN36" s="35">
        <v>0</v>
      </c>
      <c r="AO36" s="35">
        <v>0</v>
      </c>
      <c r="AP36" s="35">
        <v>0</v>
      </c>
      <c r="AQ36" s="30">
        <f t="shared" si="19"/>
        <v>0</v>
      </c>
      <c r="AR36" s="35">
        <v>0</v>
      </c>
      <c r="AS36" s="35">
        <v>0</v>
      </c>
      <c r="AT36" s="35">
        <v>0</v>
      </c>
      <c r="AU36" s="35">
        <v>0</v>
      </c>
      <c r="AV36" s="30">
        <f t="shared" si="20"/>
        <v>0</v>
      </c>
    </row>
    <row r="37" ht="14.5" spans="2:48">
      <c r="B37" s="32"/>
      <c r="C37" s="33" t="s">
        <v>60</v>
      </c>
      <c r="D37" s="34" t="s">
        <v>61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0">
        <f t="shared" si="13"/>
        <v>0</v>
      </c>
      <c r="L37" s="30">
        <f t="shared" si="13"/>
        <v>0</v>
      </c>
      <c r="M37" s="52"/>
      <c r="N37" s="35">
        <v>0</v>
      </c>
      <c r="O37" s="35">
        <v>0</v>
      </c>
      <c r="P37" s="35">
        <v>0</v>
      </c>
      <c r="Q37" s="35">
        <v>0</v>
      </c>
      <c r="R37" s="30">
        <f t="shared" si="14"/>
        <v>0</v>
      </c>
      <c r="S37" s="35">
        <v>0</v>
      </c>
      <c r="T37" s="35">
        <v>0</v>
      </c>
      <c r="U37" s="35">
        <v>0</v>
      </c>
      <c r="V37" s="35">
        <v>0</v>
      </c>
      <c r="W37" s="30">
        <f t="shared" si="15"/>
        <v>0</v>
      </c>
      <c r="X37" s="35">
        <v>0</v>
      </c>
      <c r="Y37" s="35">
        <v>0</v>
      </c>
      <c r="Z37" s="35">
        <v>0</v>
      </c>
      <c r="AA37" s="35">
        <v>0</v>
      </c>
      <c r="AB37" s="30">
        <f t="shared" si="16"/>
        <v>0</v>
      </c>
      <c r="AC37" s="35">
        <v>0</v>
      </c>
      <c r="AD37" s="35">
        <v>0</v>
      </c>
      <c r="AE37" s="35">
        <v>0</v>
      </c>
      <c r="AF37" s="35">
        <v>0</v>
      </c>
      <c r="AG37" s="30">
        <f t="shared" si="17"/>
        <v>0</v>
      </c>
      <c r="AH37" s="35">
        <v>0</v>
      </c>
      <c r="AI37" s="35">
        <v>0</v>
      </c>
      <c r="AJ37" s="35">
        <v>0</v>
      </c>
      <c r="AK37" s="35">
        <v>0</v>
      </c>
      <c r="AL37" s="30">
        <f t="shared" si="18"/>
        <v>0</v>
      </c>
      <c r="AM37" s="35">
        <v>0</v>
      </c>
      <c r="AN37" s="35">
        <v>0</v>
      </c>
      <c r="AO37" s="35">
        <v>0</v>
      </c>
      <c r="AP37" s="35">
        <v>0</v>
      </c>
      <c r="AQ37" s="30">
        <f t="shared" si="19"/>
        <v>0</v>
      </c>
      <c r="AR37" s="35">
        <v>0</v>
      </c>
      <c r="AS37" s="35">
        <v>0</v>
      </c>
      <c r="AT37" s="35">
        <v>0</v>
      </c>
      <c r="AU37" s="35">
        <v>0</v>
      </c>
      <c r="AV37" s="30">
        <f t="shared" si="20"/>
        <v>0</v>
      </c>
    </row>
    <row r="38" s="1" customFormat="1" ht="10.5" spans="2:48">
      <c r="B38" s="32"/>
      <c r="C38" s="33" t="s">
        <v>62</v>
      </c>
      <c r="D38" s="34" t="s">
        <v>63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0">
        <f t="shared" si="13"/>
        <v>0</v>
      </c>
      <c r="L38" s="30">
        <f t="shared" si="13"/>
        <v>0</v>
      </c>
      <c r="M38" s="52"/>
      <c r="N38" s="35">
        <v>0</v>
      </c>
      <c r="O38" s="35">
        <v>0</v>
      </c>
      <c r="P38" s="35">
        <v>0</v>
      </c>
      <c r="Q38" s="35">
        <v>0</v>
      </c>
      <c r="R38" s="30">
        <f t="shared" si="14"/>
        <v>0</v>
      </c>
      <c r="S38" s="35">
        <v>0</v>
      </c>
      <c r="T38" s="35">
        <v>0</v>
      </c>
      <c r="U38" s="35">
        <v>0</v>
      </c>
      <c r="V38" s="35">
        <v>0</v>
      </c>
      <c r="W38" s="30">
        <f t="shared" si="15"/>
        <v>0</v>
      </c>
      <c r="X38" s="35">
        <v>0</v>
      </c>
      <c r="Y38" s="35">
        <v>0</v>
      </c>
      <c r="Z38" s="35">
        <v>0</v>
      </c>
      <c r="AA38" s="35">
        <v>0</v>
      </c>
      <c r="AB38" s="30">
        <f t="shared" si="16"/>
        <v>0</v>
      </c>
      <c r="AC38" s="35">
        <v>0</v>
      </c>
      <c r="AD38" s="35">
        <v>0</v>
      </c>
      <c r="AE38" s="35">
        <v>0</v>
      </c>
      <c r="AF38" s="35">
        <v>0</v>
      </c>
      <c r="AG38" s="30">
        <f t="shared" si="17"/>
        <v>0</v>
      </c>
      <c r="AH38" s="35">
        <v>0</v>
      </c>
      <c r="AI38" s="35">
        <v>0</v>
      </c>
      <c r="AJ38" s="35">
        <v>0</v>
      </c>
      <c r="AK38" s="35">
        <v>0</v>
      </c>
      <c r="AL38" s="30">
        <f t="shared" si="18"/>
        <v>0</v>
      </c>
      <c r="AM38" s="35">
        <v>0</v>
      </c>
      <c r="AN38" s="35">
        <v>0</v>
      </c>
      <c r="AO38" s="35">
        <v>0</v>
      </c>
      <c r="AP38" s="35">
        <v>0</v>
      </c>
      <c r="AQ38" s="30">
        <f t="shared" si="19"/>
        <v>0</v>
      </c>
      <c r="AR38" s="35">
        <v>0</v>
      </c>
      <c r="AS38" s="35">
        <v>0</v>
      </c>
      <c r="AT38" s="35">
        <v>0</v>
      </c>
      <c r="AU38" s="35">
        <v>0</v>
      </c>
      <c r="AV38" s="30">
        <f t="shared" si="20"/>
        <v>0</v>
      </c>
    </row>
    <row r="39" s="1" customFormat="1" ht="10.5" spans="2:48">
      <c r="B39" s="32"/>
      <c r="C39" s="33" t="s">
        <v>64</v>
      </c>
      <c r="D39" s="34" t="s">
        <v>65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0">
        <f t="shared" si="13"/>
        <v>0</v>
      </c>
      <c r="L39" s="30">
        <f t="shared" si="13"/>
        <v>0</v>
      </c>
      <c r="M39" s="52"/>
      <c r="N39" s="35">
        <v>0</v>
      </c>
      <c r="O39" s="35">
        <v>0</v>
      </c>
      <c r="P39" s="35">
        <v>0</v>
      </c>
      <c r="Q39" s="35">
        <v>0</v>
      </c>
      <c r="R39" s="30">
        <f t="shared" si="14"/>
        <v>0</v>
      </c>
      <c r="S39" s="35">
        <v>0</v>
      </c>
      <c r="T39" s="35">
        <v>0</v>
      </c>
      <c r="U39" s="35">
        <v>0</v>
      </c>
      <c r="V39" s="35">
        <v>0</v>
      </c>
      <c r="W39" s="30">
        <f t="shared" si="15"/>
        <v>0</v>
      </c>
      <c r="X39" s="35">
        <v>0</v>
      </c>
      <c r="Y39" s="35">
        <v>0</v>
      </c>
      <c r="Z39" s="35">
        <v>0</v>
      </c>
      <c r="AA39" s="35">
        <v>0</v>
      </c>
      <c r="AB39" s="30">
        <f t="shared" si="16"/>
        <v>0</v>
      </c>
      <c r="AC39" s="35">
        <v>0</v>
      </c>
      <c r="AD39" s="35">
        <v>0</v>
      </c>
      <c r="AE39" s="35">
        <v>0</v>
      </c>
      <c r="AF39" s="35">
        <v>0</v>
      </c>
      <c r="AG39" s="30">
        <f t="shared" si="17"/>
        <v>0</v>
      </c>
      <c r="AH39" s="35">
        <v>0</v>
      </c>
      <c r="AI39" s="35">
        <v>0</v>
      </c>
      <c r="AJ39" s="35">
        <v>0</v>
      </c>
      <c r="AK39" s="35">
        <v>0</v>
      </c>
      <c r="AL39" s="30">
        <f t="shared" si="18"/>
        <v>0</v>
      </c>
      <c r="AM39" s="35">
        <v>0</v>
      </c>
      <c r="AN39" s="35">
        <v>0</v>
      </c>
      <c r="AO39" s="35">
        <v>0</v>
      </c>
      <c r="AP39" s="35">
        <v>0</v>
      </c>
      <c r="AQ39" s="30">
        <f t="shared" si="19"/>
        <v>0</v>
      </c>
      <c r="AR39" s="35">
        <v>0</v>
      </c>
      <c r="AS39" s="35">
        <v>0</v>
      </c>
      <c r="AT39" s="35">
        <v>0</v>
      </c>
      <c r="AU39" s="35">
        <v>0</v>
      </c>
      <c r="AV39" s="30">
        <f t="shared" si="20"/>
        <v>0</v>
      </c>
    </row>
    <row r="40" s="1" customFormat="1" ht="10.5" spans="2:48">
      <c r="B40" s="32"/>
      <c r="C40" s="33" t="s">
        <v>66</v>
      </c>
      <c r="D40" s="34" t="s">
        <v>67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0">
        <f t="shared" si="13"/>
        <v>0</v>
      </c>
      <c r="L40" s="30">
        <f t="shared" si="13"/>
        <v>0</v>
      </c>
      <c r="M40" s="52"/>
      <c r="N40" s="35">
        <v>0</v>
      </c>
      <c r="O40" s="35">
        <v>0</v>
      </c>
      <c r="P40" s="35">
        <v>0</v>
      </c>
      <c r="Q40" s="35">
        <v>0</v>
      </c>
      <c r="R40" s="30">
        <f t="shared" si="14"/>
        <v>0</v>
      </c>
      <c r="S40" s="35">
        <v>0</v>
      </c>
      <c r="T40" s="35">
        <v>0</v>
      </c>
      <c r="U40" s="35">
        <v>0</v>
      </c>
      <c r="V40" s="35">
        <v>0</v>
      </c>
      <c r="W40" s="30">
        <f t="shared" si="15"/>
        <v>0</v>
      </c>
      <c r="X40" s="35">
        <v>0</v>
      </c>
      <c r="Y40" s="35">
        <v>0</v>
      </c>
      <c r="Z40" s="35">
        <v>0</v>
      </c>
      <c r="AA40" s="35">
        <v>0</v>
      </c>
      <c r="AB40" s="30">
        <f t="shared" si="16"/>
        <v>0</v>
      </c>
      <c r="AC40" s="35">
        <v>0</v>
      </c>
      <c r="AD40" s="35">
        <v>0</v>
      </c>
      <c r="AE40" s="35">
        <v>0</v>
      </c>
      <c r="AF40" s="35">
        <v>0</v>
      </c>
      <c r="AG40" s="30">
        <f t="shared" si="17"/>
        <v>0</v>
      </c>
      <c r="AH40" s="35">
        <v>0</v>
      </c>
      <c r="AI40" s="35">
        <v>0</v>
      </c>
      <c r="AJ40" s="35">
        <v>0</v>
      </c>
      <c r="AK40" s="35">
        <v>0</v>
      </c>
      <c r="AL40" s="30">
        <f t="shared" si="18"/>
        <v>0</v>
      </c>
      <c r="AM40" s="35">
        <v>0</v>
      </c>
      <c r="AN40" s="35">
        <v>0</v>
      </c>
      <c r="AO40" s="35">
        <v>0</v>
      </c>
      <c r="AP40" s="35">
        <v>0</v>
      </c>
      <c r="AQ40" s="30">
        <f t="shared" si="19"/>
        <v>0</v>
      </c>
      <c r="AR40" s="35">
        <v>0</v>
      </c>
      <c r="AS40" s="35">
        <v>0</v>
      </c>
      <c r="AT40" s="35">
        <v>0</v>
      </c>
      <c r="AU40" s="35">
        <v>0</v>
      </c>
      <c r="AV40" s="30">
        <f t="shared" si="20"/>
        <v>0</v>
      </c>
    </row>
    <row r="41" ht="14.5" spans="2:48">
      <c r="B41" s="27"/>
      <c r="C41" s="28">
        <v>2.2</v>
      </c>
      <c r="D41" s="26" t="s">
        <v>38</v>
      </c>
      <c r="E41" s="29">
        <f>SUM(E42:E50)</f>
        <v>0</v>
      </c>
      <c r="F41" s="29">
        <f t="shared" ref="F41:AV41" si="21">SUM(F42:F50)</f>
        <v>0</v>
      </c>
      <c r="G41" s="29">
        <f t="shared" si="21"/>
        <v>0</v>
      </c>
      <c r="H41" s="29">
        <f t="shared" si="21"/>
        <v>0</v>
      </c>
      <c r="I41" s="29">
        <f t="shared" si="21"/>
        <v>0</v>
      </c>
      <c r="J41" s="29">
        <f t="shared" si="21"/>
        <v>0</v>
      </c>
      <c r="K41" s="29">
        <f t="shared" si="21"/>
        <v>0</v>
      </c>
      <c r="L41" s="29">
        <f t="shared" si="21"/>
        <v>0</v>
      </c>
      <c r="M41" s="52"/>
      <c r="N41" s="29">
        <f>SUM(N42:N50)</f>
        <v>0</v>
      </c>
      <c r="O41" s="29">
        <f>SUM(O42:O50)</f>
        <v>0</v>
      </c>
      <c r="P41" s="29">
        <f>SUM(P42:P50)</f>
        <v>0</v>
      </c>
      <c r="Q41" s="29">
        <f>SUM(Q42:Q50)</f>
        <v>0</v>
      </c>
      <c r="R41" s="29">
        <f t="shared" si="21"/>
        <v>0</v>
      </c>
      <c r="S41" s="29">
        <f t="shared" si="21"/>
        <v>0</v>
      </c>
      <c r="T41" s="29">
        <f t="shared" si="21"/>
        <v>0</v>
      </c>
      <c r="U41" s="29">
        <f t="shared" si="21"/>
        <v>0</v>
      </c>
      <c r="V41" s="29">
        <f t="shared" si="21"/>
        <v>0</v>
      </c>
      <c r="W41" s="29">
        <f t="shared" si="21"/>
        <v>0</v>
      </c>
      <c r="X41" s="29">
        <f t="shared" si="21"/>
        <v>0</v>
      </c>
      <c r="Y41" s="29">
        <f t="shared" si="21"/>
        <v>0</v>
      </c>
      <c r="Z41" s="29">
        <f t="shared" si="21"/>
        <v>0</v>
      </c>
      <c r="AA41" s="29">
        <f t="shared" si="21"/>
        <v>0</v>
      </c>
      <c r="AB41" s="29">
        <f t="shared" si="21"/>
        <v>0</v>
      </c>
      <c r="AC41" s="29">
        <f t="shared" si="21"/>
        <v>0</v>
      </c>
      <c r="AD41" s="29">
        <f t="shared" si="21"/>
        <v>0</v>
      </c>
      <c r="AE41" s="29">
        <f t="shared" si="21"/>
        <v>0</v>
      </c>
      <c r="AF41" s="29">
        <f t="shared" si="21"/>
        <v>0</v>
      </c>
      <c r="AG41" s="29">
        <f t="shared" si="21"/>
        <v>0</v>
      </c>
      <c r="AH41" s="29">
        <f t="shared" si="21"/>
        <v>0</v>
      </c>
      <c r="AI41" s="29">
        <f t="shared" si="21"/>
        <v>0</v>
      </c>
      <c r="AJ41" s="29">
        <f t="shared" si="21"/>
        <v>0</v>
      </c>
      <c r="AK41" s="29">
        <f t="shared" si="21"/>
        <v>0</v>
      </c>
      <c r="AL41" s="29">
        <f t="shared" si="21"/>
        <v>0</v>
      </c>
      <c r="AM41" s="29">
        <f t="shared" si="21"/>
        <v>0</v>
      </c>
      <c r="AN41" s="29">
        <f t="shared" si="21"/>
        <v>0</v>
      </c>
      <c r="AO41" s="29">
        <f t="shared" si="21"/>
        <v>0</v>
      </c>
      <c r="AP41" s="29">
        <f t="shared" si="21"/>
        <v>0</v>
      </c>
      <c r="AQ41" s="29">
        <f t="shared" si="21"/>
        <v>0</v>
      </c>
      <c r="AR41" s="29">
        <f t="shared" si="21"/>
        <v>0</v>
      </c>
      <c r="AS41" s="29">
        <f t="shared" si="21"/>
        <v>0</v>
      </c>
      <c r="AT41" s="29">
        <f t="shared" si="21"/>
        <v>0</v>
      </c>
      <c r="AU41" s="29">
        <f t="shared" si="21"/>
        <v>0</v>
      </c>
      <c r="AV41" s="29">
        <f t="shared" si="21"/>
        <v>0</v>
      </c>
    </row>
    <row r="42" ht="14.5" spans="2:48">
      <c r="B42" s="32"/>
      <c r="C42" s="33" t="s">
        <v>68</v>
      </c>
      <c r="D42" s="34" t="s">
        <v>41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0">
        <f t="shared" ref="K42:L50" si="22">+E42+G42+I42</f>
        <v>0</v>
      </c>
      <c r="L42" s="30">
        <f t="shared" si="22"/>
        <v>0</v>
      </c>
      <c r="M42" s="52"/>
      <c r="N42" s="35">
        <v>0</v>
      </c>
      <c r="O42" s="35">
        <v>0</v>
      </c>
      <c r="P42" s="35">
        <v>0</v>
      </c>
      <c r="Q42" s="35">
        <v>0</v>
      </c>
      <c r="R42" s="30">
        <f t="shared" ref="R42:R50" si="23">+O42+Q42</f>
        <v>0</v>
      </c>
      <c r="S42" s="35">
        <v>0</v>
      </c>
      <c r="T42" s="35">
        <v>0</v>
      </c>
      <c r="U42" s="35">
        <v>0</v>
      </c>
      <c r="V42" s="35">
        <v>0</v>
      </c>
      <c r="W42" s="30">
        <f t="shared" ref="W42:W50" si="24">+T42+V42</f>
        <v>0</v>
      </c>
      <c r="X42" s="35">
        <v>0</v>
      </c>
      <c r="Y42" s="35">
        <v>0</v>
      </c>
      <c r="Z42" s="35">
        <v>0</v>
      </c>
      <c r="AA42" s="35">
        <v>0</v>
      </c>
      <c r="AB42" s="30">
        <f t="shared" ref="AB42:AB50" si="25">+Y42+AA42</f>
        <v>0</v>
      </c>
      <c r="AC42" s="35">
        <v>0</v>
      </c>
      <c r="AD42" s="35">
        <v>0</v>
      </c>
      <c r="AE42" s="35">
        <v>0</v>
      </c>
      <c r="AF42" s="35">
        <v>0</v>
      </c>
      <c r="AG42" s="30">
        <f t="shared" ref="AG42:AG50" si="26">+AD42+AF42</f>
        <v>0</v>
      </c>
      <c r="AH42" s="35">
        <v>0</v>
      </c>
      <c r="AI42" s="35">
        <v>0</v>
      </c>
      <c r="AJ42" s="35">
        <v>0</v>
      </c>
      <c r="AK42" s="35">
        <v>0</v>
      </c>
      <c r="AL42" s="30">
        <f t="shared" ref="AL42:AL50" si="27">+AI42+AK42</f>
        <v>0</v>
      </c>
      <c r="AM42" s="35">
        <v>0</v>
      </c>
      <c r="AN42" s="35">
        <v>0</v>
      </c>
      <c r="AO42" s="35">
        <v>0</v>
      </c>
      <c r="AP42" s="35">
        <v>0</v>
      </c>
      <c r="AQ42" s="30">
        <f t="shared" ref="AQ42:AQ50" si="28">+AN42+AP42</f>
        <v>0</v>
      </c>
      <c r="AR42" s="35">
        <v>0</v>
      </c>
      <c r="AS42" s="35">
        <v>0</v>
      </c>
      <c r="AT42" s="35">
        <v>0</v>
      </c>
      <c r="AU42" s="35">
        <v>0</v>
      </c>
      <c r="AV42" s="30">
        <f t="shared" ref="AV42:AV50" si="29">+AS42+AU42</f>
        <v>0</v>
      </c>
    </row>
    <row r="43" ht="14.5" spans="2:48">
      <c r="B43" s="32"/>
      <c r="C43" s="33" t="s">
        <v>69</v>
      </c>
      <c r="D43" s="34" t="s">
        <v>53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0">
        <f t="shared" si="22"/>
        <v>0</v>
      </c>
      <c r="L43" s="30">
        <f t="shared" si="22"/>
        <v>0</v>
      </c>
      <c r="M43" s="52"/>
      <c r="N43" s="35">
        <v>0</v>
      </c>
      <c r="O43" s="35">
        <v>0</v>
      </c>
      <c r="P43" s="35">
        <v>0</v>
      </c>
      <c r="Q43" s="35">
        <v>0</v>
      </c>
      <c r="R43" s="30">
        <f t="shared" si="23"/>
        <v>0</v>
      </c>
      <c r="S43" s="35">
        <v>0</v>
      </c>
      <c r="T43" s="35">
        <v>0</v>
      </c>
      <c r="U43" s="35">
        <v>0</v>
      </c>
      <c r="V43" s="35">
        <v>0</v>
      </c>
      <c r="W43" s="30">
        <f t="shared" si="24"/>
        <v>0</v>
      </c>
      <c r="X43" s="35">
        <v>0</v>
      </c>
      <c r="Y43" s="35">
        <v>0</v>
      </c>
      <c r="Z43" s="35">
        <v>0</v>
      </c>
      <c r="AA43" s="35">
        <v>0</v>
      </c>
      <c r="AB43" s="30">
        <f t="shared" si="25"/>
        <v>0</v>
      </c>
      <c r="AC43" s="35">
        <v>0</v>
      </c>
      <c r="AD43" s="35">
        <v>0</v>
      </c>
      <c r="AE43" s="35">
        <v>0</v>
      </c>
      <c r="AF43" s="35">
        <v>0</v>
      </c>
      <c r="AG43" s="30">
        <f t="shared" si="26"/>
        <v>0</v>
      </c>
      <c r="AH43" s="35">
        <v>0</v>
      </c>
      <c r="AI43" s="35">
        <v>0</v>
      </c>
      <c r="AJ43" s="35">
        <v>0</v>
      </c>
      <c r="AK43" s="35">
        <v>0</v>
      </c>
      <c r="AL43" s="30">
        <f t="shared" si="27"/>
        <v>0</v>
      </c>
      <c r="AM43" s="35">
        <v>0</v>
      </c>
      <c r="AN43" s="35">
        <v>0</v>
      </c>
      <c r="AO43" s="35">
        <v>0</v>
      </c>
      <c r="AP43" s="35">
        <v>0</v>
      </c>
      <c r="AQ43" s="30">
        <f t="shared" si="28"/>
        <v>0</v>
      </c>
      <c r="AR43" s="35">
        <v>0</v>
      </c>
      <c r="AS43" s="35">
        <v>0</v>
      </c>
      <c r="AT43" s="35">
        <v>0</v>
      </c>
      <c r="AU43" s="35">
        <v>0</v>
      </c>
      <c r="AV43" s="30">
        <f t="shared" si="29"/>
        <v>0</v>
      </c>
    </row>
    <row r="44" ht="14.5" spans="2:48">
      <c r="B44" s="32"/>
      <c r="C44" s="33" t="s">
        <v>70</v>
      </c>
      <c r="D44" s="34" t="s">
        <v>55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0">
        <f t="shared" si="22"/>
        <v>0</v>
      </c>
      <c r="L44" s="30">
        <f t="shared" si="22"/>
        <v>0</v>
      </c>
      <c r="M44" s="52"/>
      <c r="N44" s="35">
        <v>0</v>
      </c>
      <c r="O44" s="35">
        <v>0</v>
      </c>
      <c r="P44" s="35">
        <v>0</v>
      </c>
      <c r="Q44" s="35">
        <v>0</v>
      </c>
      <c r="R44" s="30">
        <f t="shared" si="23"/>
        <v>0</v>
      </c>
      <c r="S44" s="35">
        <v>0</v>
      </c>
      <c r="T44" s="35">
        <v>0</v>
      </c>
      <c r="U44" s="35">
        <v>0</v>
      </c>
      <c r="V44" s="35">
        <v>0</v>
      </c>
      <c r="W44" s="30">
        <f t="shared" si="24"/>
        <v>0</v>
      </c>
      <c r="X44" s="35">
        <v>0</v>
      </c>
      <c r="Y44" s="35">
        <v>0</v>
      </c>
      <c r="Z44" s="35">
        <v>0</v>
      </c>
      <c r="AA44" s="35">
        <v>0</v>
      </c>
      <c r="AB44" s="30">
        <f t="shared" si="25"/>
        <v>0</v>
      </c>
      <c r="AC44" s="35">
        <v>0</v>
      </c>
      <c r="AD44" s="35">
        <v>0</v>
      </c>
      <c r="AE44" s="35">
        <v>0</v>
      </c>
      <c r="AF44" s="35">
        <v>0</v>
      </c>
      <c r="AG44" s="30">
        <f t="shared" si="26"/>
        <v>0</v>
      </c>
      <c r="AH44" s="35">
        <v>0</v>
      </c>
      <c r="AI44" s="35">
        <v>0</v>
      </c>
      <c r="AJ44" s="35">
        <v>0</v>
      </c>
      <c r="AK44" s="35">
        <v>0</v>
      </c>
      <c r="AL44" s="30">
        <f t="shared" si="27"/>
        <v>0</v>
      </c>
      <c r="AM44" s="35">
        <v>0</v>
      </c>
      <c r="AN44" s="35">
        <v>0</v>
      </c>
      <c r="AO44" s="35">
        <v>0</v>
      </c>
      <c r="AP44" s="35">
        <v>0</v>
      </c>
      <c r="AQ44" s="30">
        <f t="shared" si="28"/>
        <v>0</v>
      </c>
      <c r="AR44" s="35">
        <v>0</v>
      </c>
      <c r="AS44" s="35">
        <v>0</v>
      </c>
      <c r="AT44" s="35">
        <v>0</v>
      </c>
      <c r="AU44" s="35">
        <v>0</v>
      </c>
      <c r="AV44" s="30">
        <f t="shared" si="29"/>
        <v>0</v>
      </c>
    </row>
    <row r="45" ht="14.5" spans="2:48">
      <c r="B45" s="32"/>
      <c r="C45" s="33" t="s">
        <v>71</v>
      </c>
      <c r="D45" s="34" t="s">
        <v>57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0">
        <f t="shared" si="22"/>
        <v>0</v>
      </c>
      <c r="L45" s="30">
        <f t="shared" si="22"/>
        <v>0</v>
      </c>
      <c r="M45" s="52"/>
      <c r="N45" s="35">
        <v>0</v>
      </c>
      <c r="O45" s="35">
        <v>0</v>
      </c>
      <c r="P45" s="35">
        <v>0</v>
      </c>
      <c r="Q45" s="35">
        <v>0</v>
      </c>
      <c r="R45" s="30">
        <f t="shared" si="23"/>
        <v>0</v>
      </c>
      <c r="S45" s="35">
        <v>0</v>
      </c>
      <c r="T45" s="35">
        <v>0</v>
      </c>
      <c r="U45" s="35">
        <v>0</v>
      </c>
      <c r="V45" s="35">
        <v>0</v>
      </c>
      <c r="W45" s="30">
        <f t="shared" si="24"/>
        <v>0</v>
      </c>
      <c r="X45" s="35">
        <v>0</v>
      </c>
      <c r="Y45" s="35">
        <v>0</v>
      </c>
      <c r="Z45" s="35">
        <v>0</v>
      </c>
      <c r="AA45" s="35">
        <v>0</v>
      </c>
      <c r="AB45" s="30">
        <f t="shared" si="25"/>
        <v>0</v>
      </c>
      <c r="AC45" s="35">
        <v>0</v>
      </c>
      <c r="AD45" s="35">
        <v>0</v>
      </c>
      <c r="AE45" s="35">
        <v>0</v>
      </c>
      <c r="AF45" s="35">
        <v>0</v>
      </c>
      <c r="AG45" s="30">
        <f t="shared" si="26"/>
        <v>0</v>
      </c>
      <c r="AH45" s="35">
        <v>0</v>
      </c>
      <c r="AI45" s="35">
        <v>0</v>
      </c>
      <c r="AJ45" s="35">
        <v>0</v>
      </c>
      <c r="AK45" s="35">
        <v>0</v>
      </c>
      <c r="AL45" s="30">
        <f t="shared" si="27"/>
        <v>0</v>
      </c>
      <c r="AM45" s="35">
        <v>0</v>
      </c>
      <c r="AN45" s="35">
        <v>0</v>
      </c>
      <c r="AO45" s="35">
        <v>0</v>
      </c>
      <c r="AP45" s="35">
        <v>0</v>
      </c>
      <c r="AQ45" s="30">
        <f t="shared" si="28"/>
        <v>0</v>
      </c>
      <c r="AR45" s="35">
        <v>0</v>
      </c>
      <c r="AS45" s="35">
        <v>0</v>
      </c>
      <c r="AT45" s="35">
        <v>0</v>
      </c>
      <c r="AU45" s="35">
        <v>0</v>
      </c>
      <c r="AV45" s="30">
        <f t="shared" si="29"/>
        <v>0</v>
      </c>
    </row>
    <row r="46" ht="14.5" spans="2:48">
      <c r="B46" s="32"/>
      <c r="C46" s="33" t="s">
        <v>72</v>
      </c>
      <c r="D46" s="34" t="s">
        <v>59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0">
        <f t="shared" si="22"/>
        <v>0</v>
      </c>
      <c r="L46" s="30">
        <f t="shared" si="22"/>
        <v>0</v>
      </c>
      <c r="M46" s="52"/>
      <c r="N46" s="35">
        <v>0</v>
      </c>
      <c r="O46" s="35">
        <v>0</v>
      </c>
      <c r="P46" s="35">
        <v>0</v>
      </c>
      <c r="Q46" s="35">
        <v>0</v>
      </c>
      <c r="R46" s="30">
        <f t="shared" si="23"/>
        <v>0</v>
      </c>
      <c r="S46" s="35">
        <v>0</v>
      </c>
      <c r="T46" s="35">
        <v>0</v>
      </c>
      <c r="U46" s="35">
        <v>0</v>
      </c>
      <c r="V46" s="35">
        <v>0</v>
      </c>
      <c r="W46" s="30">
        <f t="shared" si="24"/>
        <v>0</v>
      </c>
      <c r="X46" s="35">
        <v>0</v>
      </c>
      <c r="Y46" s="35">
        <v>0</v>
      </c>
      <c r="Z46" s="35">
        <v>0</v>
      </c>
      <c r="AA46" s="35">
        <v>0</v>
      </c>
      <c r="AB46" s="30">
        <f t="shared" si="25"/>
        <v>0</v>
      </c>
      <c r="AC46" s="35">
        <v>0</v>
      </c>
      <c r="AD46" s="35">
        <v>0</v>
      </c>
      <c r="AE46" s="35">
        <v>0</v>
      </c>
      <c r="AF46" s="35">
        <v>0</v>
      </c>
      <c r="AG46" s="30">
        <f t="shared" si="26"/>
        <v>0</v>
      </c>
      <c r="AH46" s="35">
        <v>0</v>
      </c>
      <c r="AI46" s="35">
        <v>0</v>
      </c>
      <c r="AJ46" s="35">
        <v>0</v>
      </c>
      <c r="AK46" s="35">
        <v>0</v>
      </c>
      <c r="AL46" s="30">
        <f t="shared" si="27"/>
        <v>0</v>
      </c>
      <c r="AM46" s="35">
        <v>0</v>
      </c>
      <c r="AN46" s="35">
        <v>0</v>
      </c>
      <c r="AO46" s="35">
        <v>0</v>
      </c>
      <c r="AP46" s="35">
        <v>0</v>
      </c>
      <c r="AQ46" s="30">
        <f t="shared" si="28"/>
        <v>0</v>
      </c>
      <c r="AR46" s="35">
        <v>0</v>
      </c>
      <c r="AS46" s="35">
        <v>0</v>
      </c>
      <c r="AT46" s="35">
        <v>0</v>
      </c>
      <c r="AU46" s="35">
        <v>0</v>
      </c>
      <c r="AV46" s="30">
        <f t="shared" si="29"/>
        <v>0</v>
      </c>
    </row>
    <row r="47" ht="14.5" spans="2:48">
      <c r="B47" s="32"/>
      <c r="C47" s="33" t="s">
        <v>73</v>
      </c>
      <c r="D47" s="34" t="s">
        <v>61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0">
        <f t="shared" si="22"/>
        <v>0</v>
      </c>
      <c r="L47" s="30">
        <f t="shared" si="22"/>
        <v>0</v>
      </c>
      <c r="M47" s="52"/>
      <c r="N47" s="35">
        <v>0</v>
      </c>
      <c r="O47" s="35">
        <v>0</v>
      </c>
      <c r="P47" s="35">
        <v>0</v>
      </c>
      <c r="Q47" s="35">
        <v>0</v>
      </c>
      <c r="R47" s="30">
        <f t="shared" si="23"/>
        <v>0</v>
      </c>
      <c r="S47" s="35">
        <v>0</v>
      </c>
      <c r="T47" s="35">
        <v>0</v>
      </c>
      <c r="U47" s="35">
        <v>0</v>
      </c>
      <c r="V47" s="35">
        <v>0</v>
      </c>
      <c r="W47" s="30">
        <f t="shared" si="24"/>
        <v>0</v>
      </c>
      <c r="X47" s="35">
        <v>0</v>
      </c>
      <c r="Y47" s="35">
        <v>0</v>
      </c>
      <c r="Z47" s="35">
        <v>0</v>
      </c>
      <c r="AA47" s="35">
        <v>0</v>
      </c>
      <c r="AB47" s="30">
        <f t="shared" si="25"/>
        <v>0</v>
      </c>
      <c r="AC47" s="35">
        <v>0</v>
      </c>
      <c r="AD47" s="35">
        <v>0</v>
      </c>
      <c r="AE47" s="35">
        <v>0</v>
      </c>
      <c r="AF47" s="35">
        <v>0</v>
      </c>
      <c r="AG47" s="30">
        <f t="shared" si="26"/>
        <v>0</v>
      </c>
      <c r="AH47" s="35">
        <v>0</v>
      </c>
      <c r="AI47" s="35">
        <v>0</v>
      </c>
      <c r="AJ47" s="35">
        <v>0</v>
      </c>
      <c r="AK47" s="35">
        <v>0</v>
      </c>
      <c r="AL47" s="30">
        <f t="shared" si="27"/>
        <v>0</v>
      </c>
      <c r="AM47" s="35">
        <v>0</v>
      </c>
      <c r="AN47" s="35">
        <v>0</v>
      </c>
      <c r="AO47" s="35">
        <v>0</v>
      </c>
      <c r="AP47" s="35">
        <v>0</v>
      </c>
      <c r="AQ47" s="30">
        <f t="shared" si="28"/>
        <v>0</v>
      </c>
      <c r="AR47" s="35">
        <v>0</v>
      </c>
      <c r="AS47" s="35">
        <v>0</v>
      </c>
      <c r="AT47" s="35">
        <v>0</v>
      </c>
      <c r="AU47" s="35">
        <v>0</v>
      </c>
      <c r="AV47" s="30">
        <f t="shared" si="29"/>
        <v>0</v>
      </c>
    </row>
    <row r="48" ht="14.5" spans="2:48">
      <c r="B48" s="32"/>
      <c r="C48" s="33" t="s">
        <v>74</v>
      </c>
      <c r="D48" s="34" t="s">
        <v>63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0">
        <f t="shared" si="22"/>
        <v>0</v>
      </c>
      <c r="L48" s="30">
        <f t="shared" si="22"/>
        <v>0</v>
      </c>
      <c r="M48" s="52"/>
      <c r="N48" s="35">
        <v>0</v>
      </c>
      <c r="O48" s="35">
        <v>0</v>
      </c>
      <c r="P48" s="35">
        <v>0</v>
      </c>
      <c r="Q48" s="35">
        <v>0</v>
      </c>
      <c r="R48" s="30">
        <f t="shared" si="23"/>
        <v>0</v>
      </c>
      <c r="S48" s="35">
        <v>0</v>
      </c>
      <c r="T48" s="35">
        <v>0</v>
      </c>
      <c r="U48" s="35">
        <v>0</v>
      </c>
      <c r="V48" s="35">
        <v>0</v>
      </c>
      <c r="W48" s="30">
        <f t="shared" si="24"/>
        <v>0</v>
      </c>
      <c r="X48" s="35">
        <v>0</v>
      </c>
      <c r="Y48" s="35">
        <v>0</v>
      </c>
      <c r="Z48" s="35">
        <v>0</v>
      </c>
      <c r="AA48" s="35">
        <v>0</v>
      </c>
      <c r="AB48" s="30">
        <f t="shared" si="25"/>
        <v>0</v>
      </c>
      <c r="AC48" s="35">
        <v>0</v>
      </c>
      <c r="AD48" s="35">
        <v>0</v>
      </c>
      <c r="AE48" s="35">
        <v>0</v>
      </c>
      <c r="AF48" s="35">
        <v>0</v>
      </c>
      <c r="AG48" s="30">
        <f t="shared" si="26"/>
        <v>0</v>
      </c>
      <c r="AH48" s="35">
        <v>0</v>
      </c>
      <c r="AI48" s="35">
        <v>0</v>
      </c>
      <c r="AJ48" s="35">
        <v>0</v>
      </c>
      <c r="AK48" s="35">
        <v>0</v>
      </c>
      <c r="AL48" s="30">
        <f t="shared" si="27"/>
        <v>0</v>
      </c>
      <c r="AM48" s="35">
        <v>0</v>
      </c>
      <c r="AN48" s="35">
        <v>0</v>
      </c>
      <c r="AO48" s="35">
        <v>0</v>
      </c>
      <c r="AP48" s="35">
        <v>0</v>
      </c>
      <c r="AQ48" s="30">
        <f t="shared" si="28"/>
        <v>0</v>
      </c>
      <c r="AR48" s="35">
        <v>0</v>
      </c>
      <c r="AS48" s="35">
        <v>0</v>
      </c>
      <c r="AT48" s="35">
        <v>0</v>
      </c>
      <c r="AU48" s="35">
        <v>0</v>
      </c>
      <c r="AV48" s="30">
        <f t="shared" si="29"/>
        <v>0</v>
      </c>
    </row>
    <row r="49" ht="14.5" spans="2:48">
      <c r="B49" s="32"/>
      <c r="C49" s="33" t="s">
        <v>75</v>
      </c>
      <c r="D49" s="34" t="s">
        <v>76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0">
        <f t="shared" si="22"/>
        <v>0</v>
      </c>
      <c r="L49" s="30">
        <f t="shared" si="22"/>
        <v>0</v>
      </c>
      <c r="M49" s="52"/>
      <c r="N49" s="35">
        <v>0</v>
      </c>
      <c r="O49" s="35">
        <v>0</v>
      </c>
      <c r="P49" s="35">
        <v>0</v>
      </c>
      <c r="Q49" s="35">
        <v>0</v>
      </c>
      <c r="R49" s="30">
        <f t="shared" si="23"/>
        <v>0</v>
      </c>
      <c r="S49" s="35">
        <v>0</v>
      </c>
      <c r="T49" s="35">
        <v>0</v>
      </c>
      <c r="U49" s="35">
        <v>0</v>
      </c>
      <c r="V49" s="35">
        <v>0</v>
      </c>
      <c r="W49" s="30">
        <f t="shared" si="24"/>
        <v>0</v>
      </c>
      <c r="X49" s="35">
        <v>0</v>
      </c>
      <c r="Y49" s="35">
        <v>0</v>
      </c>
      <c r="Z49" s="35">
        <v>0</v>
      </c>
      <c r="AA49" s="35">
        <v>0</v>
      </c>
      <c r="AB49" s="30">
        <f t="shared" si="25"/>
        <v>0</v>
      </c>
      <c r="AC49" s="35">
        <v>0</v>
      </c>
      <c r="AD49" s="35">
        <v>0</v>
      </c>
      <c r="AE49" s="35">
        <v>0</v>
      </c>
      <c r="AF49" s="35">
        <v>0</v>
      </c>
      <c r="AG49" s="30">
        <f t="shared" si="26"/>
        <v>0</v>
      </c>
      <c r="AH49" s="35">
        <v>0</v>
      </c>
      <c r="AI49" s="35">
        <v>0</v>
      </c>
      <c r="AJ49" s="35">
        <v>0</v>
      </c>
      <c r="AK49" s="35">
        <v>0</v>
      </c>
      <c r="AL49" s="30">
        <f t="shared" si="27"/>
        <v>0</v>
      </c>
      <c r="AM49" s="35">
        <v>0</v>
      </c>
      <c r="AN49" s="35">
        <v>0</v>
      </c>
      <c r="AO49" s="35">
        <v>0</v>
      </c>
      <c r="AP49" s="35">
        <v>0</v>
      </c>
      <c r="AQ49" s="30">
        <f t="shared" si="28"/>
        <v>0</v>
      </c>
      <c r="AR49" s="35">
        <v>0</v>
      </c>
      <c r="AS49" s="35">
        <v>0</v>
      </c>
      <c r="AT49" s="35">
        <v>0</v>
      </c>
      <c r="AU49" s="35">
        <v>0</v>
      </c>
      <c r="AV49" s="30">
        <f t="shared" si="29"/>
        <v>0</v>
      </c>
    </row>
    <row r="50" s="1" customFormat="1" ht="10.5" spans="2:48">
      <c r="B50" s="32"/>
      <c r="C50" s="33" t="s">
        <v>77</v>
      </c>
      <c r="D50" s="34" t="s">
        <v>67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0">
        <f t="shared" si="22"/>
        <v>0</v>
      </c>
      <c r="L50" s="30">
        <f t="shared" si="22"/>
        <v>0</v>
      </c>
      <c r="M50" s="52"/>
      <c r="N50" s="35">
        <v>0</v>
      </c>
      <c r="O50" s="35">
        <v>0</v>
      </c>
      <c r="P50" s="35">
        <v>0</v>
      </c>
      <c r="Q50" s="35">
        <v>0</v>
      </c>
      <c r="R50" s="30">
        <f t="shared" si="23"/>
        <v>0</v>
      </c>
      <c r="S50" s="35">
        <v>0</v>
      </c>
      <c r="T50" s="35">
        <v>0</v>
      </c>
      <c r="U50" s="35">
        <v>0</v>
      </c>
      <c r="V50" s="35">
        <v>0</v>
      </c>
      <c r="W50" s="30">
        <f t="shared" si="24"/>
        <v>0</v>
      </c>
      <c r="X50" s="35">
        <v>0</v>
      </c>
      <c r="Y50" s="35">
        <v>0</v>
      </c>
      <c r="Z50" s="35">
        <v>0</v>
      </c>
      <c r="AA50" s="35">
        <v>0</v>
      </c>
      <c r="AB50" s="30">
        <f t="shared" si="25"/>
        <v>0</v>
      </c>
      <c r="AC50" s="35">
        <v>0</v>
      </c>
      <c r="AD50" s="35">
        <v>0</v>
      </c>
      <c r="AE50" s="35">
        <v>0</v>
      </c>
      <c r="AF50" s="35">
        <v>0</v>
      </c>
      <c r="AG50" s="30">
        <f t="shared" si="26"/>
        <v>0</v>
      </c>
      <c r="AH50" s="35">
        <v>0</v>
      </c>
      <c r="AI50" s="35">
        <v>0</v>
      </c>
      <c r="AJ50" s="35">
        <v>0</v>
      </c>
      <c r="AK50" s="35">
        <v>0</v>
      </c>
      <c r="AL50" s="30">
        <f t="shared" si="27"/>
        <v>0</v>
      </c>
      <c r="AM50" s="35">
        <v>0</v>
      </c>
      <c r="AN50" s="35">
        <v>0</v>
      </c>
      <c r="AO50" s="35">
        <v>0</v>
      </c>
      <c r="AP50" s="35">
        <v>0</v>
      </c>
      <c r="AQ50" s="30">
        <f t="shared" si="28"/>
        <v>0</v>
      </c>
      <c r="AR50" s="35">
        <v>0</v>
      </c>
      <c r="AS50" s="35">
        <v>0</v>
      </c>
      <c r="AT50" s="35">
        <v>0</v>
      </c>
      <c r="AU50" s="35">
        <v>0</v>
      </c>
      <c r="AV50" s="30">
        <f t="shared" si="29"/>
        <v>0</v>
      </c>
    </row>
    <row r="51" s="1" customFormat="1" ht="10.5" spans="2:48">
      <c r="B51" s="27"/>
      <c r="C51" s="28">
        <v>2.3</v>
      </c>
      <c r="D51" s="26" t="s">
        <v>78</v>
      </c>
      <c r="E51" s="30">
        <f>SUM(E52:E53)</f>
        <v>0</v>
      </c>
      <c r="F51" s="30">
        <f t="shared" ref="F51:AV51" si="30">SUM(F52:F53)</f>
        <v>0</v>
      </c>
      <c r="G51" s="30">
        <f t="shared" si="30"/>
        <v>0</v>
      </c>
      <c r="H51" s="30">
        <f t="shared" si="30"/>
        <v>0</v>
      </c>
      <c r="I51" s="30">
        <f t="shared" si="30"/>
        <v>0</v>
      </c>
      <c r="J51" s="30">
        <f t="shared" si="30"/>
        <v>0</v>
      </c>
      <c r="K51" s="30">
        <f t="shared" si="30"/>
        <v>0</v>
      </c>
      <c r="L51" s="30">
        <f t="shared" si="30"/>
        <v>0</v>
      </c>
      <c r="M51" s="52"/>
      <c r="N51" s="30">
        <f>SUM(N52:N53)</f>
        <v>0</v>
      </c>
      <c r="O51" s="30">
        <f>SUM(O52:O53)</f>
        <v>0</v>
      </c>
      <c r="P51" s="30">
        <f>SUM(P52:P53)</f>
        <v>0</v>
      </c>
      <c r="Q51" s="30">
        <f>SUM(Q52:Q53)</f>
        <v>0</v>
      </c>
      <c r="R51" s="30">
        <f t="shared" si="30"/>
        <v>0</v>
      </c>
      <c r="S51" s="30">
        <f t="shared" si="30"/>
        <v>0</v>
      </c>
      <c r="T51" s="30">
        <f t="shared" si="30"/>
        <v>0</v>
      </c>
      <c r="U51" s="30">
        <f t="shared" si="30"/>
        <v>0</v>
      </c>
      <c r="V51" s="30">
        <f t="shared" si="30"/>
        <v>0</v>
      </c>
      <c r="W51" s="30">
        <f t="shared" si="30"/>
        <v>0</v>
      </c>
      <c r="X51" s="30">
        <f t="shared" si="30"/>
        <v>0</v>
      </c>
      <c r="Y51" s="30">
        <f t="shared" si="30"/>
        <v>0</v>
      </c>
      <c r="Z51" s="30">
        <f t="shared" si="30"/>
        <v>0</v>
      </c>
      <c r="AA51" s="30">
        <f t="shared" si="30"/>
        <v>0</v>
      </c>
      <c r="AB51" s="30">
        <f t="shared" si="30"/>
        <v>0</v>
      </c>
      <c r="AC51" s="30">
        <f t="shared" si="30"/>
        <v>0</v>
      </c>
      <c r="AD51" s="30">
        <f t="shared" si="30"/>
        <v>0</v>
      </c>
      <c r="AE51" s="30">
        <f t="shared" si="30"/>
        <v>0</v>
      </c>
      <c r="AF51" s="30">
        <f t="shared" si="30"/>
        <v>0</v>
      </c>
      <c r="AG51" s="30">
        <f t="shared" si="30"/>
        <v>0</v>
      </c>
      <c r="AH51" s="30">
        <f t="shared" si="30"/>
        <v>0</v>
      </c>
      <c r="AI51" s="30">
        <f t="shared" si="30"/>
        <v>0</v>
      </c>
      <c r="AJ51" s="30">
        <f t="shared" si="30"/>
        <v>0</v>
      </c>
      <c r="AK51" s="30">
        <f t="shared" si="30"/>
        <v>0</v>
      </c>
      <c r="AL51" s="30">
        <f t="shared" si="30"/>
        <v>0</v>
      </c>
      <c r="AM51" s="30">
        <f t="shared" si="30"/>
        <v>0</v>
      </c>
      <c r="AN51" s="30">
        <f t="shared" si="30"/>
        <v>0</v>
      </c>
      <c r="AO51" s="30">
        <f t="shared" si="30"/>
        <v>0</v>
      </c>
      <c r="AP51" s="30">
        <f t="shared" si="30"/>
        <v>0</v>
      </c>
      <c r="AQ51" s="30">
        <f t="shared" si="30"/>
        <v>0</v>
      </c>
      <c r="AR51" s="30">
        <f t="shared" si="30"/>
        <v>0</v>
      </c>
      <c r="AS51" s="30">
        <f t="shared" si="30"/>
        <v>0</v>
      </c>
      <c r="AT51" s="30">
        <f t="shared" si="30"/>
        <v>0</v>
      </c>
      <c r="AU51" s="30">
        <f t="shared" si="30"/>
        <v>0</v>
      </c>
      <c r="AV51" s="30">
        <f t="shared" si="30"/>
        <v>0</v>
      </c>
    </row>
    <row r="52" s="1" customFormat="1" ht="10.5" spans="2:48">
      <c r="B52" s="36"/>
      <c r="C52" s="33" t="s">
        <v>79</v>
      </c>
      <c r="D52" s="34" t="s">
        <v>80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0">
        <f>+E52+G52+I52</f>
        <v>0</v>
      </c>
      <c r="L52" s="30">
        <f>+F52+H52+J52</f>
        <v>0</v>
      </c>
      <c r="M52" s="52"/>
      <c r="N52" s="35">
        <v>0</v>
      </c>
      <c r="O52" s="35">
        <v>0</v>
      </c>
      <c r="P52" s="35">
        <v>0</v>
      </c>
      <c r="Q52" s="35">
        <v>0</v>
      </c>
      <c r="R52" s="30">
        <f>+O52+Q52</f>
        <v>0</v>
      </c>
      <c r="S52" s="35">
        <v>0</v>
      </c>
      <c r="T52" s="35">
        <v>0</v>
      </c>
      <c r="U52" s="35">
        <v>0</v>
      </c>
      <c r="V52" s="35">
        <v>0</v>
      </c>
      <c r="W52" s="30">
        <f>+T52+V52</f>
        <v>0</v>
      </c>
      <c r="X52" s="35">
        <v>0</v>
      </c>
      <c r="Y52" s="35">
        <v>0</v>
      </c>
      <c r="Z52" s="35">
        <v>0</v>
      </c>
      <c r="AA52" s="35">
        <v>0</v>
      </c>
      <c r="AB52" s="30">
        <f>+Y52+AA52</f>
        <v>0</v>
      </c>
      <c r="AC52" s="35">
        <v>0</v>
      </c>
      <c r="AD52" s="35">
        <v>0</v>
      </c>
      <c r="AE52" s="35">
        <v>0</v>
      </c>
      <c r="AF52" s="35">
        <v>0</v>
      </c>
      <c r="AG52" s="30">
        <f>+AD52+AF52</f>
        <v>0</v>
      </c>
      <c r="AH52" s="35">
        <v>0</v>
      </c>
      <c r="AI52" s="35">
        <v>0</v>
      </c>
      <c r="AJ52" s="35">
        <v>0</v>
      </c>
      <c r="AK52" s="35">
        <v>0</v>
      </c>
      <c r="AL52" s="30">
        <f>+AI52+AK52</f>
        <v>0</v>
      </c>
      <c r="AM52" s="35">
        <v>0</v>
      </c>
      <c r="AN52" s="35">
        <v>0</v>
      </c>
      <c r="AO52" s="35">
        <v>0</v>
      </c>
      <c r="AP52" s="35">
        <v>0</v>
      </c>
      <c r="AQ52" s="30">
        <f>+AN52+AP52</f>
        <v>0</v>
      </c>
      <c r="AR52" s="35">
        <v>0</v>
      </c>
      <c r="AS52" s="35">
        <v>0</v>
      </c>
      <c r="AT52" s="35">
        <v>0</v>
      </c>
      <c r="AU52" s="35">
        <v>0</v>
      </c>
      <c r="AV52" s="30">
        <f>+AS52+AU52</f>
        <v>0</v>
      </c>
    </row>
    <row r="53" s="1" customFormat="1" ht="10.5" spans="2:48">
      <c r="B53" s="36"/>
      <c r="C53" s="33" t="s">
        <v>81</v>
      </c>
      <c r="D53" s="34" t="s">
        <v>38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0">
        <f>+E53+G53+I53</f>
        <v>0</v>
      </c>
      <c r="L53" s="30">
        <f>+F53+H53+J53</f>
        <v>0</v>
      </c>
      <c r="M53" s="52"/>
      <c r="N53" s="35">
        <v>0</v>
      </c>
      <c r="O53" s="35">
        <v>0</v>
      </c>
      <c r="P53" s="35">
        <v>0</v>
      </c>
      <c r="Q53" s="35">
        <v>0</v>
      </c>
      <c r="R53" s="30">
        <f>+O53+Q53</f>
        <v>0</v>
      </c>
      <c r="S53" s="35">
        <v>0</v>
      </c>
      <c r="T53" s="35">
        <v>0</v>
      </c>
      <c r="U53" s="35">
        <v>0</v>
      </c>
      <c r="V53" s="35">
        <v>0</v>
      </c>
      <c r="W53" s="30">
        <f>+T53+V53</f>
        <v>0</v>
      </c>
      <c r="X53" s="35">
        <v>0</v>
      </c>
      <c r="Y53" s="35">
        <v>0</v>
      </c>
      <c r="Z53" s="35">
        <v>0</v>
      </c>
      <c r="AA53" s="35">
        <v>0</v>
      </c>
      <c r="AB53" s="30">
        <f>+Y53+AA53</f>
        <v>0</v>
      </c>
      <c r="AC53" s="35">
        <v>0</v>
      </c>
      <c r="AD53" s="35">
        <v>0</v>
      </c>
      <c r="AE53" s="35">
        <v>0</v>
      </c>
      <c r="AF53" s="35">
        <v>0</v>
      </c>
      <c r="AG53" s="30">
        <f>+AD53+AF53</f>
        <v>0</v>
      </c>
      <c r="AH53" s="35">
        <v>0</v>
      </c>
      <c r="AI53" s="35">
        <v>0</v>
      </c>
      <c r="AJ53" s="35">
        <v>0</v>
      </c>
      <c r="AK53" s="35">
        <v>0</v>
      </c>
      <c r="AL53" s="30">
        <f>+AI53+AK53</f>
        <v>0</v>
      </c>
      <c r="AM53" s="35">
        <v>0</v>
      </c>
      <c r="AN53" s="35">
        <v>0</v>
      </c>
      <c r="AO53" s="35">
        <v>0</v>
      </c>
      <c r="AP53" s="35">
        <v>0</v>
      </c>
      <c r="AQ53" s="30">
        <f>+AN53+AP53</f>
        <v>0</v>
      </c>
      <c r="AR53" s="35">
        <v>0</v>
      </c>
      <c r="AS53" s="35">
        <v>0</v>
      </c>
      <c r="AT53" s="35">
        <v>0</v>
      </c>
      <c r="AU53" s="35">
        <v>0</v>
      </c>
      <c r="AV53" s="30">
        <f>+AS53+AU53</f>
        <v>0</v>
      </c>
    </row>
    <row r="54" ht="21" spans="2:48">
      <c r="B54" s="36"/>
      <c r="C54" s="28">
        <v>2.4</v>
      </c>
      <c r="D54" s="26" t="s">
        <v>82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0">
        <f>E54+G54+I54</f>
        <v>0</v>
      </c>
      <c r="L54" s="30">
        <f>F54+H54+J54</f>
        <v>0</v>
      </c>
      <c r="M54" s="52"/>
      <c r="N54" s="35">
        <v>0</v>
      </c>
      <c r="O54" s="35">
        <v>0</v>
      </c>
      <c r="P54" s="35">
        <v>0</v>
      </c>
      <c r="Q54" s="35">
        <v>0</v>
      </c>
      <c r="R54" s="30">
        <f>+O54+Q54</f>
        <v>0</v>
      </c>
      <c r="S54" s="35">
        <v>0</v>
      </c>
      <c r="T54" s="35">
        <v>0</v>
      </c>
      <c r="U54" s="35">
        <v>0</v>
      </c>
      <c r="V54" s="35">
        <v>0</v>
      </c>
      <c r="W54" s="30">
        <f>+T54+V54</f>
        <v>0</v>
      </c>
      <c r="X54" s="35">
        <v>0</v>
      </c>
      <c r="Y54" s="35">
        <v>0</v>
      </c>
      <c r="Z54" s="35">
        <v>0</v>
      </c>
      <c r="AA54" s="35">
        <v>0</v>
      </c>
      <c r="AB54" s="30">
        <f>+Y54+AA54</f>
        <v>0</v>
      </c>
      <c r="AC54" s="35">
        <v>0</v>
      </c>
      <c r="AD54" s="35">
        <v>0</v>
      </c>
      <c r="AE54" s="35">
        <v>0</v>
      </c>
      <c r="AF54" s="35">
        <v>0</v>
      </c>
      <c r="AG54" s="30">
        <f>+AD54+AF54</f>
        <v>0</v>
      </c>
      <c r="AH54" s="35">
        <v>0</v>
      </c>
      <c r="AI54" s="35">
        <v>0</v>
      </c>
      <c r="AJ54" s="35">
        <v>0</v>
      </c>
      <c r="AK54" s="35">
        <v>0</v>
      </c>
      <c r="AL54" s="30">
        <f>+AI54+AK54</f>
        <v>0</v>
      </c>
      <c r="AM54" s="35">
        <v>0</v>
      </c>
      <c r="AN54" s="35">
        <v>0</v>
      </c>
      <c r="AO54" s="35">
        <v>0</v>
      </c>
      <c r="AP54" s="35">
        <v>0</v>
      </c>
      <c r="AQ54" s="30">
        <f>+AN54+AP54</f>
        <v>0</v>
      </c>
      <c r="AR54" s="35">
        <v>0</v>
      </c>
      <c r="AS54" s="35">
        <v>0</v>
      </c>
      <c r="AT54" s="35">
        <v>0</v>
      </c>
      <c r="AU54" s="35">
        <v>0</v>
      </c>
      <c r="AV54" s="30">
        <f>+AS54+AU54</f>
        <v>0</v>
      </c>
    </row>
    <row r="55" ht="14.5" spans="2:48">
      <c r="B55" s="36"/>
      <c r="C55" s="28">
        <v>2.5</v>
      </c>
      <c r="D55" s="26" t="s">
        <v>83</v>
      </c>
      <c r="E55" s="30">
        <f>E10+E30</f>
        <v>0</v>
      </c>
      <c r="F55" s="30">
        <f t="shared" ref="F55:AV55" si="31">F10+F30</f>
        <v>0</v>
      </c>
      <c r="G55" s="30">
        <f t="shared" si="31"/>
        <v>0</v>
      </c>
      <c r="H55" s="30">
        <f t="shared" si="31"/>
        <v>0</v>
      </c>
      <c r="I55" s="30">
        <f t="shared" si="31"/>
        <v>0</v>
      </c>
      <c r="J55" s="30">
        <f t="shared" si="31"/>
        <v>0</v>
      </c>
      <c r="K55" s="30">
        <f t="shared" si="31"/>
        <v>0</v>
      </c>
      <c r="L55" s="30">
        <f t="shared" si="31"/>
        <v>0</v>
      </c>
      <c r="M55" s="52"/>
      <c r="N55" s="30">
        <f t="shared" si="31"/>
        <v>0</v>
      </c>
      <c r="O55" s="30">
        <f t="shared" si="31"/>
        <v>0</v>
      </c>
      <c r="P55" s="30">
        <f t="shared" si="31"/>
        <v>0</v>
      </c>
      <c r="Q55" s="30">
        <f t="shared" si="31"/>
        <v>0</v>
      </c>
      <c r="R55" s="30">
        <f t="shared" si="31"/>
        <v>0</v>
      </c>
      <c r="S55" s="30">
        <f t="shared" si="31"/>
        <v>0</v>
      </c>
      <c r="T55" s="30">
        <f t="shared" si="31"/>
        <v>0</v>
      </c>
      <c r="U55" s="30">
        <f t="shared" si="31"/>
        <v>0</v>
      </c>
      <c r="V55" s="30">
        <f t="shared" si="31"/>
        <v>0</v>
      </c>
      <c r="W55" s="30">
        <f t="shared" si="31"/>
        <v>0</v>
      </c>
      <c r="X55" s="30">
        <f t="shared" si="31"/>
        <v>0</v>
      </c>
      <c r="Y55" s="30">
        <f t="shared" si="31"/>
        <v>0</v>
      </c>
      <c r="Z55" s="30">
        <f t="shared" si="31"/>
        <v>0</v>
      </c>
      <c r="AA55" s="30">
        <f t="shared" si="31"/>
        <v>0</v>
      </c>
      <c r="AB55" s="30">
        <f t="shared" si="31"/>
        <v>0</v>
      </c>
      <c r="AC55" s="30">
        <f t="shared" si="31"/>
        <v>0</v>
      </c>
      <c r="AD55" s="30">
        <f t="shared" si="31"/>
        <v>0</v>
      </c>
      <c r="AE55" s="30">
        <f t="shared" si="31"/>
        <v>0</v>
      </c>
      <c r="AF55" s="30">
        <f t="shared" si="31"/>
        <v>0</v>
      </c>
      <c r="AG55" s="30">
        <f t="shared" si="31"/>
        <v>0</v>
      </c>
      <c r="AH55" s="30">
        <f t="shared" si="31"/>
        <v>0</v>
      </c>
      <c r="AI55" s="30">
        <f t="shared" si="31"/>
        <v>0</v>
      </c>
      <c r="AJ55" s="30">
        <f t="shared" si="31"/>
        <v>0</v>
      </c>
      <c r="AK55" s="30">
        <f t="shared" si="31"/>
        <v>0</v>
      </c>
      <c r="AL55" s="30">
        <f t="shared" si="31"/>
        <v>0</v>
      </c>
      <c r="AM55" s="30">
        <f t="shared" si="31"/>
        <v>0</v>
      </c>
      <c r="AN55" s="30">
        <f t="shared" si="31"/>
        <v>0</v>
      </c>
      <c r="AO55" s="30">
        <f t="shared" si="31"/>
        <v>0</v>
      </c>
      <c r="AP55" s="30">
        <f t="shared" si="31"/>
        <v>0</v>
      </c>
      <c r="AQ55" s="30">
        <f t="shared" si="31"/>
        <v>0</v>
      </c>
      <c r="AR55" s="30">
        <f t="shared" si="31"/>
        <v>0</v>
      </c>
      <c r="AS55" s="30">
        <f t="shared" si="31"/>
        <v>0</v>
      </c>
      <c r="AT55" s="30">
        <f t="shared" si="31"/>
        <v>0</v>
      </c>
      <c r="AU55" s="30">
        <f t="shared" si="31"/>
        <v>0</v>
      </c>
      <c r="AV55" s="30">
        <f t="shared" si="31"/>
        <v>0</v>
      </c>
    </row>
    <row r="56" ht="14.25" customHeight="1" spans="2:48">
      <c r="B56" s="27">
        <v>3</v>
      </c>
      <c r="C56" s="28"/>
      <c r="D56" s="37" t="s">
        <v>84</v>
      </c>
      <c r="E56" s="38"/>
      <c r="F56" s="38"/>
      <c r="G56" s="39"/>
      <c r="H56" s="40"/>
      <c r="I56" s="40"/>
      <c r="J56" s="40"/>
      <c r="K56" s="40"/>
      <c r="L56" s="55">
        <v>0</v>
      </c>
      <c r="M56" s="32"/>
      <c r="N56" s="56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67"/>
    </row>
    <row r="57" ht="21" spans="2:48">
      <c r="B57" s="27">
        <v>4</v>
      </c>
      <c r="C57" s="28"/>
      <c r="D57" s="26" t="s">
        <v>85</v>
      </c>
      <c r="E57" s="40"/>
      <c r="F57" s="40"/>
      <c r="G57" s="40"/>
      <c r="H57" s="40"/>
      <c r="I57" s="40"/>
      <c r="J57" s="40"/>
      <c r="K57" s="40"/>
      <c r="L57" s="58">
        <f>IF(L56=0,0,L55/L56)</f>
        <v>0</v>
      </c>
      <c r="M57" s="32"/>
      <c r="N57" s="59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8"/>
    </row>
    <row r="58" s="2" customFormat="1" ht="10.5" spans="2:48"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59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8"/>
    </row>
    <row r="59" ht="14.5" spans="2:48">
      <c r="B59" s="27">
        <v>5</v>
      </c>
      <c r="C59" s="28"/>
      <c r="D59" s="26" t="s">
        <v>86</v>
      </c>
      <c r="E59" s="40"/>
      <c r="F59" s="40"/>
      <c r="G59" s="40"/>
      <c r="H59" s="40"/>
      <c r="I59" s="40"/>
      <c r="J59" s="40"/>
      <c r="K59" s="40"/>
      <c r="L59" s="58">
        <f>L60+L61+L62+L63+L64+L65+L66-L67-L68</f>
        <v>0</v>
      </c>
      <c r="M59" s="32"/>
      <c r="N59" s="59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8"/>
    </row>
    <row r="60" ht="21" spans="2:48">
      <c r="B60" s="36"/>
      <c r="C60" s="28">
        <v>5.1</v>
      </c>
      <c r="D60" s="26" t="s">
        <v>87</v>
      </c>
      <c r="E60" s="40"/>
      <c r="F60" s="40"/>
      <c r="G60" s="40"/>
      <c r="H60" s="40"/>
      <c r="I60" s="40"/>
      <c r="J60" s="40"/>
      <c r="K60" s="40"/>
      <c r="L60" s="55">
        <v>0</v>
      </c>
      <c r="M60" s="32"/>
      <c r="N60" s="59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8"/>
    </row>
    <row r="61" ht="31.5" spans="2:48">
      <c r="B61" s="36"/>
      <c r="C61" s="28">
        <v>5.2</v>
      </c>
      <c r="D61" s="26" t="s">
        <v>88</v>
      </c>
      <c r="E61" s="40"/>
      <c r="F61" s="40"/>
      <c r="G61" s="40"/>
      <c r="H61" s="40"/>
      <c r="I61" s="40"/>
      <c r="J61" s="40"/>
      <c r="K61" s="40"/>
      <c r="L61" s="55">
        <v>0</v>
      </c>
      <c r="M61" s="32"/>
      <c r="N61" s="59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8"/>
    </row>
    <row r="62" s="1" customFormat="1" ht="21" spans="2:48">
      <c r="B62" s="36"/>
      <c r="C62" s="28">
        <v>5.3</v>
      </c>
      <c r="D62" s="26" t="s">
        <v>89</v>
      </c>
      <c r="E62" s="40"/>
      <c r="F62" s="40"/>
      <c r="G62" s="40"/>
      <c r="H62" s="40"/>
      <c r="I62" s="40"/>
      <c r="J62" s="40"/>
      <c r="K62" s="40"/>
      <c r="L62" s="55">
        <v>0</v>
      </c>
      <c r="M62" s="32"/>
      <c r="N62" s="59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8"/>
    </row>
    <row r="63" s="1" customFormat="1" ht="21" spans="2:48">
      <c r="B63" s="36" t="s">
        <v>90</v>
      </c>
      <c r="C63" s="28">
        <v>5.4</v>
      </c>
      <c r="D63" s="26" t="s">
        <v>91</v>
      </c>
      <c r="E63" s="40"/>
      <c r="F63" s="40"/>
      <c r="G63" s="40"/>
      <c r="H63" s="40"/>
      <c r="I63" s="40"/>
      <c r="J63" s="40"/>
      <c r="K63" s="40"/>
      <c r="L63" s="55">
        <v>0</v>
      </c>
      <c r="M63" s="32"/>
      <c r="N63" s="59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8"/>
    </row>
    <row r="64" ht="31.5" spans="2:48">
      <c r="B64" s="36" t="s">
        <v>90</v>
      </c>
      <c r="C64" s="28">
        <v>5.5</v>
      </c>
      <c r="D64" s="26" t="s">
        <v>92</v>
      </c>
      <c r="E64" s="40"/>
      <c r="F64" s="40"/>
      <c r="G64" s="40"/>
      <c r="H64" s="40"/>
      <c r="I64" s="40"/>
      <c r="J64" s="40"/>
      <c r="K64" s="40"/>
      <c r="L64" s="55">
        <v>0</v>
      </c>
      <c r="M64" s="32"/>
      <c r="N64" s="59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8"/>
    </row>
    <row r="65" ht="21" spans="2:48">
      <c r="B65" s="36"/>
      <c r="C65" s="28">
        <v>5.6</v>
      </c>
      <c r="D65" s="26" t="s">
        <v>93</v>
      </c>
      <c r="E65" s="40"/>
      <c r="F65" s="40"/>
      <c r="G65" s="40"/>
      <c r="H65" s="40"/>
      <c r="I65" s="40"/>
      <c r="J65" s="40"/>
      <c r="K65" s="40"/>
      <c r="L65" s="55">
        <v>0</v>
      </c>
      <c r="M65" s="36"/>
      <c r="N65" s="59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8"/>
    </row>
    <row r="66" ht="31.5" spans="2:48">
      <c r="B66" s="36"/>
      <c r="C66" s="28">
        <v>5.7</v>
      </c>
      <c r="D66" s="26" t="s">
        <v>94</v>
      </c>
      <c r="E66" s="40"/>
      <c r="F66" s="40"/>
      <c r="G66" s="40"/>
      <c r="H66" s="40"/>
      <c r="I66" s="40"/>
      <c r="J66" s="40"/>
      <c r="K66" s="40"/>
      <c r="L66" s="55">
        <v>0</v>
      </c>
      <c r="M66" s="84"/>
      <c r="N66" s="59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8"/>
    </row>
    <row r="67" ht="42" spans="2:48">
      <c r="B67" s="36"/>
      <c r="C67" s="28">
        <v>5.8</v>
      </c>
      <c r="D67" s="69" t="s">
        <v>95</v>
      </c>
      <c r="E67" s="40"/>
      <c r="F67" s="40"/>
      <c r="G67" s="40"/>
      <c r="H67" s="40"/>
      <c r="I67" s="40"/>
      <c r="J67" s="40"/>
      <c r="K67" s="40"/>
      <c r="L67" s="55">
        <v>0</v>
      </c>
      <c r="M67" s="36"/>
      <c r="N67" s="59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8"/>
    </row>
    <row r="68" ht="21" spans="2:48">
      <c r="B68" s="36"/>
      <c r="C68" s="28">
        <v>5.9</v>
      </c>
      <c r="D68" s="26" t="s">
        <v>96</v>
      </c>
      <c r="E68" s="40"/>
      <c r="F68" s="40"/>
      <c r="G68" s="40"/>
      <c r="H68" s="40"/>
      <c r="I68" s="40"/>
      <c r="J68" s="40"/>
      <c r="K68" s="40"/>
      <c r="L68" s="55">
        <v>0</v>
      </c>
      <c r="M68" s="36"/>
      <c r="N68" s="59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8"/>
    </row>
    <row r="69" ht="14.5" spans="2:48">
      <c r="B69" s="27">
        <v>6</v>
      </c>
      <c r="C69" s="28"/>
      <c r="D69" s="26" t="s">
        <v>97</v>
      </c>
      <c r="E69" s="40"/>
      <c r="F69" s="40"/>
      <c r="G69" s="40"/>
      <c r="H69" s="40"/>
      <c r="I69" s="40"/>
      <c r="J69" s="40"/>
      <c r="K69" s="40"/>
      <c r="L69" s="58">
        <f>+L59+L55</f>
        <v>0</v>
      </c>
      <c r="M69" s="36"/>
      <c r="N69" s="85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95"/>
    </row>
    <row r="70" ht="16.5" customHeight="1" spans="2:48">
      <c r="B70" s="40" t="s">
        <v>98</v>
      </c>
      <c r="C70" s="70">
        <v>1</v>
      </c>
      <c r="D70" s="71" t="s">
        <v>99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92"/>
      <c r="S70" s="93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6"/>
    </row>
    <row r="71" ht="18" customHeight="1" spans="2:48">
      <c r="B71" s="40"/>
      <c r="C71" s="70">
        <v>2</v>
      </c>
      <c r="D71" s="73" t="s">
        <v>100</v>
      </c>
      <c r="E71" s="74"/>
      <c r="F71" s="74"/>
      <c r="G71" s="74"/>
      <c r="H71" s="74"/>
      <c r="I71" s="87"/>
      <c r="J71" s="88"/>
      <c r="K71" s="88"/>
      <c r="L71" s="88"/>
      <c r="M71" s="89"/>
      <c r="N71" s="90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7"/>
    </row>
    <row r="72" ht="16.5" customHeight="1" spans="2:48">
      <c r="B72" s="75"/>
      <c r="C72" s="76"/>
      <c r="D72" s="77" t="s">
        <v>101</v>
      </c>
      <c r="E72" s="78"/>
      <c r="F72" s="79"/>
      <c r="G72" s="80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98"/>
    </row>
    <row r="73" customHeight="1"/>
    <row r="74" hidden="1" customHeight="1" spans="4:5">
      <c r="D74"/>
      <c r="E74"/>
    </row>
    <row r="75" hidden="1" customHeight="1" spans="3:5">
      <c r="C75" s="82"/>
      <c r="D75"/>
      <c r="E75"/>
    </row>
    <row r="77" hidden="1" customHeight="1" spans="5:5">
      <c r="E77" s="83"/>
    </row>
  </sheetData>
  <sheetProtection password="DE1B" sheet="1"/>
  <mergeCells count="49">
    <mergeCell ref="B2:AV2"/>
    <mergeCell ref="C3:D3"/>
    <mergeCell ref="C4:D4"/>
    <mergeCell ref="C5:D5"/>
    <mergeCell ref="N6:R6"/>
    <mergeCell ref="S6:W6"/>
    <mergeCell ref="X6:AB6"/>
    <mergeCell ref="AC6:AG6"/>
    <mergeCell ref="AH6:AL6"/>
    <mergeCell ref="AM6:AQ6"/>
    <mergeCell ref="AR6:AV6"/>
    <mergeCell ref="G7:J7"/>
    <mergeCell ref="G8:H8"/>
    <mergeCell ref="I8:J8"/>
    <mergeCell ref="D56:G56"/>
    <mergeCell ref="D70:R70"/>
    <mergeCell ref="S70:AV70"/>
    <mergeCell ref="D71:I71"/>
    <mergeCell ref="N71:AV71"/>
    <mergeCell ref="B72:C72"/>
    <mergeCell ref="D72:F72"/>
    <mergeCell ref="G72:AV72"/>
    <mergeCell ref="B7:B9"/>
    <mergeCell ref="R7:R8"/>
    <mergeCell ref="W7:W8"/>
    <mergeCell ref="AB7:AB8"/>
    <mergeCell ref="AG7:AG8"/>
    <mergeCell ref="AL7:AL8"/>
    <mergeCell ref="AQ7:AQ8"/>
    <mergeCell ref="AV7:AV8"/>
    <mergeCell ref="N7:O8"/>
    <mergeCell ref="P7:Q8"/>
    <mergeCell ref="X7:Y8"/>
    <mergeCell ref="Z7:AA8"/>
    <mergeCell ref="AH7:AI8"/>
    <mergeCell ref="AJ7:AK8"/>
    <mergeCell ref="AR7:AS8"/>
    <mergeCell ref="AT7:AU8"/>
    <mergeCell ref="C7:D9"/>
    <mergeCell ref="E7:F8"/>
    <mergeCell ref="K7:L8"/>
    <mergeCell ref="S7:T8"/>
    <mergeCell ref="U7:V8"/>
    <mergeCell ref="AC7:AD8"/>
    <mergeCell ref="AE7:AF8"/>
    <mergeCell ref="AM7:AN8"/>
    <mergeCell ref="AO7:AP8"/>
    <mergeCell ref="E3:AV5"/>
    <mergeCell ref="N56:AV69"/>
  </mergeCells>
  <dataValidations count="1">
    <dataValidation type="decimal" operator="between" allowBlank="1" showInputMessage="1" showErrorMessage="1" sqref="L56 L60:L68 E13:J14 X22:AA24 AR22:AU24 X52:AA54 AR52:AU54 S22:V24 AM22:AP24 S52:V54 AM52:AP54 N22:Q24 AH22:AK24 N52:Q54 AH52:AK54 AC22:AF24 AC52:AF54 E22:J24 E52:J54 X42:AA50 AR42:AU50 S42:V50 AM42:AP50 N42:Q50 AH42:AK50 AC42:AF50 E42:J50 X32:AA40 AR32:AU40 S32:V40 AM32:AP40 N32:Q40 AH32:AK40 AC32:AF40 E32:J40 X26:AA29 AR26:AU29 S26:V29 AM26:AP29 N26:Q29 AH26:AK29 AC26:AF29 E26:J29 X16:AA19 AR16:AU19 S16:V19 AM16:AP19 N16:Q19 AH16:AK19 AC16:AF19 E16:J19 X13:AA14 AR13:AU14 S13:V14 AM13:AP14 N13:Q14 AH13:AK14 AC13:AF14">
      <formula1>-1000000000000</formula1>
      <formula2>1000000000000</formula2>
    </dataValidation>
  </dataValidations>
  <pageMargins left="0" right="0" top="0" bottom="0" header="0.05" footer="0.05"/>
  <pageSetup paperSize="9" scale="29" fitToHeight="0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41-RE EXPOSURE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2013-10-07T08:22:47Z</dcterms:created>
  <cp:lastPrinted>2015-01-13T09:55:16Z</cp:lastPrinted>
  <dcterms:modified xsi:type="dcterms:W3CDTF">2024-02-22T05:58:20Z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3E236A7F63B54B82B9007B6720648A23_13</vt:lpwstr>
  </property>
  <property fmtid="{D5CDD505-2E9C-101B-9397-08002B2CF9AE}" pid="3" name="KSOProductBuildVer">
    <vt:lpwstr>1033-12.2.0.13431</vt:lpwstr>
  </property>
</Properties>
</file>