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50_1" sheetId="1" r:id="rId1"/>
  </sheets>
  <definedNames>
    <definedName name="_xlnm.Print_Area" localSheetId="0">BRF50_1!$B$2:$F$54</definedName>
  </definedNames>
  <calcPr calcId="144525"/>
</workbook>
</file>

<file path=xl/sharedStrings.xml><?xml version="1.0" encoding="utf-8"?>
<sst xmlns="http://schemas.openxmlformats.org/spreadsheetml/2006/main" count="64" uniqueCount="45">
  <si>
    <t xml:space="preserve">                                       BANKING AND MONETARY STATISTICS - Funding Costs (in AED'000) BRF 50</t>
  </si>
  <si>
    <t>ID:</t>
  </si>
  <si>
    <t>3-50-1-0</t>
  </si>
  <si>
    <t xml:space="preserve">Notes: 
- Average amount outstanding to be average amount outstanding for the reference month only
- Interest expense shall be total interest expense for the reference month
- Interest expenses are to be calculated at the product level
- All instances of intragroup funding are to be excluded
- All items shall include both resident and non-resident
</t>
  </si>
  <si>
    <t>BANK</t>
  </si>
  <si>
    <t>Bank of Baroda</t>
  </si>
  <si>
    <t>As On</t>
  </si>
  <si>
    <t>Total in All Currencies (in AED '000)</t>
  </si>
  <si>
    <t>BRF 2 Reference</t>
  </si>
  <si>
    <t>Monthly Average Amount Outstanding</t>
  </si>
  <si>
    <t>Total Monthly Interest Expense</t>
  </si>
  <si>
    <t>Demand/Saving (CASA) Deposits</t>
  </si>
  <si>
    <t>GOVERNMENT SECTOR</t>
  </si>
  <si>
    <t>Demand</t>
  </si>
  <si>
    <t>Savings</t>
  </si>
  <si>
    <t>GREs (Govt ownership of more than 50%)</t>
  </si>
  <si>
    <t xml:space="preserve">PRIVATE SECTOR </t>
  </si>
  <si>
    <t>Corporate</t>
  </si>
  <si>
    <t>16.1.1</t>
  </si>
  <si>
    <t>16.1.2</t>
  </si>
  <si>
    <t xml:space="preserve">Individuals </t>
  </si>
  <si>
    <t>16.2.1</t>
  </si>
  <si>
    <t>16.2.2</t>
  </si>
  <si>
    <t>NON BANKING FINANCIAL INSTITUTIONS</t>
  </si>
  <si>
    <t>Time Including CDs/Structured Products</t>
  </si>
  <si>
    <t>Time including CDs/ structured products</t>
  </si>
  <si>
    <t>Commercial prepayments (Margin deposits)</t>
  </si>
  <si>
    <t>16.1.3</t>
  </si>
  <si>
    <t>16.1.4</t>
  </si>
  <si>
    <t>16.2.3</t>
  </si>
  <si>
    <t>16.2.4</t>
  </si>
  <si>
    <t>Time</t>
  </si>
  <si>
    <t>Interbank Funding</t>
  </si>
  <si>
    <t>BALANCES DUE TO OTHER  BANKS (Gross)</t>
  </si>
  <si>
    <t>Money at call and short notice, borrowing on demand and remaining balances</t>
  </si>
  <si>
    <t>Interbank borrowings</t>
  </si>
  <si>
    <t xml:space="preserve">Other term borrowings </t>
  </si>
  <si>
    <t>Borrowings under repurchase agreement</t>
  </si>
  <si>
    <t>Capital Market Funding</t>
  </si>
  <si>
    <t>TERM BORROWINGS</t>
  </si>
  <si>
    <t>Capital Market Funding (BRF 36 section A)</t>
  </si>
  <si>
    <t>Other term borrowings (BRF 36 section B)</t>
  </si>
  <si>
    <t>OTHER LIABILITIES</t>
  </si>
  <si>
    <t>Subordinated borrowings/ deposits</t>
  </si>
  <si>
    <t>FORM NO: BSD/BRF50-FUNDEDCOSTS/NOV2021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</si>
</sst>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##"/>
    <numFmt numFmtId="177" formatCode="#,##0.0"/>
  </numFmts>
  <fonts count="28">
    <font>
      <sz val="10"/>
      <name val="Arial"/>
      <charset val="0"/>
    </font>
    <font>
      <b/>
      <sz val="9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indexed="9"/>
      <name val="Arial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sz val="8"/>
      <color rgb="FFFF0000"/>
      <name val="Arial"/>
      <family val="2"/>
      <charset val="0"/>
    </font>
    <font>
      <u/>
      <sz val="10"/>
      <color theme="10"/>
      <name val="Arial"/>
      <family val="2"/>
      <charset val="0"/>
    </font>
    <font>
      <u/>
      <sz val="10"/>
      <color theme="11"/>
      <name val="Arial"/>
      <family val="2"/>
      <charset val="0"/>
    </font>
    <font>
      <sz val="10"/>
      <name val="Arial"/>
      <family val="2"/>
      <charset val="0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7" borderId="26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6" fillId="0" borderId="29" applyNumberFormat="0" applyFill="0" applyAlignment="0" applyProtection="0"/>
    <xf numFmtId="0" fontId="16" fillId="0" borderId="0" applyNumberFormat="0" applyFill="0" applyBorder="0" applyAlignment="0" applyProtection="0"/>
    <xf numFmtId="0" fontId="17" fillId="8" borderId="30" applyNumberFormat="0" applyAlignment="0" applyProtection="0"/>
    <xf numFmtId="0" fontId="18" fillId="9" borderId="31" applyNumberFormat="0" applyAlignment="0" applyProtection="0"/>
    <xf numFmtId="0" fontId="19" fillId="9" borderId="30" applyNumberFormat="0" applyAlignment="0" applyProtection="0"/>
    <xf numFmtId="0" fontId="20" fillId="10" borderId="32" applyNumberFormat="0" applyAlignment="0" applyProtection="0"/>
    <xf numFmtId="0" fontId="21" fillId="0" borderId="33" applyNumberFormat="0" applyFill="0" applyAlignment="0" applyProtection="0"/>
    <xf numFmtId="0" fontId="22" fillId="0" borderId="34" applyNumberFormat="0" applyFill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6" fillId="37" borderId="0" applyNumberFormat="0" applyBorder="0" applyAlignment="0" applyProtection="0"/>
  </cellStyleXfs>
  <cellXfs count="73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2" fillId="3" borderId="5" xfId="0" applyFont="1" applyFill="1" applyBorder="1" applyAlignment="1" applyProtection="1">
      <alignment horizontal="left" wrapText="1"/>
    </xf>
    <xf numFmtId="0" fontId="2" fillId="4" borderId="5" xfId="0" applyFont="1" applyFill="1" applyBorder="1" applyAlignment="1" applyProtection="1">
      <alignment horizontal="left" wrapText="1"/>
    </xf>
    <xf numFmtId="0" fontId="2" fillId="4" borderId="1" xfId="0" applyFont="1" applyFill="1" applyBorder="1" applyAlignment="1" applyProtection="1">
      <alignment horizontal="left" wrapText="1"/>
    </xf>
    <xf numFmtId="0" fontId="2" fillId="4" borderId="6" xfId="0" applyFont="1" applyFill="1" applyBorder="1" applyAlignment="1" applyProtection="1">
      <alignment horizontal="left" wrapText="1"/>
    </xf>
    <xf numFmtId="0" fontId="2" fillId="4" borderId="7" xfId="0" applyFont="1" applyFill="1" applyBorder="1" applyAlignment="1" applyProtection="1">
      <alignment horizontal="left" wrapText="1"/>
    </xf>
    <xf numFmtId="0" fontId="2" fillId="4" borderId="8" xfId="0" applyFont="1" applyFill="1" applyBorder="1" applyAlignment="1" applyProtection="1">
      <alignment horizontal="left" wrapText="1"/>
    </xf>
    <xf numFmtId="0" fontId="2" fillId="4" borderId="9" xfId="0" applyFont="1" applyFill="1" applyBorder="1" applyAlignment="1" applyProtection="1">
      <alignment horizontal="left" wrapText="1"/>
    </xf>
    <xf numFmtId="0" fontId="2" fillId="2" borderId="10" xfId="0" applyFont="1" applyFill="1" applyBorder="1" applyAlignment="1" applyProtection="1">
      <alignment horizontal="left" wrapText="1"/>
    </xf>
    <xf numFmtId="0" fontId="2" fillId="4" borderId="10" xfId="0" applyFont="1" applyFill="1" applyBorder="1" applyAlignment="1" applyProtection="1">
      <alignment horizontal="left" wrapText="1"/>
    </xf>
    <xf numFmtId="0" fontId="2" fillId="4" borderId="11" xfId="0" applyFont="1" applyFill="1" applyBorder="1" applyAlignment="1" applyProtection="1">
      <alignment horizontal="left" wrapText="1"/>
    </xf>
    <xf numFmtId="0" fontId="2" fillId="4" borderId="12" xfId="0" applyFont="1" applyFill="1" applyBorder="1" applyAlignment="1" applyProtection="1">
      <alignment horizontal="left" wrapText="1"/>
    </xf>
    <xf numFmtId="0" fontId="2" fillId="4" borderId="13" xfId="0" applyFont="1" applyFill="1" applyBorder="1" applyAlignment="1" applyProtection="1">
      <alignment horizontal="left" wrapText="1"/>
    </xf>
    <xf numFmtId="0" fontId="2" fillId="4" borderId="6" xfId="0" applyFont="1" applyFill="1" applyBorder="1" applyAlignment="1" applyProtection="1">
      <alignment wrapText="1"/>
    </xf>
    <xf numFmtId="0" fontId="2" fillId="4" borderId="14" xfId="0" applyFont="1" applyFill="1" applyBorder="1" applyAlignment="1" applyProtection="1">
      <alignment wrapText="1"/>
    </xf>
    <xf numFmtId="0" fontId="3" fillId="4" borderId="14" xfId="0" applyFont="1" applyFill="1" applyBorder="1" applyAlignment="1" applyProtection="1"/>
    <xf numFmtId="0" fontId="2" fillId="4" borderId="15" xfId="0" applyFont="1" applyFill="1" applyBorder="1" applyAlignment="1" applyProtection="1">
      <alignment wrapText="1"/>
    </xf>
    <xf numFmtId="0" fontId="2" fillId="4" borderId="13" xfId="0" applyFont="1" applyFill="1" applyBorder="1" applyAlignment="1" applyProtection="1">
      <alignment wrapText="1"/>
    </xf>
    <xf numFmtId="0" fontId="2" fillId="3" borderId="16" xfId="0" applyFont="1" applyFill="1" applyBorder="1" applyAlignment="1" applyProtection="1">
      <alignment wrapText="1"/>
    </xf>
    <xf numFmtId="0" fontId="2" fillId="3" borderId="17" xfId="0" applyFont="1" applyFill="1" applyBorder="1" applyAlignment="1" applyProtection="1">
      <alignment wrapText="1"/>
    </xf>
    <xf numFmtId="0" fontId="2" fillId="3" borderId="18" xfId="0" applyFont="1" applyFill="1" applyBorder="1" applyAlignment="1" applyProtection="1">
      <alignment wrapText="1"/>
    </xf>
    <xf numFmtId="0" fontId="2" fillId="3" borderId="19" xfId="0" applyFont="1" applyFill="1" applyBorder="1" applyAlignment="1" applyProtection="1">
      <alignment horizontal="center" wrapText="1"/>
    </xf>
    <xf numFmtId="0" fontId="2" fillId="3" borderId="20" xfId="0" applyFont="1" applyFill="1" applyBorder="1" applyAlignment="1" applyProtection="1">
      <alignment horizontal="center" wrapText="1"/>
    </xf>
    <xf numFmtId="0" fontId="2" fillId="3" borderId="21" xfId="0" applyFont="1" applyFill="1" applyBorder="1" applyAlignment="1" applyProtection="1">
      <alignment horizontal="left" wrapText="1"/>
    </xf>
    <xf numFmtId="0" fontId="2" fillId="3" borderId="22" xfId="0" applyFont="1" applyFill="1" applyBorder="1" applyAlignment="1" applyProtection="1">
      <alignment horizontal="left" wrapText="1"/>
    </xf>
    <xf numFmtId="0" fontId="2" fillId="3" borderId="20" xfId="0" applyFont="1" applyFill="1" applyBorder="1" applyAlignment="1" applyProtection="1">
      <alignment horizontal="left" wrapText="1"/>
    </xf>
    <xf numFmtId="0" fontId="4" fillId="3" borderId="1" xfId="0" applyFont="1" applyFill="1" applyBorder="1" applyAlignment="1" applyProtection="1">
      <alignment horizontal="left" wrapText="1"/>
    </xf>
    <xf numFmtId="0" fontId="4" fillId="3" borderId="2" xfId="0" applyFont="1" applyFill="1" applyBorder="1" applyAlignment="1" applyProtection="1">
      <alignment horizontal="left" wrapText="1"/>
    </xf>
    <xf numFmtId="0" fontId="4" fillId="3" borderId="23" xfId="0" applyFont="1" applyFill="1" applyBorder="1" applyAlignment="1" applyProtection="1">
      <alignment horizontal="left" wrapText="1"/>
    </xf>
    <xf numFmtId="3" fontId="2" fillId="3" borderId="5" xfId="0" applyNumberFormat="1" applyFont="1" applyFill="1" applyBorder="1" applyAlignment="1" applyProtection="1">
      <alignment wrapText="1"/>
    </xf>
    <xf numFmtId="3" fontId="2" fillId="3" borderId="5" xfId="0" applyNumberFormat="1" applyFont="1" applyFill="1" applyBorder="1" applyAlignment="1" applyProtection="1">
      <alignment horizontal="right" wrapText="1"/>
    </xf>
    <xf numFmtId="176" fontId="2" fillId="4" borderId="5" xfId="0" applyNumberFormat="1" applyFont="1" applyFill="1" applyBorder="1" applyAlignment="1" applyProtection="1">
      <alignment horizontal="right" wrapText="1"/>
    </xf>
    <xf numFmtId="3" fontId="2" fillId="4" borderId="5" xfId="0" applyNumberFormat="1" applyFont="1" applyFill="1" applyBorder="1" applyAlignment="1" applyProtection="1">
      <alignment wrapText="1"/>
      <protection locked="0"/>
    </xf>
    <xf numFmtId="0" fontId="2" fillId="3" borderId="5" xfId="0" applyFont="1" applyFill="1" applyBorder="1" applyAlignment="1" applyProtection="1">
      <alignment horizontal="right" wrapText="1"/>
    </xf>
    <xf numFmtId="0" fontId="2" fillId="5" borderId="5" xfId="0" applyFont="1" applyFill="1" applyBorder="1" applyAlignment="1" applyProtection="1">
      <alignment horizontal="left" wrapText="1"/>
    </xf>
    <xf numFmtId="3" fontId="2" fillId="4" borderId="5" xfId="0" applyNumberFormat="1" applyFont="1" applyFill="1" applyBorder="1" applyAlignment="1" applyProtection="1">
      <alignment horizontal="right" wrapText="1"/>
    </xf>
    <xf numFmtId="0" fontId="2" fillId="2" borderId="5" xfId="0" applyFont="1" applyFill="1" applyBorder="1" applyAlignment="1" applyProtection="1">
      <alignment horizontal="left" wrapText="1"/>
    </xf>
    <xf numFmtId="177" fontId="2" fillId="2" borderId="5" xfId="0" applyNumberFormat="1" applyFont="1" applyFill="1" applyBorder="1" applyAlignment="1" applyProtection="1">
      <alignment horizontal="right" wrapText="1"/>
    </xf>
    <xf numFmtId="3" fontId="2" fillId="5" borderId="5" xfId="0" applyNumberFormat="1" applyFont="1" applyFill="1" applyBorder="1" applyAlignment="1" applyProtection="1">
      <alignment horizontal="left" wrapText="1"/>
    </xf>
    <xf numFmtId="3" fontId="2" fillId="2" borderId="5" xfId="0" applyNumberFormat="1" applyFont="1" applyFill="1" applyBorder="1" applyAlignment="1" applyProtection="1">
      <alignment wrapText="1"/>
    </xf>
    <xf numFmtId="176" fontId="2" fillId="4" borderId="10" xfId="0" applyNumberFormat="1" applyFont="1" applyFill="1" applyBorder="1" applyAlignment="1" applyProtection="1">
      <alignment horizontal="right" wrapText="1"/>
    </xf>
    <xf numFmtId="3" fontId="2" fillId="4" borderId="10" xfId="0" applyNumberFormat="1" applyFont="1" applyFill="1" applyBorder="1" applyAlignment="1" applyProtection="1">
      <alignment wrapText="1"/>
      <protection locked="0"/>
    </xf>
    <xf numFmtId="0" fontId="5" fillId="2" borderId="24" xfId="0" applyFont="1" applyFill="1" applyBorder="1" applyProtection="1"/>
    <xf numFmtId="0" fontId="0" fillId="2" borderId="24" xfId="0" applyFill="1" applyBorder="1" applyProtection="1"/>
    <xf numFmtId="3" fontId="6" fillId="2" borderId="24" xfId="0" applyNumberFormat="1" applyFont="1" applyFill="1" applyBorder="1" applyAlignment="1" applyProtection="1"/>
    <xf numFmtId="3" fontId="2" fillId="3" borderId="20" xfId="0" applyNumberFormat="1" applyFont="1" applyFill="1" applyBorder="1" applyAlignment="1" applyProtection="1">
      <alignment horizontal="right" wrapText="1"/>
    </xf>
    <xf numFmtId="3" fontId="2" fillId="3" borderId="20" xfId="0" applyNumberFormat="1" applyFont="1" applyFill="1" applyBorder="1" applyAlignment="1" applyProtection="1">
      <alignment wrapText="1"/>
    </xf>
    <xf numFmtId="3" fontId="7" fillId="5" borderId="5" xfId="0" applyNumberFormat="1" applyFont="1" applyFill="1" applyBorder="1" applyAlignment="1" applyProtection="1">
      <alignment wrapText="1"/>
    </xf>
    <xf numFmtId="177" fontId="2" fillId="2" borderId="5" xfId="0" applyNumberFormat="1" applyFont="1" applyFill="1" applyBorder="1" applyAlignment="1" applyProtection="1">
      <alignment horizontal="left" wrapText="1"/>
    </xf>
    <xf numFmtId="0" fontId="4" fillId="2" borderId="16" xfId="0" applyFont="1" applyFill="1" applyBorder="1" applyAlignment="1" applyProtection="1">
      <alignment horizontal="left" wrapText="1"/>
    </xf>
    <xf numFmtId="0" fontId="4" fillId="2" borderId="17" xfId="0" applyFont="1" applyFill="1" applyBorder="1" applyAlignment="1" applyProtection="1">
      <alignment horizontal="left" wrapText="1"/>
    </xf>
    <xf numFmtId="0" fontId="4" fillId="2" borderId="18" xfId="0" applyFont="1" applyFill="1" applyBorder="1" applyAlignment="1" applyProtection="1">
      <alignment horizontal="left" wrapText="1"/>
    </xf>
    <xf numFmtId="3" fontId="2" fillId="2" borderId="24" xfId="0" applyNumberFormat="1" applyFont="1" applyFill="1" applyBorder="1" applyAlignment="1" applyProtection="1">
      <alignment wrapText="1"/>
    </xf>
    <xf numFmtId="0" fontId="2" fillId="2" borderId="24" xfId="0" applyFont="1" applyFill="1" applyBorder="1" applyAlignment="1" applyProtection="1">
      <alignment horizontal="right" wrapText="1"/>
    </xf>
    <xf numFmtId="0" fontId="2" fillId="2" borderId="24" xfId="0" applyFont="1" applyFill="1" applyBorder="1" applyAlignment="1" applyProtection="1">
      <alignment horizontal="left" wrapText="1"/>
    </xf>
    <xf numFmtId="3" fontId="0" fillId="0" borderId="0" xfId="0" applyNumberFormat="1" applyProtection="1"/>
    <xf numFmtId="0" fontId="2" fillId="0" borderId="24" xfId="0" applyFont="1" applyFill="1" applyBorder="1" applyAlignment="1" applyProtection="1">
      <alignment horizontal="left" wrapText="1"/>
    </xf>
    <xf numFmtId="3" fontId="2" fillId="3" borderId="24" xfId="0" applyNumberFormat="1" applyFont="1" applyFill="1" applyBorder="1" applyAlignment="1" applyProtection="1">
      <alignment horizontal="right" wrapText="1"/>
    </xf>
    <xf numFmtId="0" fontId="2" fillId="3" borderId="24" xfId="0" applyFont="1" applyFill="1" applyBorder="1" applyAlignment="1" applyProtection="1">
      <alignment horizontal="left" wrapText="1"/>
    </xf>
    <xf numFmtId="3" fontId="2" fillId="3" borderId="24" xfId="0" applyNumberFormat="1" applyFont="1" applyFill="1" applyBorder="1" applyAlignment="1" applyProtection="1">
      <alignment wrapText="1"/>
    </xf>
    <xf numFmtId="0" fontId="2" fillId="4" borderId="24" xfId="0" applyFont="1" applyFill="1" applyBorder="1" applyAlignment="1" applyProtection="1">
      <alignment horizontal="left" wrapText="1"/>
    </xf>
    <xf numFmtId="176" fontId="2" fillId="4" borderId="24" xfId="0" applyNumberFormat="1" applyFont="1" applyFill="1" applyBorder="1" applyAlignment="1" applyProtection="1">
      <alignment horizontal="right" wrapText="1"/>
    </xf>
    <xf numFmtId="0" fontId="2" fillId="4" borderId="25" xfId="0" applyFont="1" applyFill="1" applyBorder="1" applyAlignment="1" applyProtection="1">
      <alignment horizontal="left" wrapText="1"/>
    </xf>
    <xf numFmtId="176" fontId="2" fillId="4" borderId="25" xfId="0" applyNumberFormat="1" applyFont="1" applyFill="1" applyBorder="1" applyAlignment="1" applyProtection="1">
      <alignment horizontal="right" wrapText="1"/>
    </xf>
    <xf numFmtId="3" fontId="2" fillId="6" borderId="25" xfId="0" applyNumberFormat="1" applyFont="1" applyFill="1" applyBorder="1" applyAlignment="1" applyProtection="1">
      <alignment wrapText="1"/>
      <protection locked="0"/>
    </xf>
    <xf numFmtId="3" fontId="2" fillId="4" borderId="25" xfId="0" applyNumberFormat="1" applyFont="1" applyFill="1" applyBorder="1" applyAlignment="1" applyProtection="1">
      <alignment wrapText="1"/>
      <protection locked="0"/>
    </xf>
    <xf numFmtId="0" fontId="0" fillId="2" borderId="17" xfId="0" applyFill="1" applyBorder="1" applyProtection="1"/>
    <xf numFmtId="0" fontId="0" fillId="2" borderId="18" xfId="0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0000"/>
      <color rgb="00FFFF00"/>
      <color rgb="00BFBFBF"/>
      <color rgb="00C0C0C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54"/>
  <sheetViews>
    <sheetView showGridLines="0" tabSelected="1" zoomScaleSheetLayoutView="60" workbookViewId="0">
      <selection activeCell="D36" sqref="D36"/>
    </sheetView>
  </sheetViews>
  <sheetFormatPr defaultColWidth="0" defaultRowHeight="9.95" customHeight="1" zeroHeight="1" outlineLevelCol="6"/>
  <cols>
    <col min="1" max="1" width="1.42727272727273" style="1" customWidth="1"/>
    <col min="2" max="2" width="9" style="1" customWidth="1"/>
    <col min="3" max="3" width="7.13636363636364" style="1" customWidth="1"/>
    <col min="4" max="4" width="41.4272727272727" style="1" customWidth="1"/>
    <col min="5" max="6" width="26.8545454545455" style="1" customWidth="1"/>
    <col min="7" max="7" width="5" style="1" customWidth="1"/>
    <col min="8" max="12" width="9.70909090909091" style="1" hidden="1" customWidth="1"/>
    <col min="13" max="13" width="10.7090909090909" style="1" hidden="1" customWidth="1"/>
    <col min="14" max="14" width="9.13636363636364" style="1" hidden="1" customWidth="1"/>
    <col min="15" max="16384" width="0" style="1" hidden="1"/>
  </cols>
  <sheetData>
    <row r="1"/>
    <row r="2" ht="11.5" spans="2:6">
      <c r="B2" s="2" t="s">
        <v>0</v>
      </c>
      <c r="C2" s="3"/>
      <c r="D2" s="3"/>
      <c r="E2" s="4"/>
      <c r="F2" s="5"/>
    </row>
    <row r="3" ht="12.75" customHeight="1" spans="2:6">
      <c r="B3" s="6" t="s">
        <v>1</v>
      </c>
      <c r="C3" s="7" t="s">
        <v>2</v>
      </c>
      <c r="D3" s="8"/>
      <c r="E3" s="9" t="s">
        <v>3</v>
      </c>
      <c r="F3" s="10"/>
    </row>
    <row r="4" ht="10" spans="2:6">
      <c r="B4" s="6" t="s">
        <v>4</v>
      </c>
      <c r="C4" s="7" t="s">
        <v>5</v>
      </c>
      <c r="D4" s="8"/>
      <c r="E4" s="11"/>
      <c r="F4" s="12"/>
    </row>
    <row r="5" ht="66.75" customHeight="1" spans="2:6">
      <c r="B5" s="13" t="s">
        <v>6</v>
      </c>
      <c r="C5" s="14"/>
      <c r="D5" s="15"/>
      <c r="E5" s="16"/>
      <c r="F5" s="17"/>
    </row>
    <row r="6" ht="10" spans="2:6">
      <c r="B6" s="18"/>
      <c r="C6" s="19"/>
      <c r="D6" s="20"/>
      <c r="E6" s="21"/>
      <c r="F6" s="22"/>
    </row>
    <row r="7" ht="10" spans="2:6">
      <c r="B7" s="23"/>
      <c r="C7" s="24"/>
      <c r="D7" s="25"/>
      <c r="E7" s="26" t="s">
        <v>7</v>
      </c>
      <c r="F7" s="27"/>
    </row>
    <row r="8" ht="22.5" customHeight="1" spans="2:6">
      <c r="B8" s="28" t="s">
        <v>8</v>
      </c>
      <c r="C8" s="29"/>
      <c r="D8" s="30"/>
      <c r="E8" s="6" t="s">
        <v>9</v>
      </c>
      <c r="F8" s="6" t="s">
        <v>10</v>
      </c>
    </row>
    <row r="9" ht="12.75" customHeight="1" spans="2:6">
      <c r="B9" s="31" t="s">
        <v>11</v>
      </c>
      <c r="C9" s="32"/>
      <c r="D9" s="33"/>
      <c r="E9" s="34">
        <f>E10+E13+E16+E23</f>
        <v>0</v>
      </c>
      <c r="F9" s="34">
        <f>F10+F13+F16+F23</f>
        <v>0</v>
      </c>
    </row>
    <row r="10" ht="10" spans="2:6">
      <c r="B10" s="35">
        <v>14</v>
      </c>
      <c r="C10" s="6"/>
      <c r="D10" s="6" t="s">
        <v>12</v>
      </c>
      <c r="E10" s="34">
        <f>SUM(E11:E12)</f>
        <v>0</v>
      </c>
      <c r="F10" s="34">
        <f>SUM(F11:F12)</f>
        <v>0</v>
      </c>
    </row>
    <row r="11" ht="10" spans="2:6">
      <c r="B11" s="7"/>
      <c r="C11" s="36">
        <v>14.1</v>
      </c>
      <c r="D11" s="7" t="s">
        <v>13</v>
      </c>
      <c r="E11" s="37">
        <v>0</v>
      </c>
      <c r="F11" s="37">
        <v>0</v>
      </c>
    </row>
    <row r="12" ht="10" spans="2:6">
      <c r="B12" s="7"/>
      <c r="C12" s="36">
        <v>14.2</v>
      </c>
      <c r="D12" s="7" t="s">
        <v>14</v>
      </c>
      <c r="E12" s="37">
        <v>0</v>
      </c>
      <c r="F12" s="37">
        <v>0</v>
      </c>
    </row>
    <row r="13" ht="10" spans="2:6">
      <c r="B13" s="35">
        <v>15</v>
      </c>
      <c r="C13" s="6"/>
      <c r="D13" s="6" t="s">
        <v>15</v>
      </c>
      <c r="E13" s="34">
        <f>SUM(E14:E15)</f>
        <v>0</v>
      </c>
      <c r="F13" s="34">
        <f>SUM(F14:F15)</f>
        <v>0</v>
      </c>
    </row>
    <row r="14" ht="10" spans="2:6">
      <c r="B14" s="7"/>
      <c r="C14" s="36">
        <v>15.1</v>
      </c>
      <c r="D14" s="7" t="s">
        <v>13</v>
      </c>
      <c r="E14" s="37">
        <v>0</v>
      </c>
      <c r="F14" s="37">
        <v>0</v>
      </c>
    </row>
    <row r="15" ht="10" spans="2:6">
      <c r="B15" s="7"/>
      <c r="C15" s="36">
        <v>15.2</v>
      </c>
      <c r="D15" s="7" t="s">
        <v>14</v>
      </c>
      <c r="E15" s="37">
        <v>0</v>
      </c>
      <c r="F15" s="37">
        <v>0</v>
      </c>
    </row>
    <row r="16" ht="10" spans="2:6">
      <c r="B16" s="35">
        <v>16</v>
      </c>
      <c r="C16" s="6"/>
      <c r="D16" s="6" t="s">
        <v>16</v>
      </c>
      <c r="E16" s="34">
        <f>SUM(E18:E22)</f>
        <v>0</v>
      </c>
      <c r="F16" s="34">
        <f>SUM(F18:F22)</f>
        <v>0</v>
      </c>
    </row>
    <row r="17" ht="10" spans="2:6">
      <c r="B17" s="35"/>
      <c r="C17" s="38">
        <v>16.1</v>
      </c>
      <c r="D17" s="39" t="s">
        <v>17</v>
      </c>
      <c r="E17" s="34"/>
      <c r="F17" s="34"/>
    </row>
    <row r="18" ht="10" spans="2:6">
      <c r="B18" s="7"/>
      <c r="C18" s="40" t="s">
        <v>18</v>
      </c>
      <c r="D18" s="7" t="s">
        <v>13</v>
      </c>
      <c r="E18" s="37">
        <v>0</v>
      </c>
      <c r="F18" s="37">
        <v>0</v>
      </c>
    </row>
    <row r="19" ht="10" spans="2:6">
      <c r="B19" s="7"/>
      <c r="C19" s="40" t="s">
        <v>19</v>
      </c>
      <c r="D19" s="7" t="s">
        <v>14</v>
      </c>
      <c r="E19" s="37">
        <v>0</v>
      </c>
      <c r="F19" s="37">
        <v>0</v>
      </c>
    </row>
    <row r="20" ht="10" spans="2:6">
      <c r="B20" s="41"/>
      <c r="C20" s="42">
        <v>16.2</v>
      </c>
      <c r="D20" s="43" t="s">
        <v>20</v>
      </c>
      <c r="E20" s="44"/>
      <c r="F20" s="44"/>
    </row>
    <row r="21" ht="10" spans="2:6">
      <c r="B21" s="7"/>
      <c r="C21" s="40" t="s">
        <v>21</v>
      </c>
      <c r="D21" s="7" t="s">
        <v>13</v>
      </c>
      <c r="E21" s="37">
        <v>0</v>
      </c>
      <c r="F21" s="37">
        <v>0</v>
      </c>
    </row>
    <row r="22" ht="10" spans="2:6">
      <c r="B22" s="7"/>
      <c r="C22" s="40" t="s">
        <v>22</v>
      </c>
      <c r="D22" s="7" t="s">
        <v>14</v>
      </c>
      <c r="E22" s="37">
        <v>0</v>
      </c>
      <c r="F22" s="37">
        <v>0</v>
      </c>
    </row>
    <row r="23" ht="10" spans="2:6">
      <c r="B23" s="35">
        <v>17</v>
      </c>
      <c r="C23" s="6"/>
      <c r="D23" s="6" t="s">
        <v>23</v>
      </c>
      <c r="E23" s="34">
        <f>E24</f>
        <v>0</v>
      </c>
      <c r="F23" s="34">
        <f>F24</f>
        <v>0</v>
      </c>
    </row>
    <row r="24" ht="10" spans="2:6">
      <c r="B24" s="14"/>
      <c r="C24" s="45">
        <v>17.2</v>
      </c>
      <c r="D24" s="14" t="s">
        <v>13</v>
      </c>
      <c r="E24" s="46">
        <v>0</v>
      </c>
      <c r="F24" s="46">
        <v>0</v>
      </c>
    </row>
    <row r="25" ht="12.5" spans="2:6">
      <c r="B25" s="47" t="s">
        <v>24</v>
      </c>
      <c r="C25" s="48"/>
      <c r="D25" s="48"/>
      <c r="E25" s="49">
        <f>E26+E29+E32+E39</f>
        <v>0</v>
      </c>
      <c r="F25" s="49">
        <f>F26+F29+F32+F39</f>
        <v>0</v>
      </c>
    </row>
    <row r="26" ht="10" spans="2:6">
      <c r="B26" s="50">
        <v>14</v>
      </c>
      <c r="C26" s="30"/>
      <c r="D26" s="30" t="s">
        <v>12</v>
      </c>
      <c r="E26" s="51">
        <f>SUM(E27:E28)</f>
        <v>0</v>
      </c>
      <c r="F26" s="51">
        <f>SUM(F27:F28)</f>
        <v>0</v>
      </c>
    </row>
    <row r="27" ht="10" spans="2:6">
      <c r="B27" s="7"/>
      <c r="C27" s="36">
        <v>14.3</v>
      </c>
      <c r="D27" s="7" t="s">
        <v>25</v>
      </c>
      <c r="E27" s="37">
        <v>0</v>
      </c>
      <c r="F27" s="37">
        <v>0</v>
      </c>
    </row>
    <row r="28" ht="10" spans="2:6">
      <c r="B28" s="7"/>
      <c r="C28" s="36">
        <v>14.4</v>
      </c>
      <c r="D28" s="7" t="s">
        <v>26</v>
      </c>
      <c r="E28" s="37">
        <v>0</v>
      </c>
      <c r="F28" s="37">
        <v>0</v>
      </c>
    </row>
    <row r="29" ht="10" spans="2:6">
      <c r="B29" s="35">
        <v>15</v>
      </c>
      <c r="C29" s="6"/>
      <c r="D29" s="6" t="s">
        <v>15</v>
      </c>
      <c r="E29" s="34">
        <f>SUM(E30:E31)</f>
        <v>0</v>
      </c>
      <c r="F29" s="34">
        <f>SUM(F30:F31)</f>
        <v>0</v>
      </c>
    </row>
    <row r="30" ht="10" spans="2:6">
      <c r="B30" s="7"/>
      <c r="C30" s="36">
        <v>15.3</v>
      </c>
      <c r="D30" s="7" t="s">
        <v>25</v>
      </c>
      <c r="E30" s="37">
        <v>0</v>
      </c>
      <c r="F30" s="37">
        <v>0</v>
      </c>
    </row>
    <row r="31" ht="10" spans="2:6">
      <c r="B31" s="7"/>
      <c r="C31" s="36">
        <v>15.4</v>
      </c>
      <c r="D31" s="7" t="s">
        <v>26</v>
      </c>
      <c r="E31" s="37">
        <v>0</v>
      </c>
      <c r="F31" s="37">
        <v>0</v>
      </c>
    </row>
    <row r="32" ht="10" spans="2:6">
      <c r="B32" s="35">
        <v>16</v>
      </c>
      <c r="C32" s="6"/>
      <c r="D32" s="6" t="s">
        <v>16</v>
      </c>
      <c r="E32" s="52">
        <f>SUM(E33,E36)</f>
        <v>0</v>
      </c>
      <c r="F32" s="52">
        <f>SUM(F33,F36)</f>
        <v>0</v>
      </c>
    </row>
    <row r="33" ht="10" spans="2:6">
      <c r="B33" s="35"/>
      <c r="C33" s="6">
        <v>16.1</v>
      </c>
      <c r="D33" s="39" t="s">
        <v>17</v>
      </c>
      <c r="E33" s="34">
        <f>SUM(E34:E35)</f>
        <v>0</v>
      </c>
      <c r="F33" s="34">
        <f>SUM(F34:F35)</f>
        <v>0</v>
      </c>
    </row>
    <row r="34" ht="10" spans="2:6">
      <c r="B34" s="7"/>
      <c r="C34" s="40" t="s">
        <v>27</v>
      </c>
      <c r="D34" s="7" t="s">
        <v>25</v>
      </c>
      <c r="E34" s="37">
        <v>0</v>
      </c>
      <c r="F34" s="37">
        <v>0</v>
      </c>
    </row>
    <row r="35" ht="10" spans="2:6">
      <c r="B35" s="7"/>
      <c r="C35" s="40" t="s">
        <v>28</v>
      </c>
      <c r="D35" s="7" t="s">
        <v>26</v>
      </c>
      <c r="E35" s="37">
        <v>0</v>
      </c>
      <c r="F35" s="37">
        <v>0</v>
      </c>
    </row>
    <row r="36" ht="10" spans="2:6">
      <c r="B36" s="41"/>
      <c r="C36" s="53">
        <v>16.2</v>
      </c>
      <c r="D36" s="39" t="s">
        <v>20</v>
      </c>
      <c r="E36" s="44">
        <f>SUM(E37:E38)</f>
        <v>0</v>
      </c>
      <c r="F36" s="44">
        <f>SUM(F37:F38)</f>
        <v>0</v>
      </c>
    </row>
    <row r="37" ht="10" spans="2:6">
      <c r="B37" s="7"/>
      <c r="C37" s="40" t="s">
        <v>29</v>
      </c>
      <c r="D37" s="7" t="s">
        <v>25</v>
      </c>
      <c r="E37" s="37">
        <v>0</v>
      </c>
      <c r="F37" s="37">
        <v>0</v>
      </c>
    </row>
    <row r="38" ht="10" spans="2:6">
      <c r="B38" s="7"/>
      <c r="C38" s="40" t="s">
        <v>30</v>
      </c>
      <c r="D38" s="7" t="s">
        <v>26</v>
      </c>
      <c r="E38" s="37">
        <v>0</v>
      </c>
      <c r="F38" s="37">
        <v>0</v>
      </c>
    </row>
    <row r="39" ht="10" spans="2:6">
      <c r="B39" s="35">
        <v>17</v>
      </c>
      <c r="C39" s="6"/>
      <c r="D39" s="6" t="s">
        <v>23</v>
      </c>
      <c r="E39" s="34">
        <f>E40</f>
        <v>0</v>
      </c>
      <c r="F39" s="34">
        <f>F40</f>
        <v>0</v>
      </c>
    </row>
    <row r="40" ht="10" spans="2:6">
      <c r="B40" s="14"/>
      <c r="C40" s="45">
        <v>17.3</v>
      </c>
      <c r="D40" s="14" t="s">
        <v>31</v>
      </c>
      <c r="E40" s="46">
        <v>0</v>
      </c>
      <c r="F40" s="46">
        <v>0</v>
      </c>
    </row>
    <row r="41" ht="12.75" customHeight="1" spans="2:6">
      <c r="B41" s="54" t="s">
        <v>32</v>
      </c>
      <c r="C41" s="55"/>
      <c r="D41" s="56"/>
      <c r="E41" s="57">
        <f>E42</f>
        <v>0</v>
      </c>
      <c r="F41" s="57">
        <f>F42</f>
        <v>0</v>
      </c>
    </row>
    <row r="42" ht="12.75" customHeight="1" spans="2:7">
      <c r="B42" s="58">
        <v>22</v>
      </c>
      <c r="C42" s="59"/>
      <c r="D42" s="59" t="s">
        <v>33</v>
      </c>
      <c r="E42" s="57">
        <f>SUM(E43:E46)</f>
        <v>0</v>
      </c>
      <c r="F42" s="57">
        <f>SUM(F43:F46)</f>
        <v>0</v>
      </c>
      <c r="G42" s="60"/>
    </row>
    <row r="43" ht="12.75" customHeight="1" spans="2:7">
      <c r="B43" s="61"/>
      <c r="C43" s="61">
        <v>22.1</v>
      </c>
      <c r="D43" s="61" t="s">
        <v>34</v>
      </c>
      <c r="E43" s="37">
        <v>0</v>
      </c>
      <c r="F43" s="37">
        <v>0</v>
      </c>
      <c r="G43" s="60"/>
    </row>
    <row r="44" ht="12.75" customHeight="1" spans="2:7">
      <c r="B44" s="61"/>
      <c r="C44" s="61">
        <v>22.2</v>
      </c>
      <c r="D44" s="61" t="s">
        <v>35</v>
      </c>
      <c r="E44" s="37">
        <v>0</v>
      </c>
      <c r="F44" s="37">
        <v>0</v>
      </c>
      <c r="G44" s="60"/>
    </row>
    <row r="45" ht="12.75" customHeight="1" spans="2:7">
      <c r="B45" s="61"/>
      <c r="C45" s="61">
        <v>22.3</v>
      </c>
      <c r="D45" s="61" t="s">
        <v>36</v>
      </c>
      <c r="E45" s="37">
        <v>0</v>
      </c>
      <c r="F45" s="37">
        <v>0</v>
      </c>
      <c r="G45" s="60"/>
    </row>
    <row r="46" ht="12.75" customHeight="1" spans="2:7">
      <c r="B46" s="61"/>
      <c r="C46" s="61">
        <v>22.4</v>
      </c>
      <c r="D46" s="61" t="s">
        <v>37</v>
      </c>
      <c r="E46" s="37">
        <v>0</v>
      </c>
      <c r="F46" s="37">
        <v>0</v>
      </c>
      <c r="G46" s="60"/>
    </row>
    <row r="47" ht="12.75" customHeight="1" spans="2:6">
      <c r="B47" s="54" t="s">
        <v>38</v>
      </c>
      <c r="C47" s="55"/>
      <c r="D47" s="56"/>
      <c r="E47" s="57">
        <f>E48+E51</f>
        <v>0</v>
      </c>
      <c r="F47" s="57">
        <f>F48+F51</f>
        <v>0</v>
      </c>
    </row>
    <row r="48" ht="18" customHeight="1" spans="2:6">
      <c r="B48" s="62">
        <v>23</v>
      </c>
      <c r="C48" s="63"/>
      <c r="D48" s="63" t="s">
        <v>39</v>
      </c>
      <c r="E48" s="64">
        <f>SUM(E49:E50)</f>
        <v>0</v>
      </c>
      <c r="F48" s="64">
        <f>SUM(F49:F50)</f>
        <v>0</v>
      </c>
    </row>
    <row r="49" ht="10" spans="2:6">
      <c r="B49" s="65"/>
      <c r="C49" s="66">
        <v>23.1</v>
      </c>
      <c r="D49" s="65" t="s">
        <v>40</v>
      </c>
      <c r="E49" s="37">
        <v>0</v>
      </c>
      <c r="F49" s="37">
        <v>0</v>
      </c>
    </row>
    <row r="50" ht="10" spans="2:6">
      <c r="B50" s="65"/>
      <c r="C50" s="66">
        <v>23.2</v>
      </c>
      <c r="D50" s="65" t="s">
        <v>41</v>
      </c>
      <c r="E50" s="37">
        <v>0</v>
      </c>
      <c r="F50" s="37">
        <v>0</v>
      </c>
    </row>
    <row r="51" ht="10" spans="2:6">
      <c r="B51" s="62">
        <v>26</v>
      </c>
      <c r="C51" s="63"/>
      <c r="D51" s="63" t="s">
        <v>42</v>
      </c>
      <c r="E51" s="64">
        <f>E52</f>
        <v>0</v>
      </c>
      <c r="F51" s="64">
        <f>F52</f>
        <v>0</v>
      </c>
    </row>
    <row r="52" ht="10" spans="2:6">
      <c r="B52" s="67"/>
      <c r="C52" s="68">
        <v>26.7</v>
      </c>
      <c r="D52" s="67" t="s">
        <v>43</v>
      </c>
      <c r="E52" s="69">
        <v>0</v>
      </c>
      <c r="F52" s="70">
        <v>0</v>
      </c>
    </row>
    <row r="53" ht="12.75" customHeight="1" spans="2:6">
      <c r="B53" s="54" t="s">
        <v>44</v>
      </c>
      <c r="C53" s="55"/>
      <c r="D53" s="55"/>
      <c r="E53" s="71"/>
      <c r="F53" s="72"/>
    </row>
    <row r="54" ht="16.5" customHeight="1"/>
  </sheetData>
  <sheetProtection password="DE1B" sheet="1"/>
  <mergeCells count="11">
    <mergeCell ref="B2:F2"/>
    <mergeCell ref="C3:D3"/>
    <mergeCell ref="C4:D4"/>
    <mergeCell ref="C5:D5"/>
    <mergeCell ref="E7:F7"/>
    <mergeCell ref="B8:C8"/>
    <mergeCell ref="B9:D9"/>
    <mergeCell ref="B41:D41"/>
    <mergeCell ref="B47:D47"/>
    <mergeCell ref="B53:D53"/>
    <mergeCell ref="E3:F5"/>
  </mergeCells>
  <dataValidations count="1">
    <dataValidation type="whole" operator="between" allowBlank="1" showInputMessage="1" showErrorMessage="1" sqref="E9:F52">
      <formula1>-1000000000</formula1>
      <formula2>1000000000</formula2>
    </dataValidation>
  </dataValidations>
  <pageMargins left="0.7" right="0.7" top="0.75" bottom="0.75" header="0.3" footer="0.3"/>
  <pageSetup paperSize="9" scale="78" orientation="portrait" horizontalDpi="600"/>
  <headerFooter alignWithMargins="0"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BRF50_1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Wassim Slama</dc:creator>
  <cp:lastModifiedBy>user</cp:lastModifiedBy>
  <dcterms:created xsi:type="dcterms:W3CDTF">2021-09-07T09:54:51Z</dcterms:created>
  <dcterms:modified xsi:type="dcterms:W3CDTF">2024-02-22T05:58:10Z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2021-11-14T09:20:38Z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be2e0db9-b776-4de4-9ef0-bf976995387b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953E770A47CE4095987F8A364ABE2BC8_13</vt:lpwstr>
  </property>
  <property fmtid="{D5CDD505-2E9C-101B-9397-08002B2CF9AE}" pid="10" name="KSOProductBuildVer">
    <vt:lpwstr>1033-12.2.0.13431</vt:lpwstr>
  </property>
</Properties>
</file>