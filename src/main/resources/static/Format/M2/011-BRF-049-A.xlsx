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NSFRV2" sheetId="1" r:id="rId1"/>
  </sheets>
  <definedNames>
    <definedName name="_xlnm.Print_Area" localSheetId="0">NSFRV2!$B$2:$M$177</definedName>
  </definedNames>
  <calcPr calcId="144525"/>
</workbook>
</file>

<file path=xl/sharedStrings.xml><?xml version="1.0" encoding="utf-8"?>
<sst xmlns="http://schemas.openxmlformats.org/spreadsheetml/2006/main" count="561" uniqueCount="267">
  <si>
    <t xml:space="preserve">                                                BANKING AND MONETARY STATISTICS :  NSFR Reporting - Detailed (AED and all other currencies in '000s)</t>
  </si>
  <si>
    <t>ID:</t>
  </si>
  <si>
    <t>3-49-2-0</t>
  </si>
  <si>
    <t>BANK</t>
  </si>
  <si>
    <t>Bank of Baroda</t>
  </si>
  <si>
    <t>As On</t>
  </si>
  <si>
    <t>Available stable funding</t>
  </si>
  <si>
    <t>Sr No</t>
  </si>
  <si>
    <t>Particulars</t>
  </si>
  <si>
    <t>Amount</t>
  </si>
  <si>
    <t>ASF factor</t>
  </si>
  <si>
    <t>Calculated ASF</t>
  </si>
  <si>
    <t>Capital instruments and liabilities eligible for 100% ASF</t>
  </si>
  <si>
    <t>&lt; 6 months</t>
  </si>
  <si>
    <t>≥ 6 months to &lt; 1 year</t>
  </si>
  <si>
    <t>≥ 1 year</t>
  </si>
  <si>
    <t>Total ASF</t>
  </si>
  <si>
    <t>1.1.1</t>
  </si>
  <si>
    <t>Total amount of regulatory capital, before the application of capital deductions</t>
  </si>
  <si>
    <t>1.1.2</t>
  </si>
  <si>
    <t>Capital instruments not included above</t>
  </si>
  <si>
    <t>Retail and SME customers</t>
  </si>
  <si>
    <t>1.2.1</t>
  </si>
  <si>
    <t>Stable demand and term deposits (unsecured)</t>
  </si>
  <si>
    <t>1.2.2</t>
  </si>
  <si>
    <t>Less stable demand and term deposits (unsecured)</t>
  </si>
  <si>
    <t>1.2.3</t>
  </si>
  <si>
    <t>Secured funding</t>
  </si>
  <si>
    <t>Non-financial corporate customers</t>
  </si>
  <si>
    <t>1.3.1</t>
  </si>
  <si>
    <t>Operational deposit</t>
  </si>
  <si>
    <t>1.3.2</t>
  </si>
  <si>
    <t>Non-operational deposit (unsecured)</t>
  </si>
  <si>
    <t>1.3.3</t>
  </si>
  <si>
    <t>Other unsecured funding</t>
  </si>
  <si>
    <t>1.3.4</t>
  </si>
  <si>
    <t>Sovereigns/PSEs/MDBs</t>
  </si>
  <si>
    <t>1.4.1</t>
  </si>
  <si>
    <t>1.4.2</t>
  </si>
  <si>
    <t>Non-operational deposit</t>
  </si>
  <si>
    <t>1.4.3</t>
  </si>
  <si>
    <t>1.4.4</t>
  </si>
  <si>
    <t>Central banks</t>
  </si>
  <si>
    <t>1.5.1</t>
  </si>
  <si>
    <t>1.5.2</t>
  </si>
  <si>
    <t>1.5.3</t>
  </si>
  <si>
    <t>1.5.4</t>
  </si>
  <si>
    <t>1.5.5</t>
  </si>
  <si>
    <t xml:space="preserve">Zero-Cost Funding from CBUAE under TESS Program </t>
  </si>
  <si>
    <t>Financial institutions</t>
  </si>
  <si>
    <t>1.6.1</t>
  </si>
  <si>
    <t>1.6.2</t>
  </si>
  <si>
    <t>1.6.3</t>
  </si>
  <si>
    <t>1.6.4</t>
  </si>
  <si>
    <t>Derivatives</t>
  </si>
  <si>
    <t>1.7.1</t>
  </si>
  <si>
    <t>Derivative liabilities, gross of variation margin posted</t>
  </si>
  <si>
    <t>1.7.2</t>
  </si>
  <si>
    <t>Total variation margin posted</t>
  </si>
  <si>
    <t>1.7.3</t>
  </si>
  <si>
    <t>NSFR derivative liabilities</t>
  </si>
  <si>
    <t>1.7.4</t>
  </si>
  <si>
    <t>Total variation margin received that does not meet the criteria in paragraph 35(a) of BCBS Basel III NSFR</t>
  </si>
  <si>
    <t>1.7.5</t>
  </si>
  <si>
    <t>Total initial margin received</t>
  </si>
  <si>
    <t>Other liabilities</t>
  </si>
  <si>
    <t>1.8.1</t>
  </si>
  <si>
    <t>Deferred tax liabilities</t>
  </si>
  <si>
    <t>1.8.2</t>
  </si>
  <si>
    <t>Minority interest</t>
  </si>
  <si>
    <t>1.8.3</t>
  </si>
  <si>
    <t>Trade date payables</t>
  </si>
  <si>
    <t>1.8.4</t>
  </si>
  <si>
    <t>All other liability categories not included above</t>
  </si>
  <si>
    <t>Required stable funding</t>
  </si>
  <si>
    <t>On-balance sheet items</t>
  </si>
  <si>
    <t>RSF factor</t>
  </si>
  <si>
    <t>Calculated RSF</t>
  </si>
  <si>
    <t>Calculated Total RSF</t>
  </si>
  <si>
    <t>Total RSF</t>
  </si>
  <si>
    <t>2.1.1</t>
  </si>
  <si>
    <t>Coins and banknotes currently held and immediately available to meet obligations</t>
  </si>
  <si>
    <t>2.1.2</t>
  </si>
  <si>
    <t>Central bank reserves and claims</t>
  </si>
  <si>
    <t>2.1.2.1</t>
  </si>
  <si>
    <t>Balances held in the Statutory Reserve Account</t>
  </si>
  <si>
    <t>2.1.2.2</t>
  </si>
  <si>
    <t>Other central bank reserves</t>
  </si>
  <si>
    <t>2.1.2.3</t>
  </si>
  <si>
    <t>Unencumbered loans / securities to central banks    (including CB debt securities with maturity of less than 6 months)</t>
  </si>
  <si>
    <t>2.1.2.4</t>
  </si>
  <si>
    <t>Encumbered assets with a remaining period of &lt; 6 months  -  excluded from HQLA due to encumbrance</t>
  </si>
  <si>
    <t>2.1.2.5</t>
  </si>
  <si>
    <t>Encumbered assets with a remaining period of ≥ 6 months to &lt; 1 year  -  excluded from HQLA due to encumbrance</t>
  </si>
  <si>
    <t>2.1.2.6</t>
  </si>
  <si>
    <t>Encumbered assets with a remaining period of ≥ 1 year  -  excluded from HQLA due to encumbrance</t>
  </si>
  <si>
    <t>2.1.3</t>
  </si>
  <si>
    <t>Level 1 assets</t>
  </si>
  <si>
    <t>2.1.3.1</t>
  </si>
  <si>
    <t>Unencumbered   -  included in HQLA stock      (including CB debt securities with maturity of more than 6 months)</t>
  </si>
  <si>
    <t>2.1.3.2</t>
  </si>
  <si>
    <t>Encumbered with a remaining period of &lt; 6 months   -  Level 1 excluded from HQLA due to encumbrance</t>
  </si>
  <si>
    <t>2.1.3.3</t>
  </si>
  <si>
    <t>Encumbered with a remaining period of ≥ 6 months to &lt; 1 year   -  Level 1 excluded from HQLA due to encumbrance</t>
  </si>
  <si>
    <t>2.1.3.4</t>
  </si>
  <si>
    <t>Encumbered with a remaining period of ≥ 1 year   -   Level 1 excluded from HQLA due to encumbrance</t>
  </si>
  <si>
    <t>2.1.4</t>
  </si>
  <si>
    <t>Level 2A assets</t>
  </si>
  <si>
    <t>2.1.4.1</t>
  </si>
  <si>
    <t>Debt securities issued by sovereigns, central banks, PSEs or multilateral development banks</t>
  </si>
  <si>
    <t>2.1.4.1.1</t>
  </si>
  <si>
    <t>Unencumbered   -  included in HQLA stock</t>
  </si>
  <si>
    <t>2.1.4.1.2</t>
  </si>
  <si>
    <t>Encumbered with a remaining period of &lt; 6 months   -   Level 2A excluded from HQLA due to encumbrance</t>
  </si>
  <si>
    <t>2.1.4.1.3</t>
  </si>
  <si>
    <t>Encumbered with a remaining period of ≥ 6 months to &lt; 1 year   -   Level 2A excluded from HQLA due to encumbrance</t>
  </si>
  <si>
    <t>2.1.4.1.4</t>
  </si>
  <si>
    <t>Encumbered with a remaining period of ≥ 1 year   -   Level 2A excluded from HQLA due to encumbrance</t>
  </si>
  <si>
    <t>2.1.4.2</t>
  </si>
  <si>
    <t>Debt securities issued by non-financial corporates, rated AA- to AA+</t>
  </si>
  <si>
    <t>2.1.4.2.1</t>
  </si>
  <si>
    <t>2.1.4.2.2</t>
  </si>
  <si>
    <t>2.1.4.2.3</t>
  </si>
  <si>
    <t>2.1.4.2.4</t>
  </si>
  <si>
    <t>2.1.5</t>
  </si>
  <si>
    <t>Level 2B assets</t>
  </si>
  <si>
    <t>2.1.5.1</t>
  </si>
  <si>
    <t>Non-equity assets</t>
  </si>
  <si>
    <t>2.1.5.1.1</t>
  </si>
  <si>
    <t>2.1.5.1.2</t>
  </si>
  <si>
    <t>Encumbered with a remaining period of &lt; 6 months   -   Level 2B excluded from HQLA due to encumbrance</t>
  </si>
  <si>
    <t>2.1.5.1.3</t>
  </si>
  <si>
    <t>Encumbered with a remaining period of ≥ 6 months to &lt; 1 year   -   Level 2B excluded from HQLA due to encumbrance</t>
  </si>
  <si>
    <t>2.1.5.1.4</t>
  </si>
  <si>
    <t>Encumbered with a remaining period of ≥ 1 year   -  Level 2B excluded from HQLA due to encumbrance</t>
  </si>
  <si>
    <t>2.1.5.2</t>
  </si>
  <si>
    <t>Common equity shares</t>
  </si>
  <si>
    <t>2.1.5.2.1</t>
  </si>
  <si>
    <t>2.1.5.2.2</t>
  </si>
  <si>
    <t>2.1.5.2.3</t>
  </si>
  <si>
    <t>2.1.5.2.4</t>
  </si>
  <si>
    <t>Encumbered with a remaining period of ≥ 1 year   -   Level 2B excluded from HQLA due to encumbrance</t>
  </si>
  <si>
    <t>2.1.6</t>
  </si>
  <si>
    <t>Non - Level 1, non - Level 2A, non - level 2B  debt securities  with the residual maturity of &lt; 1 year</t>
  </si>
  <si>
    <t>2.1.6.1</t>
  </si>
  <si>
    <t>Unencumbered</t>
  </si>
  <si>
    <t>2.1.6.2</t>
  </si>
  <si>
    <t>Encumbered with a remaining period of &lt; 6 months</t>
  </si>
  <si>
    <t>2.1.6.3</t>
  </si>
  <si>
    <t>Encumbered with a remaining period of ≥ 6 months to &lt; 1 year</t>
  </si>
  <si>
    <t>2.1.7.</t>
  </si>
  <si>
    <t>Loans / financing to financial institutions secured by Level 1 HQLA that can freely rehypothecated for the life of the loan / financing, of which the collateral is:</t>
  </si>
  <si>
    <t>2.1.7.1</t>
  </si>
  <si>
    <t>2.1.7.2</t>
  </si>
  <si>
    <t>2.1.7.3</t>
  </si>
  <si>
    <t>2.1.7.4</t>
  </si>
  <si>
    <t>Encumbered with a remaining period of ≥ 1 year</t>
  </si>
  <si>
    <t>2.1.8</t>
  </si>
  <si>
    <t>Unsecured loans / financing to financial institutions</t>
  </si>
  <si>
    <t>2.1.8.1</t>
  </si>
  <si>
    <t>2.1.8.2</t>
  </si>
  <si>
    <t>2.1.8.3</t>
  </si>
  <si>
    <t>2.1.8.4</t>
  </si>
  <si>
    <t>2.1.9</t>
  </si>
  <si>
    <t>Operational deposits held with financial institutions</t>
  </si>
  <si>
    <t>2.1.9.1</t>
  </si>
  <si>
    <t>2.1.9.2</t>
  </si>
  <si>
    <t>2.1.9.3</t>
  </si>
  <si>
    <t>2.1.9.4</t>
  </si>
  <si>
    <t>2.1.10</t>
  </si>
  <si>
    <t>Loans / financing with a residual maturity of &lt; 1 year to:</t>
  </si>
  <si>
    <t>2.1.10.1</t>
  </si>
  <si>
    <t>Sovereigns, PSEs and MDBs</t>
  </si>
  <si>
    <t>2.1.10.1.1</t>
  </si>
  <si>
    <t>2.1.10.1.2</t>
  </si>
  <si>
    <t>2.1.10.1.3</t>
  </si>
  <si>
    <t>2.1.10.2</t>
  </si>
  <si>
    <t>2.1.10.2.1</t>
  </si>
  <si>
    <t>2.1.10.2.2</t>
  </si>
  <si>
    <t>2.1.10.2.3</t>
  </si>
  <si>
    <t>2.1.10.3</t>
  </si>
  <si>
    <t>Retail and small business customers</t>
  </si>
  <si>
    <t>2.1.10.3.1</t>
  </si>
  <si>
    <t>2.1.10.3.2</t>
  </si>
  <si>
    <t>2.1.10.3.3</t>
  </si>
  <si>
    <t>2.1.11</t>
  </si>
  <si>
    <t>Loans / financing with a residual maturity of ≥ 1 year:</t>
  </si>
  <si>
    <t>2.1.11.1</t>
  </si>
  <si>
    <t>Residential mortgages that would qualify for a ≤ 35% risk weight under Basel II Standardised approach for credit risk</t>
  </si>
  <si>
    <t>2.1.11.1.1</t>
  </si>
  <si>
    <t>2.1.11.1.2</t>
  </si>
  <si>
    <t>2.1.11.1.3</t>
  </si>
  <si>
    <t>2.1.11.1.4</t>
  </si>
  <si>
    <t>2.1.11.2</t>
  </si>
  <si>
    <t>Other loans / financing that would qualify for a ≤ 35% risk weight under Basel II Standardised approach for credit risk</t>
  </si>
  <si>
    <t>2.1.11.2.1</t>
  </si>
  <si>
    <t>2.1.11.2.2</t>
  </si>
  <si>
    <t>2.1.11.2.3</t>
  </si>
  <si>
    <t>2.1.11.2.4</t>
  </si>
  <si>
    <t>2.1.11.3</t>
  </si>
  <si>
    <t>Other performing loans / financing</t>
  </si>
  <si>
    <t>2.1.11.3.1</t>
  </si>
  <si>
    <t>2.1.11.3.2</t>
  </si>
  <si>
    <t>2.1.11.3.3</t>
  </si>
  <si>
    <t>2.1.11.3.4</t>
  </si>
  <si>
    <t>2.1.12</t>
  </si>
  <si>
    <t>Non - Level 1, non - Level 2A, non - level 2B  debt securities with the residual maturity of  ≥ 1 year</t>
  </si>
  <si>
    <t>2.1.12.1</t>
  </si>
  <si>
    <t>2.1.12.2</t>
  </si>
  <si>
    <t>2.1.12.3</t>
  </si>
  <si>
    <t>2.1.12.4</t>
  </si>
  <si>
    <t>2.1.13</t>
  </si>
  <si>
    <t>Physical traded commodities, including gold</t>
  </si>
  <si>
    <t>2.1.13.1</t>
  </si>
  <si>
    <t>2.1.13.2</t>
  </si>
  <si>
    <t>2.1.13.3</t>
  </si>
  <si>
    <t>2.1.13.4</t>
  </si>
  <si>
    <t>2.1.14</t>
  </si>
  <si>
    <t>2.1.14.1</t>
  </si>
  <si>
    <t>Derivative assets, gross of variation margin received</t>
  </si>
  <si>
    <t>2.1.14.2</t>
  </si>
  <si>
    <t>Cash variation margin</t>
  </si>
  <si>
    <t>2.1.14.3</t>
  </si>
  <si>
    <t>NSFR derivative assets</t>
  </si>
  <si>
    <t>2.1.14.4</t>
  </si>
  <si>
    <t>20% of derivative liabilities</t>
  </si>
  <si>
    <t>2.1.14.5</t>
  </si>
  <si>
    <t>Residual maturity of initial margin posted</t>
  </si>
  <si>
    <t>2.1.14.6</t>
  </si>
  <si>
    <t>Initial margin posted on behalf of a customer</t>
  </si>
  <si>
    <t>2.1.14.7</t>
  </si>
  <si>
    <t>Cash or other assets provided to contribute to the default fund of a CCP</t>
  </si>
  <si>
    <t>2.1.15</t>
  </si>
  <si>
    <t>Other assets</t>
  </si>
  <si>
    <t>2.1.15.1</t>
  </si>
  <si>
    <t>Trade date receivables</t>
  </si>
  <si>
    <t>2.1.15.2</t>
  </si>
  <si>
    <t>Interdependent assets</t>
  </si>
  <si>
    <t>2.1.15.3</t>
  </si>
  <si>
    <t>Non-performing loans / financing</t>
  </si>
  <si>
    <t>2.1.15.4</t>
  </si>
  <si>
    <t>Defaulted securities</t>
  </si>
  <si>
    <t>2.1.15.5</t>
  </si>
  <si>
    <t>Non exchabge-traded equities</t>
  </si>
  <si>
    <t>2.1.15.6</t>
  </si>
  <si>
    <t>Subsidiary assets</t>
  </si>
  <si>
    <t>2.1.15.7</t>
  </si>
  <si>
    <t>Items deducted from regulatory capital</t>
  </si>
  <si>
    <t>2.1.15.8</t>
  </si>
  <si>
    <t>All other assets, including insurance assets, fixed assets, retained interest</t>
  </si>
  <si>
    <t>Off-balance sheet items</t>
  </si>
  <si>
    <t xml:space="preserve">RSF  factor </t>
  </si>
  <si>
    <t>Calculated total RSF</t>
  </si>
  <si>
    <t>2.2.1</t>
  </si>
  <si>
    <t>Irrevocable and conditionally revocable credit and liquidity facilities</t>
  </si>
  <si>
    <t>2.2.2</t>
  </si>
  <si>
    <t>Unconditionally revocable (i.e. uncommitted) credit and liquidity facilities</t>
  </si>
  <si>
    <t>2.2.3</t>
  </si>
  <si>
    <t>Trade finance-related obligations (including guarantees and letters of credit)</t>
  </si>
  <si>
    <t>2.2.4</t>
  </si>
  <si>
    <t>Guarantees and letters of credit unrelated to trade finance obligations</t>
  </si>
  <si>
    <t>2.2.5</t>
  </si>
  <si>
    <t>Other off-b/s assets, including potential requests for debt repurchase of the bank's own debt (including related conduits), structured products, managed funds</t>
  </si>
  <si>
    <t>Available amount of stable funding/ Required amount of stable funding &gt;= 100</t>
  </si>
  <si>
    <t>NSFR</t>
  </si>
  <si>
    <t>1.5.6</t>
  </si>
  <si>
    <t>Form No: BSD/BRF 49 -ES/SEPT2020</t>
  </si>
</sst>
</file>

<file path=xl/styles.xml><?xml version="1.0" encoding="utf-8"?>
<styleSheet xmlns="http://schemas.openxmlformats.org/spreadsheetml/2006/main" xmlns:xr9="http://schemas.microsoft.com/office/spreadsheetml/2016/revision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 numFmtId="177" formatCode="#,##0.##"/>
    <numFmt numFmtId="178" formatCode="#,##0.0"/>
  </numFmts>
  <fonts count="34">
    <font>
      <sz val="10"/>
      <name val="Arial"/>
      <charset val="0"/>
    </font>
    <font>
      <sz val="8"/>
      <color indexed="9"/>
      <name val="Arial"/>
      <charset val="0"/>
    </font>
    <font>
      <b/>
      <sz val="9"/>
      <name val="Arial"/>
      <family val="2"/>
      <charset val="0"/>
    </font>
    <font>
      <b/>
      <sz val="8"/>
      <color indexed="8"/>
      <name val="Arial"/>
      <family val="2"/>
      <charset val="0"/>
    </font>
    <font>
      <b/>
      <sz val="9"/>
      <color indexed="8"/>
      <name val="Arial"/>
      <family val="2"/>
      <charset val="0"/>
    </font>
    <font>
      <b/>
      <sz val="8"/>
      <name val="Arial"/>
      <family val="2"/>
      <charset val="0"/>
    </font>
    <font>
      <b/>
      <sz val="10"/>
      <name val="Arial"/>
      <family val="2"/>
      <charset val="0"/>
    </font>
    <font>
      <sz val="10"/>
      <name val="Arial"/>
      <family val="2"/>
      <charset val="0"/>
    </font>
    <font>
      <b/>
      <sz val="12"/>
      <color indexed="8"/>
      <name val="Arial"/>
      <family val="2"/>
      <charset val="0"/>
    </font>
    <font>
      <sz val="8"/>
      <color indexed="8"/>
      <name val="Arial"/>
      <charset val="0"/>
    </font>
    <font>
      <b/>
      <sz val="11"/>
      <color indexed="8"/>
      <name val="Arial"/>
      <family val="2"/>
      <charset val="0"/>
    </font>
    <font>
      <sz val="11"/>
      <color indexed="8"/>
      <name val="Arial"/>
      <family val="2"/>
      <charset val="0"/>
    </font>
    <font>
      <sz val="11"/>
      <name val="Arial"/>
      <family val="2"/>
      <charset val="0"/>
    </font>
    <font>
      <b/>
      <sz val="11"/>
      <name val="Arial"/>
      <family val="2"/>
      <charset val="0"/>
    </font>
    <font>
      <u/>
      <sz val="10"/>
      <color theme="10"/>
      <name val="Arial"/>
      <charset val="0"/>
    </font>
    <font>
      <u/>
      <sz val="10"/>
      <color theme="11"/>
      <name val="Arial"/>
      <charset val="0"/>
    </font>
    <font>
      <sz val="11"/>
      <color rgb="FFFF0000"/>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6500"/>
      <name val="Calibri"/>
      <family val="2"/>
      <charset val="0"/>
      <scheme val="minor"/>
    </font>
    <font>
      <sz val="11"/>
      <color theme="0"/>
      <name val="Calibri"/>
      <family val="2"/>
      <charset val="0"/>
      <scheme val="minor"/>
    </font>
    <font>
      <sz val="11"/>
      <color theme="1"/>
      <name val="Calibri"/>
      <family val="2"/>
      <charset val="0"/>
      <scheme val="minor"/>
    </font>
    <font>
      <sz val="10"/>
      <color theme="1"/>
      <name val="Calibri"/>
      <family val="2"/>
      <charset val="0"/>
    </font>
  </fonts>
  <fills count="41">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5D6D2"/>
        <bgColor indexed="64"/>
      </patternFill>
    </fill>
    <fill>
      <patternFill patternType="solid">
        <fgColor rgb="FFEAA121"/>
        <bgColor indexed="64"/>
      </patternFill>
    </fill>
    <fill>
      <patternFill patternType="solid">
        <fgColor rgb="FFFFEC72"/>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8"/>
      </left>
      <right style="thin">
        <color indexed="8"/>
      </right>
      <top style="thin">
        <color indexed="8"/>
      </top>
      <bottom/>
      <diagonal/>
    </border>
    <border>
      <left style="thin">
        <color auto="1"/>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BCBDBC"/>
      </left>
      <right style="thin">
        <color rgb="FFBCBDBC"/>
      </right>
      <top style="thin">
        <color rgb="FFBCBDBC"/>
      </top>
      <bottom style="thin">
        <color rgb="FFBCBDBC"/>
      </bottom>
      <diagonal/>
    </border>
  </borders>
  <cellStyleXfs count="59">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2" fontId="0" fillId="0" borderId="0" applyFont="0" applyFill="0" applyBorder="0" applyAlignment="0" applyProtection="0"/>
    <xf numFmtId="41" fontId="0"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0" fillId="7" borderId="18" applyNumberFormat="0" applyFon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19" applyNumberFormat="0" applyFill="0" applyAlignment="0" applyProtection="0"/>
    <xf numFmtId="0" fontId="20" fillId="0" borderId="20" applyNumberFormat="0" applyFill="0" applyAlignment="0" applyProtection="0"/>
    <xf numFmtId="0" fontId="21" fillId="0" borderId="21" applyNumberFormat="0" applyFill="0" applyAlignment="0" applyProtection="0"/>
    <xf numFmtId="0" fontId="21" fillId="0" borderId="0" applyNumberFormat="0" applyFill="0" applyBorder="0" applyAlignment="0" applyProtection="0"/>
    <xf numFmtId="0" fontId="22" fillId="8" borderId="22" applyNumberFormat="0" applyAlignment="0" applyProtection="0"/>
    <xf numFmtId="0" fontId="23" fillId="9" borderId="23" applyNumberFormat="0" applyAlignment="0" applyProtection="0"/>
    <xf numFmtId="0" fontId="24" fillId="9" borderId="22" applyNumberFormat="0" applyAlignment="0" applyProtection="0"/>
    <xf numFmtId="0" fontId="25" fillId="10" borderId="24" applyNumberFormat="0" applyAlignment="0" applyProtection="0"/>
    <xf numFmtId="0" fontId="26" fillId="0" borderId="25" applyNumberFormat="0" applyFill="0" applyAlignment="0" applyProtection="0"/>
    <xf numFmtId="0" fontId="27" fillId="0" borderId="26" applyNumberFormat="0" applyFill="0" applyAlignment="0" applyProtection="0"/>
    <xf numFmtId="0" fontId="28" fillId="11" borderId="0" applyNumberFormat="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1" fillId="33" borderId="0" applyNumberFormat="0" applyBorder="0" applyAlignment="0" applyProtection="0"/>
    <xf numFmtId="0" fontId="31"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1" fillId="37" borderId="0" applyNumberFormat="0" applyBorder="0" applyAlignment="0" applyProtection="0"/>
    <xf numFmtId="0" fontId="7" fillId="38" borderId="1" applyNumberFormat="0" applyFont="0" applyBorder="0">
      <alignment horizontal="center" vertical="center"/>
    </xf>
    <xf numFmtId="0" fontId="6" fillId="4" borderId="2" applyFont="0" applyBorder="0">
      <alignment horizontal="center" wrapText="1"/>
    </xf>
    <xf numFmtId="3" fontId="7" fillId="39" borderId="27" applyFont="0" applyProtection="0">
      <alignment horizontal="right" vertical="center"/>
    </xf>
    <xf numFmtId="0" fontId="7" fillId="39" borderId="27" applyNumberFormat="0" applyFont="0" applyProtection="0">
      <alignment horizontal="left" vertical="center"/>
    </xf>
    <xf numFmtId="3" fontId="7" fillId="40" borderId="27" applyFont="0">
      <alignment horizontal="right" vertical="center"/>
      <protection locked="0"/>
    </xf>
    <xf numFmtId="0" fontId="33" fillId="0" borderId="0"/>
    <xf numFmtId="0" fontId="7" fillId="0" borderId="0"/>
    <xf numFmtId="0" fontId="7" fillId="0" borderId="0"/>
    <xf numFmtId="3" fontId="7" fillId="4" borderId="1" applyFont="0">
      <alignment horizontal="right" vertical="center"/>
    </xf>
    <xf numFmtId="176" fontId="7" fillId="4" borderId="1" applyFont="0">
      <alignment horizontal="right" vertical="center"/>
    </xf>
  </cellStyleXfs>
  <cellXfs count="90">
    <xf numFmtId="0" fontId="0" fillId="0" borderId="0" xfId="0"/>
    <xf numFmtId="0" fontId="0" fillId="0" borderId="0" xfId="0" applyAlignment="1">
      <alignment horizontal="left"/>
    </xf>
    <xf numFmtId="0" fontId="1" fillId="2" borderId="0" xfId="0" applyFont="1" applyFill="1" applyBorder="1"/>
    <xf numFmtId="0" fontId="2" fillId="3" borderId="1" xfId="56" applyFont="1" applyFill="1" applyBorder="1" applyAlignment="1" applyProtection="1">
      <alignment horizontal="center" vertical="top"/>
    </xf>
    <xf numFmtId="0" fontId="3" fillId="3" borderId="1" xfId="54" applyFont="1" applyFill="1" applyBorder="1" applyAlignment="1" applyProtection="1">
      <alignment horizontal="left" vertical="top"/>
    </xf>
    <xf numFmtId="0" fontId="4" fillId="4" borderId="2" xfId="54" applyFont="1" applyFill="1" applyBorder="1" applyAlignment="1" applyProtection="1">
      <alignment horizontal="center" vertical="top"/>
    </xf>
    <xf numFmtId="0" fontId="4" fillId="4" borderId="3" xfId="54" applyFont="1" applyFill="1" applyBorder="1" applyAlignment="1" applyProtection="1">
      <alignment horizontal="center" vertical="top"/>
    </xf>
    <xf numFmtId="0" fontId="4" fillId="4" borderId="4" xfId="54" applyFont="1" applyFill="1" applyBorder="1" applyAlignment="1" applyProtection="1">
      <alignment horizontal="center" vertical="top"/>
    </xf>
    <xf numFmtId="0" fontId="4" fillId="4" borderId="5" xfId="54" applyFont="1" applyFill="1" applyBorder="1" applyAlignment="1" applyProtection="1">
      <alignment horizontal="center" vertical="top"/>
    </xf>
    <xf numFmtId="15" fontId="5" fillId="3" borderId="1" xfId="55" applyNumberFormat="1" applyFont="1" applyFill="1" applyBorder="1" applyAlignment="1" applyProtection="1">
      <alignment horizontal="left" vertical="top"/>
    </xf>
    <xf numFmtId="15" fontId="2" fillId="0" borderId="2" xfId="55" applyNumberFormat="1" applyFont="1" applyFill="1" applyBorder="1" applyAlignment="1" applyProtection="1">
      <alignment horizontal="center" vertical="top"/>
    </xf>
    <xf numFmtId="15" fontId="2" fillId="0" borderId="3" xfId="55" applyNumberFormat="1" applyFont="1" applyFill="1" applyBorder="1" applyAlignment="1" applyProtection="1">
      <alignment horizontal="center" vertical="top"/>
    </xf>
    <xf numFmtId="0" fontId="4" fillId="4" borderId="6" xfId="54" applyFont="1" applyFill="1" applyBorder="1" applyAlignment="1" applyProtection="1">
      <alignment horizontal="center" vertical="top"/>
    </xf>
    <xf numFmtId="0" fontId="4" fillId="4" borderId="0" xfId="54" applyFont="1" applyFill="1" applyBorder="1" applyAlignment="1" applyProtection="1">
      <alignment horizontal="center" vertical="top"/>
    </xf>
    <xf numFmtId="0" fontId="5" fillId="3" borderId="1" xfId="55" applyFont="1" applyFill="1" applyBorder="1" applyAlignment="1" applyProtection="1">
      <alignment horizontal="left" vertical="top"/>
    </xf>
    <xf numFmtId="0" fontId="4" fillId="4" borderId="7" xfId="54" applyFont="1" applyFill="1" applyBorder="1" applyAlignment="1" applyProtection="1">
      <alignment horizontal="center" vertical="top"/>
    </xf>
    <xf numFmtId="0" fontId="4" fillId="4" borderId="8" xfId="54" applyFont="1" applyFill="1" applyBorder="1" applyAlignment="1" applyProtection="1">
      <alignment horizontal="center" vertical="top"/>
    </xf>
    <xf numFmtId="0" fontId="6" fillId="2" borderId="7" xfId="12" applyFont="1" applyFill="1" applyBorder="1" applyAlignment="1" applyProtection="1">
      <alignment horizontal="left" vertical="top"/>
    </xf>
    <xf numFmtId="0" fontId="6" fillId="2" borderId="8" xfId="12" applyFont="1" applyFill="1" applyBorder="1" applyAlignment="1" applyProtection="1">
      <alignment horizontal="left" vertical="top"/>
    </xf>
    <xf numFmtId="0" fontId="6" fillId="2" borderId="0" xfId="12" applyFont="1" applyFill="1" applyBorder="1" applyAlignment="1" applyProtection="1">
      <alignment vertical="top"/>
    </xf>
    <xf numFmtId="0" fontId="7" fillId="2" borderId="0" xfId="0" applyFont="1" applyFill="1" applyBorder="1" applyAlignment="1" applyProtection="1">
      <alignment vertical="top"/>
    </xf>
    <xf numFmtId="3" fontId="8" fillId="5" borderId="9" xfId="0" applyNumberFormat="1" applyFont="1" applyFill="1" applyBorder="1" applyAlignment="1">
      <alignment horizontal="left" vertical="center" wrapText="1"/>
    </xf>
    <xf numFmtId="0" fontId="8" fillId="5" borderId="9" xfId="0" applyFont="1" applyFill="1" applyBorder="1" applyAlignment="1">
      <alignment horizontal="center" vertical="center" wrapText="1"/>
    </xf>
    <xf numFmtId="0" fontId="9" fillId="3" borderId="9"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5" borderId="9" xfId="0" applyFont="1" applyFill="1" applyBorder="1" applyAlignment="1">
      <alignment horizontal="left" vertical="center" wrapText="1"/>
    </xf>
    <xf numFmtId="0" fontId="10" fillId="5" borderId="9" xfId="0" applyFont="1" applyFill="1" applyBorder="1" applyAlignment="1">
      <alignment horizontal="center" vertical="center" wrapText="1"/>
    </xf>
    <xf numFmtId="0" fontId="11" fillId="5" borderId="9" xfId="0" applyFont="1" applyFill="1" applyBorder="1" applyAlignment="1">
      <alignment horizontal="center" vertical="center" wrapText="1"/>
    </xf>
    <xf numFmtId="177" fontId="11" fillId="0" borderId="9" xfId="0" applyNumberFormat="1" applyFont="1" applyFill="1" applyBorder="1" applyAlignment="1">
      <alignment horizontal="left" wrapText="1"/>
    </xf>
    <xf numFmtId="0" fontId="11" fillId="2" borderId="9" xfId="0" applyFont="1" applyFill="1" applyBorder="1" applyAlignment="1">
      <alignment horizontal="left" wrapText="1"/>
    </xf>
    <xf numFmtId="3" fontId="11" fillId="5" borderId="9" xfId="0" applyNumberFormat="1" applyFont="1" applyFill="1" applyBorder="1" applyAlignment="1">
      <alignment horizontal="right" wrapText="1"/>
    </xf>
    <xf numFmtId="3" fontId="11" fillId="2" borderId="9" xfId="0" applyNumberFormat="1" applyFont="1" applyFill="1" applyBorder="1" applyAlignment="1" applyProtection="1">
      <alignment horizontal="right" wrapText="1"/>
      <protection locked="0"/>
    </xf>
    <xf numFmtId="177" fontId="11" fillId="5" borderId="9" xfId="0" applyNumberFormat="1" applyFont="1" applyFill="1" applyBorder="1" applyAlignment="1">
      <alignment horizontal="right" wrapText="1"/>
    </xf>
    <xf numFmtId="177" fontId="10" fillId="5" borderId="9" xfId="0" applyNumberFormat="1" applyFont="1" applyFill="1" applyBorder="1" applyAlignment="1">
      <alignment horizontal="left" vertical="center" wrapText="1"/>
    </xf>
    <xf numFmtId="3" fontId="11" fillId="0" borderId="9" xfId="0" applyNumberFormat="1" applyFont="1" applyFill="1" applyBorder="1" applyAlignment="1">
      <alignment horizontal="left" wrapText="1"/>
    </xf>
    <xf numFmtId="177" fontId="11" fillId="3" borderId="9" xfId="0" applyNumberFormat="1" applyFont="1" applyFill="1" applyBorder="1" applyAlignment="1">
      <alignment horizontal="right" wrapText="1"/>
    </xf>
    <xf numFmtId="3" fontId="11" fillId="3" borderId="9" xfId="0" applyNumberFormat="1" applyFont="1" applyFill="1" applyBorder="1" applyAlignment="1">
      <alignment horizontal="right" wrapText="1"/>
    </xf>
    <xf numFmtId="3" fontId="11" fillId="2" borderId="9" xfId="0" applyNumberFormat="1" applyFont="1" applyFill="1" applyBorder="1" applyAlignment="1">
      <alignment horizontal="left" wrapText="1"/>
    </xf>
    <xf numFmtId="0" fontId="11" fillId="0" borderId="9" xfId="0" applyFont="1" applyFill="1" applyBorder="1" applyAlignment="1">
      <alignment horizontal="left" wrapText="1"/>
    </xf>
    <xf numFmtId="3" fontId="11" fillId="0" borderId="9" xfId="0" applyNumberFormat="1" applyFont="1" applyFill="1" applyBorder="1" applyAlignment="1" applyProtection="1">
      <alignment horizontal="right" wrapText="1"/>
      <protection locked="0"/>
    </xf>
    <xf numFmtId="178" fontId="11" fillId="5" borderId="9" xfId="0" applyNumberFormat="1" applyFont="1" applyFill="1" applyBorder="1" applyAlignment="1">
      <alignment horizontal="right" wrapText="1"/>
    </xf>
    <xf numFmtId="0" fontId="11" fillId="3" borderId="9" xfId="0" applyFont="1" applyFill="1" applyBorder="1" applyAlignment="1" applyProtection="1">
      <alignment horizontal="center" vertical="center" wrapText="1"/>
    </xf>
    <xf numFmtId="0" fontId="11" fillId="3" borderId="9" xfId="0" applyFont="1" applyFill="1" applyBorder="1" applyAlignment="1">
      <alignment horizontal="center" vertical="center" wrapText="1"/>
    </xf>
    <xf numFmtId="0" fontId="11" fillId="3" borderId="9" xfId="0" applyFont="1" applyFill="1" applyBorder="1" applyAlignment="1" applyProtection="1">
      <alignment horizontal="center" wrapText="1"/>
    </xf>
    <xf numFmtId="0" fontId="11" fillId="3" borderId="9" xfId="0" applyFont="1" applyFill="1" applyBorder="1" applyAlignment="1">
      <alignment horizontal="center" wrapText="1"/>
    </xf>
    <xf numFmtId="3" fontId="11" fillId="2" borderId="9" xfId="0" applyNumberFormat="1" applyFont="1" applyFill="1" applyBorder="1" applyAlignment="1">
      <alignment horizontal="left" vertical="center" wrapText="1"/>
    </xf>
    <xf numFmtId="0" fontId="11" fillId="2" borderId="9" xfId="0" applyFont="1" applyFill="1" applyBorder="1" applyAlignment="1">
      <alignment horizontal="left" vertical="center" wrapText="1"/>
    </xf>
    <xf numFmtId="3" fontId="11" fillId="2" borderId="9" xfId="0" applyNumberFormat="1" applyFont="1" applyFill="1" applyBorder="1" applyAlignment="1" applyProtection="1">
      <alignment horizontal="right" vertical="center" wrapText="1"/>
      <protection locked="0"/>
    </xf>
    <xf numFmtId="3" fontId="10" fillId="5" borderId="9" xfId="0" applyNumberFormat="1" applyFont="1" applyFill="1" applyBorder="1" applyAlignment="1">
      <alignment horizontal="left" vertical="center" wrapText="1"/>
    </xf>
    <xf numFmtId="0" fontId="11" fillId="3" borderId="9" xfId="0" applyFont="1" applyFill="1" applyBorder="1" applyAlignment="1">
      <alignment horizontal="left" vertical="center" wrapText="1"/>
    </xf>
    <xf numFmtId="177" fontId="10" fillId="2" borderId="9" xfId="0" applyNumberFormat="1" applyFont="1" applyFill="1" applyBorder="1" applyAlignment="1">
      <alignment horizontal="left" vertical="center" wrapText="1"/>
    </xf>
    <xf numFmtId="0" fontId="10" fillId="2" borderId="9" xfId="0" applyFont="1" applyFill="1" applyBorder="1" applyAlignment="1">
      <alignment horizontal="center" vertical="center" wrapText="1"/>
    </xf>
    <xf numFmtId="3" fontId="11" fillId="3" borderId="9" xfId="0" applyNumberFormat="1" applyFont="1" applyFill="1" applyBorder="1" applyAlignment="1">
      <alignment horizontal="right" vertical="center" wrapText="1"/>
    </xf>
    <xf numFmtId="0" fontId="11" fillId="3" borderId="9" xfId="0" applyFont="1" applyFill="1" applyBorder="1" applyAlignment="1">
      <alignment horizontal="right" wrapText="1"/>
    </xf>
    <xf numFmtId="3" fontId="11" fillId="4" borderId="9" xfId="0" applyNumberFormat="1" applyFont="1" applyFill="1" applyBorder="1" applyAlignment="1">
      <alignment horizontal="left" wrapText="1"/>
    </xf>
    <xf numFmtId="3" fontId="11" fillId="4" borderId="9" xfId="0" applyNumberFormat="1" applyFont="1" applyFill="1" applyBorder="1" applyAlignment="1" applyProtection="1">
      <alignment horizontal="right" wrapText="1"/>
      <protection locked="0"/>
    </xf>
    <xf numFmtId="0" fontId="4" fillId="4" borderId="13" xfId="54" applyFont="1" applyFill="1" applyBorder="1" applyAlignment="1" applyProtection="1">
      <alignment horizontal="center" vertical="top"/>
    </xf>
    <xf numFmtId="0" fontId="4" fillId="4" borderId="14" xfId="54" applyFont="1" applyFill="1" applyBorder="1" applyAlignment="1" applyProtection="1">
      <alignment horizontal="center" vertical="top"/>
    </xf>
    <xf numFmtId="0" fontId="4" fillId="4" borderId="15" xfId="54" applyFont="1" applyFill="1" applyBorder="1" applyAlignment="1" applyProtection="1">
      <alignment horizontal="center" vertical="top"/>
    </xf>
    <xf numFmtId="0" fontId="7" fillId="2" borderId="14" xfId="0" applyFont="1" applyFill="1" applyBorder="1" applyAlignment="1" applyProtection="1">
      <alignment vertical="top"/>
    </xf>
    <xf numFmtId="3" fontId="10" fillId="5" borderId="9" xfId="0" applyNumberFormat="1" applyFont="1" applyFill="1" applyBorder="1" applyAlignment="1">
      <alignment horizontal="right" vertical="center" wrapText="1"/>
    </xf>
    <xf numFmtId="0" fontId="11" fillId="5" borderId="9" xfId="0" applyFont="1" applyFill="1" applyBorder="1" applyAlignment="1">
      <alignment horizontal="right" wrapText="1"/>
    </xf>
    <xf numFmtId="0" fontId="11" fillId="0" borderId="9" xfId="0" applyFont="1" applyFill="1" applyBorder="1" applyAlignment="1" applyProtection="1">
      <alignment horizontal="right" wrapText="1"/>
      <protection locked="0"/>
    </xf>
    <xf numFmtId="0" fontId="11" fillId="4" borderId="9" xfId="0" applyFont="1" applyFill="1" applyBorder="1" applyAlignment="1" applyProtection="1">
      <alignment horizontal="right" wrapText="1"/>
      <protection locked="0"/>
    </xf>
    <xf numFmtId="37" fontId="11" fillId="0" borderId="9" xfId="1" applyNumberFormat="1" applyFont="1" applyFill="1" applyBorder="1" applyAlignment="1" applyProtection="1">
      <alignment horizontal="right" wrapText="1"/>
      <protection locked="0"/>
    </xf>
    <xf numFmtId="4" fontId="11" fillId="3" borderId="9" xfId="0" applyNumberFormat="1" applyFont="1" applyFill="1" applyBorder="1" applyAlignment="1">
      <alignment horizontal="right" wrapText="1"/>
    </xf>
    <xf numFmtId="0" fontId="11" fillId="5" borderId="9" xfId="0" applyFont="1" applyFill="1" applyBorder="1" applyAlignment="1">
      <alignment horizontal="center" wrapText="1"/>
    </xf>
    <xf numFmtId="0" fontId="10" fillId="2" borderId="9" xfId="0" applyFont="1" applyFill="1" applyBorder="1" applyAlignment="1">
      <alignment horizontal="left" vertical="center" wrapText="1"/>
    </xf>
    <xf numFmtId="3" fontId="11" fillId="0" borderId="9" xfId="0" applyNumberFormat="1" applyFont="1" applyFill="1" applyBorder="1" applyAlignment="1">
      <alignment horizontal="left" vertical="center" wrapText="1"/>
    </xf>
    <xf numFmtId="177" fontId="11" fillId="3" borderId="9" xfId="0" applyNumberFormat="1" applyFont="1" applyFill="1" applyBorder="1" applyAlignment="1">
      <alignment horizontal="right" vertical="center" wrapText="1"/>
    </xf>
    <xf numFmtId="0" fontId="11" fillId="2" borderId="16" xfId="0" applyFont="1" applyFill="1" applyBorder="1" applyAlignment="1">
      <alignment horizontal="left" vertical="center" wrapText="1"/>
    </xf>
    <xf numFmtId="0" fontId="12" fillId="6" borderId="1" xfId="0" applyFont="1" applyFill="1" applyBorder="1" applyAlignment="1">
      <alignment horizontal="left"/>
    </xf>
    <xf numFmtId="0" fontId="12" fillId="6" borderId="1" xfId="0" applyFont="1" applyFill="1" applyBorder="1"/>
    <xf numFmtId="0" fontId="10" fillId="3" borderId="17" xfId="0" applyFont="1" applyFill="1" applyBorder="1" applyAlignment="1">
      <alignment horizontal="center" vertical="center" wrapText="1"/>
    </xf>
    <xf numFmtId="0" fontId="11" fillId="5" borderId="12" xfId="0" applyFont="1" applyFill="1" applyBorder="1" applyAlignment="1">
      <alignment horizontal="center" vertical="center" wrapText="1"/>
    </xf>
    <xf numFmtId="3" fontId="11" fillId="5" borderId="1" xfId="0" applyNumberFormat="1" applyFont="1" applyFill="1" applyBorder="1" applyAlignment="1">
      <alignment horizontal="left" wrapText="1"/>
    </xf>
    <xf numFmtId="0" fontId="11" fillId="5" borderId="1" xfId="0" applyFont="1" applyFill="1" applyBorder="1" applyAlignment="1">
      <alignment horizontal="left" wrapText="1"/>
    </xf>
    <xf numFmtId="3" fontId="11" fillId="5" borderId="12" xfId="0" applyNumberFormat="1" applyFont="1" applyFill="1" applyBorder="1" applyAlignment="1">
      <alignment horizontal="right" wrapText="1"/>
    </xf>
    <xf numFmtId="0" fontId="12" fillId="5" borderId="0" xfId="0" applyFont="1" applyFill="1" applyAlignment="1">
      <alignment horizontal="left"/>
    </xf>
    <xf numFmtId="0" fontId="12" fillId="5" borderId="0" xfId="0" applyFont="1" applyFill="1"/>
    <xf numFmtId="0" fontId="11" fillId="5" borderId="9" xfId="0" applyFont="1" applyFill="1" applyBorder="1" applyAlignment="1">
      <alignment horizontal="left" wrapText="1"/>
    </xf>
    <xf numFmtId="37" fontId="11" fillId="3" borderId="9" xfId="1" applyNumberFormat="1" applyFont="1" applyFill="1" applyBorder="1" applyAlignment="1">
      <alignment horizontal="right" wrapText="1"/>
    </xf>
    <xf numFmtId="0" fontId="11" fillId="5" borderId="9" xfId="0" applyFont="1" applyFill="1" applyBorder="1" applyAlignment="1">
      <alignment horizontal="left" vertical="center" wrapText="1"/>
    </xf>
    <xf numFmtId="10" fontId="10" fillId="5" borderId="9" xfId="3" applyNumberFormat="1" applyFont="1" applyFill="1" applyBorder="1" applyAlignment="1">
      <alignment horizontal="right" vertical="center" wrapText="1"/>
    </xf>
    <xf numFmtId="0" fontId="13" fillId="5" borderId="1" xfId="0" applyFont="1" applyFill="1" applyBorder="1" applyAlignment="1">
      <alignment horizontal="center"/>
    </xf>
    <xf numFmtId="10" fontId="13" fillId="5" borderId="1" xfId="0" applyNumberFormat="1" applyFont="1" applyFill="1" applyBorder="1"/>
  </cellXfs>
  <cellStyles count="5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greyed" xfId="49"/>
    <cellStyle name="HeadingTable" xfId="50"/>
    <cellStyle name="highlightExposure" xfId="51"/>
    <cellStyle name="highlightText" xfId="52"/>
    <cellStyle name="inputExposure" xfId="53"/>
    <cellStyle name="Normal 2" xfId="54"/>
    <cellStyle name="Normal 3" xfId="55"/>
    <cellStyle name="Normal 5" xfId="56"/>
    <cellStyle name="showExposure" xfId="57"/>
    <cellStyle name="showParameterS" xfId="58"/>
  </cellStyles>
  <tableStyles count="0" defaultTableStyle="TableStyleMedium2" defaultPivotStyle="PivotStyleLight16"/>
  <colors>
    <mruColors>
      <color rgb="00D0CECE"/>
      <color rgb="00FFFFFF"/>
      <color rgb="00BFBFBF"/>
      <color rgb="00C0C0C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M178"/>
  <sheetViews>
    <sheetView showGridLines="0" tabSelected="1" zoomScale="80" zoomScaleNormal="80" zoomScaleSheetLayoutView="60" workbookViewId="0">
      <selection activeCell="C1" sqref="C1"/>
    </sheetView>
  </sheetViews>
  <sheetFormatPr defaultColWidth="8.72727272727273" defaultRowHeight="15" customHeight="1" zeroHeight="1"/>
  <cols>
    <col min="1" max="1" width="1" customWidth="1"/>
    <col min="2" max="2" width="10.8545454545455" style="1"/>
    <col min="3" max="3" width="81.1363636363636" customWidth="1"/>
    <col min="4" max="13" width="18.2818181818182" customWidth="1"/>
    <col min="14" max="14" width="9.13636363636364" customWidth="1"/>
    <col min="15" max="15" width="11.8545454545455" hidden="1" customWidth="1"/>
    <col min="16" max="16384" width="8.72727272727273" hidden="1" customWidth="1"/>
  </cols>
  <sheetData>
    <row r="1" customHeight="1" spans="4:13">
      <c r="D1" s="2"/>
      <c r="E1" s="2"/>
      <c r="F1" s="2"/>
      <c r="G1" s="2"/>
      <c r="H1" s="2"/>
      <c r="I1" s="2"/>
      <c r="J1" s="2"/>
      <c r="K1" s="2"/>
      <c r="L1" s="2"/>
      <c r="M1" s="2"/>
    </row>
    <row r="2" customHeight="1" spans="2:13">
      <c r="B2" s="3" t="s">
        <v>0</v>
      </c>
      <c r="C2" s="3"/>
      <c r="D2" s="3"/>
      <c r="E2" s="3"/>
      <c r="F2" s="3"/>
      <c r="G2" s="3"/>
      <c r="H2" s="3"/>
      <c r="I2" s="3"/>
      <c r="J2" s="3"/>
      <c r="K2" s="3"/>
      <c r="L2" s="3"/>
      <c r="M2" s="3"/>
    </row>
    <row r="3" customHeight="1" spans="2:13">
      <c r="B3" s="4" t="s">
        <v>1</v>
      </c>
      <c r="C3" s="5" t="s">
        <v>2</v>
      </c>
      <c r="D3" s="6"/>
      <c r="E3" s="7"/>
      <c r="F3" s="8"/>
      <c r="G3" s="8"/>
      <c r="H3" s="8"/>
      <c r="I3" s="8"/>
      <c r="J3" s="8"/>
      <c r="K3" s="8"/>
      <c r="L3" s="8"/>
      <c r="M3" s="60"/>
    </row>
    <row r="4" customHeight="1" spans="2:13">
      <c r="B4" s="9" t="s">
        <v>3</v>
      </c>
      <c r="C4" s="10" t="s">
        <v>4</v>
      </c>
      <c r="D4" s="11"/>
      <c r="E4" s="12"/>
      <c r="F4" s="13"/>
      <c r="G4" s="13"/>
      <c r="H4" s="13"/>
      <c r="I4" s="13"/>
      <c r="J4" s="13"/>
      <c r="K4" s="13"/>
      <c r="L4" s="13"/>
      <c r="M4" s="61"/>
    </row>
    <row r="5" customHeight="1" spans="2:13">
      <c r="B5" s="14" t="s">
        <v>5</v>
      </c>
      <c r="C5" s="10"/>
      <c r="D5" s="11"/>
      <c r="E5" s="15"/>
      <c r="F5" s="16"/>
      <c r="G5" s="16"/>
      <c r="H5" s="16"/>
      <c r="I5" s="16"/>
      <c r="J5" s="16"/>
      <c r="K5" s="16"/>
      <c r="L5" s="16"/>
      <c r="M5" s="62"/>
    </row>
    <row r="6" customHeight="1" spans="2:13">
      <c r="B6" s="17"/>
      <c r="C6" s="18"/>
      <c r="D6" s="17"/>
      <c r="E6" s="19"/>
      <c r="F6" s="19"/>
      <c r="G6" s="19"/>
      <c r="H6" s="20"/>
      <c r="I6" s="20"/>
      <c r="J6" s="20"/>
      <c r="K6" s="20"/>
      <c r="L6" s="20"/>
      <c r="M6" s="63"/>
    </row>
    <row r="7" ht="15.5" spans="2:13">
      <c r="B7" s="21">
        <v>1</v>
      </c>
      <c r="C7" s="22" t="s">
        <v>6</v>
      </c>
      <c r="D7" s="23"/>
      <c r="E7" s="23"/>
      <c r="F7" s="23"/>
      <c r="G7" s="23"/>
      <c r="H7" s="23"/>
      <c r="I7" s="23"/>
      <c r="J7" s="23"/>
      <c r="K7" s="23"/>
      <c r="L7" s="23"/>
      <c r="M7" s="23"/>
    </row>
    <row r="8" ht="14" spans="2:13">
      <c r="B8" s="24" t="s">
        <v>7</v>
      </c>
      <c r="C8" s="25" t="s">
        <v>8</v>
      </c>
      <c r="D8" s="26" t="s">
        <v>9</v>
      </c>
      <c r="E8" s="27"/>
      <c r="F8" s="28"/>
      <c r="G8" s="26" t="s">
        <v>10</v>
      </c>
      <c r="H8" s="27"/>
      <c r="I8" s="28"/>
      <c r="J8" s="26" t="s">
        <v>11</v>
      </c>
      <c r="K8" s="27"/>
      <c r="L8" s="28"/>
      <c r="M8" s="25"/>
    </row>
    <row r="9" ht="28" spans="2:13">
      <c r="B9" s="29">
        <v>1.1</v>
      </c>
      <c r="C9" s="30" t="s">
        <v>12</v>
      </c>
      <c r="D9" s="31" t="s">
        <v>13</v>
      </c>
      <c r="E9" s="31" t="s">
        <v>14</v>
      </c>
      <c r="F9" s="31" t="s">
        <v>15</v>
      </c>
      <c r="G9" s="31" t="s">
        <v>13</v>
      </c>
      <c r="H9" s="31" t="s">
        <v>14</v>
      </c>
      <c r="I9" s="31" t="s">
        <v>15</v>
      </c>
      <c r="J9" s="31" t="s">
        <v>13</v>
      </c>
      <c r="K9" s="31" t="s">
        <v>14</v>
      </c>
      <c r="L9" s="31" t="s">
        <v>15</v>
      </c>
      <c r="M9" s="46" t="s">
        <v>16</v>
      </c>
    </row>
    <row r="10" customHeight="1" spans="2:13">
      <c r="B10" s="32" t="s">
        <v>17</v>
      </c>
      <c r="C10" s="33" t="s">
        <v>18</v>
      </c>
      <c r="D10" s="34"/>
      <c r="E10" s="34"/>
      <c r="F10" s="35">
        <v>0</v>
      </c>
      <c r="G10" s="34"/>
      <c r="H10" s="36"/>
      <c r="I10" s="40">
        <v>1</v>
      </c>
      <c r="J10" s="34"/>
      <c r="K10" s="34"/>
      <c r="L10" s="40">
        <f>F10*I10</f>
        <v>0</v>
      </c>
      <c r="M10" s="40">
        <f>L10</f>
        <v>0</v>
      </c>
    </row>
    <row r="11" customHeight="1" spans="2:13">
      <c r="B11" s="32" t="s">
        <v>19</v>
      </c>
      <c r="C11" s="33" t="s">
        <v>20</v>
      </c>
      <c r="D11" s="34"/>
      <c r="E11" s="34"/>
      <c r="F11" s="35">
        <v>0</v>
      </c>
      <c r="G11" s="34"/>
      <c r="H11" s="36"/>
      <c r="I11" s="40">
        <v>1</v>
      </c>
      <c r="J11" s="34"/>
      <c r="K11" s="34"/>
      <c r="L11" s="40">
        <f>F11*I11</f>
        <v>0</v>
      </c>
      <c r="M11" s="40">
        <f>L11</f>
        <v>0</v>
      </c>
    </row>
    <row r="12" ht="28" spans="2:13">
      <c r="B12" s="37">
        <v>1.2</v>
      </c>
      <c r="C12" s="30" t="s">
        <v>21</v>
      </c>
      <c r="D12" s="31" t="s">
        <v>13</v>
      </c>
      <c r="E12" s="31" t="s">
        <v>14</v>
      </c>
      <c r="F12" s="31" t="s">
        <v>15</v>
      </c>
      <c r="G12" s="31" t="s">
        <v>13</v>
      </c>
      <c r="H12" s="31" t="s">
        <v>14</v>
      </c>
      <c r="I12" s="31" t="s">
        <v>15</v>
      </c>
      <c r="J12" s="31" t="s">
        <v>13</v>
      </c>
      <c r="K12" s="31" t="s">
        <v>14</v>
      </c>
      <c r="L12" s="31" t="s">
        <v>15</v>
      </c>
      <c r="M12" s="46"/>
    </row>
    <row r="13" customHeight="1" spans="2:13">
      <c r="B13" s="38" t="s">
        <v>22</v>
      </c>
      <c r="C13" s="33" t="s">
        <v>23</v>
      </c>
      <c r="D13" s="35">
        <v>0</v>
      </c>
      <c r="E13" s="35">
        <v>0</v>
      </c>
      <c r="F13" s="35">
        <v>0</v>
      </c>
      <c r="G13" s="39">
        <v>0.95</v>
      </c>
      <c r="H13" s="39">
        <v>0.95</v>
      </c>
      <c r="I13" s="40">
        <v>1</v>
      </c>
      <c r="J13" s="40">
        <f t="shared" ref="J13:L15" si="0">D13*G13</f>
        <v>0</v>
      </c>
      <c r="K13" s="40">
        <f t="shared" si="0"/>
        <v>0</v>
      </c>
      <c r="L13" s="40">
        <f t="shared" si="0"/>
        <v>0</v>
      </c>
      <c r="M13" s="40">
        <f>SUM(J13:L13)</f>
        <v>0</v>
      </c>
    </row>
    <row r="14" customHeight="1" spans="2:13">
      <c r="B14" s="38" t="s">
        <v>24</v>
      </c>
      <c r="C14" s="33" t="s">
        <v>25</v>
      </c>
      <c r="D14" s="35">
        <v>0</v>
      </c>
      <c r="E14" s="35">
        <v>0</v>
      </c>
      <c r="F14" s="35">
        <v>0</v>
      </c>
      <c r="G14" s="39">
        <v>0.9</v>
      </c>
      <c r="H14" s="39">
        <v>0.9</v>
      </c>
      <c r="I14" s="40">
        <v>1</v>
      </c>
      <c r="J14" s="40">
        <f t="shared" si="0"/>
        <v>0</v>
      </c>
      <c r="K14" s="40">
        <f t="shared" si="0"/>
        <v>0</v>
      </c>
      <c r="L14" s="40">
        <f t="shared" si="0"/>
        <v>0</v>
      </c>
      <c r="M14" s="40">
        <f>SUM(J14:L14)</f>
        <v>0</v>
      </c>
    </row>
    <row r="15" customHeight="1" spans="2:13">
      <c r="B15" s="38" t="s">
        <v>26</v>
      </c>
      <c r="C15" s="33" t="s">
        <v>27</v>
      </c>
      <c r="D15" s="35">
        <v>0</v>
      </c>
      <c r="E15" s="35">
        <v>0</v>
      </c>
      <c r="F15" s="35">
        <v>0</v>
      </c>
      <c r="G15" s="40">
        <v>0</v>
      </c>
      <c r="H15" s="39">
        <v>0.5</v>
      </c>
      <c r="I15" s="40">
        <v>1</v>
      </c>
      <c r="J15" s="40">
        <f t="shared" si="0"/>
        <v>0</v>
      </c>
      <c r="K15" s="40">
        <f t="shared" si="0"/>
        <v>0</v>
      </c>
      <c r="L15" s="40">
        <f t="shared" si="0"/>
        <v>0</v>
      </c>
      <c r="M15" s="40">
        <f>SUM(J15:L15)</f>
        <v>0</v>
      </c>
    </row>
    <row r="16" ht="28" spans="2:13">
      <c r="B16" s="37">
        <v>1.3</v>
      </c>
      <c r="C16" s="30" t="s">
        <v>28</v>
      </c>
      <c r="D16" s="31" t="s">
        <v>13</v>
      </c>
      <c r="E16" s="31" t="s">
        <v>14</v>
      </c>
      <c r="F16" s="31" t="s">
        <v>15</v>
      </c>
      <c r="G16" s="31" t="s">
        <v>13</v>
      </c>
      <c r="H16" s="31" t="s">
        <v>14</v>
      </c>
      <c r="I16" s="31" t="s">
        <v>15</v>
      </c>
      <c r="J16" s="31" t="s">
        <v>13</v>
      </c>
      <c r="K16" s="31" t="s">
        <v>14</v>
      </c>
      <c r="L16" s="31" t="s">
        <v>15</v>
      </c>
      <c r="M16" s="46"/>
    </row>
    <row r="17" customHeight="1" spans="2:13">
      <c r="B17" s="41" t="s">
        <v>29</v>
      </c>
      <c r="C17" s="33" t="s">
        <v>30</v>
      </c>
      <c r="D17" s="35">
        <v>0</v>
      </c>
      <c r="E17" s="35">
        <v>0</v>
      </c>
      <c r="F17" s="35">
        <v>0</v>
      </c>
      <c r="G17" s="39">
        <v>0.5</v>
      </c>
      <c r="H17" s="39">
        <v>0.5</v>
      </c>
      <c r="I17" s="34">
        <v>1</v>
      </c>
      <c r="J17" s="40">
        <f t="shared" ref="J17:L20" si="1">D17*G17</f>
        <v>0</v>
      </c>
      <c r="K17" s="40">
        <f t="shared" si="1"/>
        <v>0</v>
      </c>
      <c r="L17" s="40">
        <f t="shared" si="1"/>
        <v>0</v>
      </c>
      <c r="M17" s="40">
        <f>SUM(J17:L17)</f>
        <v>0</v>
      </c>
    </row>
    <row r="18" customHeight="1" spans="2:13">
      <c r="B18" s="41" t="s">
        <v>31</v>
      </c>
      <c r="C18" s="33" t="s">
        <v>32</v>
      </c>
      <c r="D18" s="35">
        <v>0</v>
      </c>
      <c r="E18" s="35">
        <v>0</v>
      </c>
      <c r="F18" s="35">
        <v>0</v>
      </c>
      <c r="G18" s="39">
        <v>0.5</v>
      </c>
      <c r="H18" s="39">
        <v>0.5</v>
      </c>
      <c r="I18" s="40">
        <v>1</v>
      </c>
      <c r="J18" s="40">
        <f t="shared" si="1"/>
        <v>0</v>
      </c>
      <c r="K18" s="40">
        <f t="shared" si="1"/>
        <v>0</v>
      </c>
      <c r="L18" s="40">
        <f t="shared" si="1"/>
        <v>0</v>
      </c>
      <c r="M18" s="40">
        <f>SUM(J18:L18)</f>
        <v>0</v>
      </c>
    </row>
    <row r="19" customHeight="1" spans="2:13">
      <c r="B19" s="41" t="s">
        <v>33</v>
      </c>
      <c r="C19" s="33" t="s">
        <v>34</v>
      </c>
      <c r="D19" s="35">
        <v>0</v>
      </c>
      <c r="E19" s="35">
        <v>0</v>
      </c>
      <c r="F19" s="35">
        <v>0</v>
      </c>
      <c r="G19" s="39">
        <v>0.5</v>
      </c>
      <c r="H19" s="39">
        <v>0.5</v>
      </c>
      <c r="I19" s="40">
        <v>1</v>
      </c>
      <c r="J19" s="40">
        <f t="shared" si="1"/>
        <v>0</v>
      </c>
      <c r="K19" s="40">
        <f t="shared" si="1"/>
        <v>0</v>
      </c>
      <c r="L19" s="40">
        <f t="shared" si="1"/>
        <v>0</v>
      </c>
      <c r="M19" s="40">
        <f>SUM(J19:L19)</f>
        <v>0</v>
      </c>
    </row>
    <row r="20" customHeight="1" spans="2:13">
      <c r="B20" s="41" t="s">
        <v>35</v>
      </c>
      <c r="C20" s="33" t="s">
        <v>27</v>
      </c>
      <c r="D20" s="35">
        <v>0</v>
      </c>
      <c r="E20" s="35">
        <v>0</v>
      </c>
      <c r="F20" s="35">
        <v>0</v>
      </c>
      <c r="G20" s="39">
        <v>0.5</v>
      </c>
      <c r="H20" s="39">
        <v>0.5</v>
      </c>
      <c r="I20" s="40">
        <v>1</v>
      </c>
      <c r="J20" s="40">
        <f t="shared" si="1"/>
        <v>0</v>
      </c>
      <c r="K20" s="40">
        <f t="shared" si="1"/>
        <v>0</v>
      </c>
      <c r="L20" s="40">
        <f t="shared" si="1"/>
        <v>0</v>
      </c>
      <c r="M20" s="40">
        <f>SUM(J20:L20)</f>
        <v>0</v>
      </c>
    </row>
    <row r="21" ht="28" spans="2:13">
      <c r="B21" s="37">
        <v>1.4</v>
      </c>
      <c r="C21" s="30" t="s">
        <v>36</v>
      </c>
      <c r="D21" s="31" t="s">
        <v>13</v>
      </c>
      <c r="E21" s="31" t="s">
        <v>14</v>
      </c>
      <c r="F21" s="31" t="s">
        <v>15</v>
      </c>
      <c r="G21" s="31" t="s">
        <v>13</v>
      </c>
      <c r="H21" s="31" t="s">
        <v>14</v>
      </c>
      <c r="I21" s="31" t="s">
        <v>15</v>
      </c>
      <c r="J21" s="31" t="s">
        <v>13</v>
      </c>
      <c r="K21" s="31" t="s">
        <v>14</v>
      </c>
      <c r="L21" s="31" t="s">
        <v>15</v>
      </c>
      <c r="M21" s="46"/>
    </row>
    <row r="22" customHeight="1" spans="2:13">
      <c r="B22" s="41" t="s">
        <v>37</v>
      </c>
      <c r="C22" s="33" t="s">
        <v>30</v>
      </c>
      <c r="D22" s="35">
        <v>0</v>
      </c>
      <c r="E22" s="35">
        <v>0</v>
      </c>
      <c r="F22" s="35">
        <v>0</v>
      </c>
      <c r="G22" s="39">
        <v>0.5</v>
      </c>
      <c r="H22" s="39">
        <v>0.5</v>
      </c>
      <c r="I22" s="40">
        <v>1</v>
      </c>
      <c r="J22" s="40">
        <f t="shared" ref="J22:L25" si="2">D22*G22</f>
        <v>0</v>
      </c>
      <c r="K22" s="40">
        <f t="shared" si="2"/>
        <v>0</v>
      </c>
      <c r="L22" s="40">
        <f t="shared" si="2"/>
        <v>0</v>
      </c>
      <c r="M22" s="40">
        <f>SUM(J22:L22)</f>
        <v>0</v>
      </c>
    </row>
    <row r="23" customHeight="1" spans="2:13">
      <c r="B23" s="41" t="s">
        <v>38</v>
      </c>
      <c r="C23" s="33" t="s">
        <v>39</v>
      </c>
      <c r="D23" s="35">
        <v>0</v>
      </c>
      <c r="E23" s="35">
        <v>0</v>
      </c>
      <c r="F23" s="35">
        <v>0</v>
      </c>
      <c r="G23" s="39">
        <v>0.5</v>
      </c>
      <c r="H23" s="39">
        <v>0.5</v>
      </c>
      <c r="I23" s="40">
        <v>1</v>
      </c>
      <c r="J23" s="40">
        <f t="shared" si="2"/>
        <v>0</v>
      </c>
      <c r="K23" s="40">
        <f t="shared" si="2"/>
        <v>0</v>
      </c>
      <c r="L23" s="40">
        <f t="shared" si="2"/>
        <v>0</v>
      </c>
      <c r="M23" s="40">
        <f>SUM(J23:L23)</f>
        <v>0</v>
      </c>
    </row>
    <row r="24" customHeight="1" spans="2:13">
      <c r="B24" s="41" t="s">
        <v>40</v>
      </c>
      <c r="C24" s="33" t="s">
        <v>34</v>
      </c>
      <c r="D24" s="35">
        <v>0</v>
      </c>
      <c r="E24" s="35">
        <v>0</v>
      </c>
      <c r="F24" s="35">
        <v>0</v>
      </c>
      <c r="G24" s="39">
        <v>0.5</v>
      </c>
      <c r="H24" s="39">
        <v>0.5</v>
      </c>
      <c r="I24" s="40">
        <v>1</v>
      </c>
      <c r="J24" s="40">
        <f t="shared" si="2"/>
        <v>0</v>
      </c>
      <c r="K24" s="40">
        <f t="shared" si="2"/>
        <v>0</v>
      </c>
      <c r="L24" s="40">
        <f t="shared" si="2"/>
        <v>0</v>
      </c>
      <c r="M24" s="40">
        <f>SUM(J24:L24)</f>
        <v>0</v>
      </c>
    </row>
    <row r="25" customHeight="1" spans="2:13">
      <c r="B25" s="41" t="s">
        <v>41</v>
      </c>
      <c r="C25" s="33" t="s">
        <v>27</v>
      </c>
      <c r="D25" s="35">
        <v>0</v>
      </c>
      <c r="E25" s="35">
        <v>0</v>
      </c>
      <c r="F25" s="35">
        <v>0</v>
      </c>
      <c r="G25" s="39">
        <v>0.5</v>
      </c>
      <c r="H25" s="39">
        <v>0.5</v>
      </c>
      <c r="I25" s="40">
        <v>1</v>
      </c>
      <c r="J25" s="40">
        <f t="shared" si="2"/>
        <v>0</v>
      </c>
      <c r="K25" s="40">
        <f t="shared" si="2"/>
        <v>0</v>
      </c>
      <c r="L25" s="40">
        <f t="shared" si="2"/>
        <v>0</v>
      </c>
      <c r="M25" s="40">
        <f>SUM(J25:L25)</f>
        <v>0</v>
      </c>
    </row>
    <row r="26" ht="28" spans="2:13">
      <c r="B26" s="37">
        <v>1.5</v>
      </c>
      <c r="C26" s="30" t="s">
        <v>42</v>
      </c>
      <c r="D26" s="31" t="s">
        <v>13</v>
      </c>
      <c r="E26" s="31" t="s">
        <v>14</v>
      </c>
      <c r="F26" s="31" t="s">
        <v>15</v>
      </c>
      <c r="G26" s="31" t="s">
        <v>13</v>
      </c>
      <c r="H26" s="31" t="s">
        <v>14</v>
      </c>
      <c r="I26" s="31" t="s">
        <v>15</v>
      </c>
      <c r="J26" s="31" t="s">
        <v>13</v>
      </c>
      <c r="K26" s="31" t="s">
        <v>14</v>
      </c>
      <c r="L26" s="31" t="s">
        <v>15</v>
      </c>
      <c r="M26" s="46"/>
    </row>
    <row r="27" customHeight="1" spans="2:13">
      <c r="B27" s="41" t="s">
        <v>43</v>
      </c>
      <c r="C27" s="33" t="s">
        <v>30</v>
      </c>
      <c r="D27" s="35">
        <v>0</v>
      </c>
      <c r="E27" s="35">
        <v>0</v>
      </c>
      <c r="F27" s="35">
        <v>0</v>
      </c>
      <c r="G27" s="39">
        <v>0.5</v>
      </c>
      <c r="H27" s="39">
        <v>0.5</v>
      </c>
      <c r="I27" s="40">
        <v>1</v>
      </c>
      <c r="J27" s="40">
        <f t="shared" ref="J27:L31" si="3">D27*G27</f>
        <v>0</v>
      </c>
      <c r="K27" s="40">
        <f t="shared" si="3"/>
        <v>0</v>
      </c>
      <c r="L27" s="40">
        <f t="shared" si="3"/>
        <v>0</v>
      </c>
      <c r="M27" s="40">
        <f>SUM(J27:L27)</f>
        <v>0</v>
      </c>
    </row>
    <row r="28" customHeight="1" spans="2:13">
      <c r="B28" s="41" t="s">
        <v>44</v>
      </c>
      <c r="C28" s="33" t="s">
        <v>39</v>
      </c>
      <c r="D28" s="35">
        <v>0</v>
      </c>
      <c r="E28" s="35">
        <v>0</v>
      </c>
      <c r="F28" s="35">
        <v>0</v>
      </c>
      <c r="G28" s="40">
        <v>0</v>
      </c>
      <c r="H28" s="39">
        <v>0.5</v>
      </c>
      <c r="I28" s="40">
        <v>1</v>
      </c>
      <c r="J28" s="40">
        <f t="shared" si="3"/>
        <v>0</v>
      </c>
      <c r="K28" s="40">
        <f t="shared" si="3"/>
        <v>0</v>
      </c>
      <c r="L28" s="40">
        <f t="shared" si="3"/>
        <v>0</v>
      </c>
      <c r="M28" s="40">
        <f>SUM(J28:L28)</f>
        <v>0</v>
      </c>
    </row>
    <row r="29" customHeight="1" spans="2:13">
      <c r="B29" s="41" t="s">
        <v>45</v>
      </c>
      <c r="C29" s="33" t="s">
        <v>34</v>
      </c>
      <c r="D29" s="35">
        <v>0</v>
      </c>
      <c r="E29" s="35">
        <v>0</v>
      </c>
      <c r="F29" s="35">
        <v>0</v>
      </c>
      <c r="G29" s="40">
        <v>0</v>
      </c>
      <c r="H29" s="39">
        <v>0.5</v>
      </c>
      <c r="I29" s="40">
        <v>1</v>
      </c>
      <c r="J29" s="40">
        <f t="shared" si="3"/>
        <v>0</v>
      </c>
      <c r="K29" s="40">
        <f t="shared" si="3"/>
        <v>0</v>
      </c>
      <c r="L29" s="40">
        <f t="shared" si="3"/>
        <v>0</v>
      </c>
      <c r="M29" s="40">
        <f>SUM(J29:L29)</f>
        <v>0</v>
      </c>
    </row>
    <row r="30" customHeight="1" spans="2:13">
      <c r="B30" s="41" t="s">
        <v>46</v>
      </c>
      <c r="C30" s="33" t="s">
        <v>27</v>
      </c>
      <c r="D30" s="35">
        <v>0</v>
      </c>
      <c r="E30" s="35">
        <v>0</v>
      </c>
      <c r="F30" s="35">
        <v>0</v>
      </c>
      <c r="G30" s="40">
        <v>0</v>
      </c>
      <c r="H30" s="39">
        <v>0.5</v>
      </c>
      <c r="I30" s="40">
        <v>1</v>
      </c>
      <c r="J30" s="40">
        <f t="shared" si="3"/>
        <v>0</v>
      </c>
      <c r="K30" s="40">
        <f t="shared" si="3"/>
        <v>0</v>
      </c>
      <c r="L30" s="40">
        <f t="shared" si="3"/>
        <v>0</v>
      </c>
      <c r="M30" s="40">
        <f>SUM(J30:L30)</f>
        <v>0</v>
      </c>
    </row>
    <row r="31" customHeight="1" spans="2:13">
      <c r="B31" s="38" t="s">
        <v>47</v>
      </c>
      <c r="C31" s="42" t="s">
        <v>48</v>
      </c>
      <c r="D31" s="43">
        <v>0</v>
      </c>
      <c r="E31" s="43">
        <v>0</v>
      </c>
      <c r="F31" s="43">
        <v>0</v>
      </c>
      <c r="G31" s="44">
        <v>0.5</v>
      </c>
      <c r="H31" s="44">
        <v>0.5</v>
      </c>
      <c r="I31" s="44">
        <v>0.5</v>
      </c>
      <c r="J31" s="34">
        <f t="shared" si="3"/>
        <v>0</v>
      </c>
      <c r="K31" s="34">
        <f t="shared" si="3"/>
        <v>0</v>
      </c>
      <c r="L31" s="34">
        <f t="shared" si="3"/>
        <v>0</v>
      </c>
      <c r="M31" s="34">
        <f>SUM(J31:L31)</f>
        <v>0</v>
      </c>
    </row>
    <row r="32" ht="28" spans="2:13">
      <c r="B32" s="37">
        <v>1.6</v>
      </c>
      <c r="C32" s="30" t="s">
        <v>49</v>
      </c>
      <c r="D32" s="31" t="s">
        <v>13</v>
      </c>
      <c r="E32" s="31" t="s">
        <v>14</v>
      </c>
      <c r="F32" s="31" t="s">
        <v>15</v>
      </c>
      <c r="G32" s="31" t="s">
        <v>13</v>
      </c>
      <c r="H32" s="31" t="s">
        <v>14</v>
      </c>
      <c r="I32" s="31" t="s">
        <v>15</v>
      </c>
      <c r="J32" s="31" t="s">
        <v>13</v>
      </c>
      <c r="K32" s="31" t="s">
        <v>14</v>
      </c>
      <c r="L32" s="31" t="s">
        <v>15</v>
      </c>
      <c r="M32" s="46"/>
    </row>
    <row r="33" customHeight="1" spans="2:13">
      <c r="B33" s="41" t="s">
        <v>50</v>
      </c>
      <c r="C33" s="33" t="s">
        <v>30</v>
      </c>
      <c r="D33" s="35">
        <v>0</v>
      </c>
      <c r="E33" s="35">
        <v>0</v>
      </c>
      <c r="F33" s="35">
        <v>0</v>
      </c>
      <c r="G33" s="39">
        <v>0.5</v>
      </c>
      <c r="H33" s="39">
        <v>0.5</v>
      </c>
      <c r="I33" s="40">
        <v>1</v>
      </c>
      <c r="J33" s="40">
        <f t="shared" ref="J33:L36" si="4">D33*G33</f>
        <v>0</v>
      </c>
      <c r="K33" s="40">
        <f t="shared" si="4"/>
        <v>0</v>
      </c>
      <c r="L33" s="40">
        <f t="shared" si="4"/>
        <v>0</v>
      </c>
      <c r="M33" s="40">
        <f>SUM(J33:L33)</f>
        <v>0</v>
      </c>
    </row>
    <row r="34" customHeight="1" spans="2:13">
      <c r="B34" s="41" t="s">
        <v>51</v>
      </c>
      <c r="C34" s="33" t="s">
        <v>32</v>
      </c>
      <c r="D34" s="43">
        <v>0</v>
      </c>
      <c r="E34" s="43">
        <v>0</v>
      </c>
      <c r="F34" s="35">
        <v>0</v>
      </c>
      <c r="G34" s="40">
        <v>0</v>
      </c>
      <c r="H34" s="39">
        <v>0.5</v>
      </c>
      <c r="I34" s="40">
        <v>1</v>
      </c>
      <c r="J34" s="40">
        <f t="shared" si="4"/>
        <v>0</v>
      </c>
      <c r="K34" s="40">
        <f t="shared" si="4"/>
        <v>0</v>
      </c>
      <c r="L34" s="40">
        <f t="shared" si="4"/>
        <v>0</v>
      </c>
      <c r="M34" s="40">
        <f>SUM(J34:L34)</f>
        <v>0</v>
      </c>
    </row>
    <row r="35" customHeight="1" spans="2:13">
      <c r="B35" s="41" t="s">
        <v>52</v>
      </c>
      <c r="C35" s="33" t="s">
        <v>34</v>
      </c>
      <c r="D35" s="43">
        <v>0</v>
      </c>
      <c r="E35" s="43">
        <v>0</v>
      </c>
      <c r="F35" s="35">
        <v>0</v>
      </c>
      <c r="G35" s="40">
        <v>0</v>
      </c>
      <c r="H35" s="39">
        <v>0.5</v>
      </c>
      <c r="I35" s="40">
        <v>1</v>
      </c>
      <c r="J35" s="40">
        <f t="shared" si="4"/>
        <v>0</v>
      </c>
      <c r="K35" s="40">
        <f t="shared" si="4"/>
        <v>0</v>
      </c>
      <c r="L35" s="40">
        <f t="shared" si="4"/>
        <v>0</v>
      </c>
      <c r="M35" s="40">
        <f>SUM(J35:L35)</f>
        <v>0</v>
      </c>
    </row>
    <row r="36" customHeight="1" spans="2:13">
      <c r="B36" s="41" t="s">
        <v>53</v>
      </c>
      <c r="C36" s="33" t="s">
        <v>27</v>
      </c>
      <c r="D36" s="35">
        <v>0</v>
      </c>
      <c r="E36" s="35">
        <v>0</v>
      </c>
      <c r="F36" s="35">
        <v>0</v>
      </c>
      <c r="G36" s="40">
        <v>0</v>
      </c>
      <c r="H36" s="39">
        <v>0.5</v>
      </c>
      <c r="I36" s="40">
        <v>1</v>
      </c>
      <c r="J36" s="40">
        <f t="shared" si="4"/>
        <v>0</v>
      </c>
      <c r="K36" s="40">
        <f t="shared" si="4"/>
        <v>0</v>
      </c>
      <c r="L36" s="40">
        <f t="shared" si="4"/>
        <v>0</v>
      </c>
      <c r="M36" s="40">
        <f>SUM(J36:L36)</f>
        <v>0</v>
      </c>
    </row>
    <row r="37" ht="14" spans="2:13">
      <c r="B37" s="37">
        <v>1.7</v>
      </c>
      <c r="C37" s="30" t="s">
        <v>54</v>
      </c>
      <c r="D37" s="45"/>
      <c r="E37" s="45"/>
      <c r="F37" s="45"/>
      <c r="G37" s="46"/>
      <c r="H37" s="46"/>
      <c r="I37" s="46"/>
      <c r="J37" s="46"/>
      <c r="K37" s="46"/>
      <c r="L37" s="46"/>
      <c r="M37" s="46"/>
    </row>
    <row r="38" customHeight="1" spans="2:13">
      <c r="B38" s="41" t="s">
        <v>55</v>
      </c>
      <c r="C38" s="33" t="s">
        <v>56</v>
      </c>
      <c r="D38" s="47"/>
      <c r="E38" s="47"/>
      <c r="F38" s="35">
        <v>0</v>
      </c>
      <c r="G38" s="48"/>
      <c r="H38" s="48"/>
      <c r="I38" s="57"/>
      <c r="J38" s="48"/>
      <c r="K38" s="48"/>
      <c r="L38" s="48"/>
      <c r="M38" s="48"/>
    </row>
    <row r="39" customHeight="1" spans="2:13">
      <c r="B39" s="41" t="s">
        <v>57</v>
      </c>
      <c r="C39" s="33" t="s">
        <v>58</v>
      </c>
      <c r="D39" s="47"/>
      <c r="E39" s="47"/>
      <c r="F39" s="35">
        <v>0</v>
      </c>
      <c r="G39" s="48"/>
      <c r="H39" s="48"/>
      <c r="I39" s="48"/>
      <c r="J39" s="48"/>
      <c r="K39" s="48"/>
      <c r="L39" s="48"/>
      <c r="M39" s="48"/>
    </row>
    <row r="40" customHeight="1" spans="2:13">
      <c r="B40" s="41" t="s">
        <v>59</v>
      </c>
      <c r="C40" s="33" t="s">
        <v>60</v>
      </c>
      <c r="D40" s="47"/>
      <c r="E40" s="47"/>
      <c r="F40" s="40">
        <f>F38-F39</f>
        <v>0</v>
      </c>
      <c r="G40" s="48"/>
      <c r="H40" s="48"/>
      <c r="I40" s="40">
        <v>0</v>
      </c>
      <c r="J40" s="48"/>
      <c r="K40" s="48"/>
      <c r="L40" s="40">
        <f>MAX((F40-F149),0)*I40</f>
        <v>0</v>
      </c>
      <c r="M40" s="40">
        <f>L40</f>
        <v>0</v>
      </c>
    </row>
    <row r="41" customHeight="1" spans="2:13">
      <c r="B41" s="49" t="s">
        <v>61</v>
      </c>
      <c r="C41" s="50" t="s">
        <v>62</v>
      </c>
      <c r="D41" s="45"/>
      <c r="E41" s="45"/>
      <c r="F41" s="51">
        <v>0</v>
      </c>
      <c r="G41" s="46"/>
      <c r="H41" s="46"/>
      <c r="I41" s="56">
        <v>0</v>
      </c>
      <c r="J41" s="46"/>
      <c r="K41" s="46"/>
      <c r="L41" s="56">
        <f>F41*I41</f>
        <v>0</v>
      </c>
      <c r="M41" s="56">
        <f>L41</f>
        <v>0</v>
      </c>
    </row>
    <row r="42" customHeight="1" spans="2:13">
      <c r="B42" s="41" t="s">
        <v>63</v>
      </c>
      <c r="C42" s="33" t="s">
        <v>64</v>
      </c>
      <c r="D42" s="47"/>
      <c r="E42" s="47"/>
      <c r="F42" s="35">
        <v>0</v>
      </c>
      <c r="G42" s="48"/>
      <c r="H42" s="48"/>
      <c r="I42" s="40">
        <v>0</v>
      </c>
      <c r="J42" s="48"/>
      <c r="K42" s="48"/>
      <c r="L42" s="40">
        <f>F42*I42</f>
        <v>0</v>
      </c>
      <c r="M42" s="40">
        <f>L42</f>
        <v>0</v>
      </c>
    </row>
    <row r="43" ht="14" spans="2:13">
      <c r="B43" s="37">
        <v>1.8</v>
      </c>
      <c r="C43" s="30" t="s">
        <v>65</v>
      </c>
      <c r="D43" s="45"/>
      <c r="E43" s="45"/>
      <c r="F43" s="46"/>
      <c r="G43" s="46"/>
      <c r="H43" s="46"/>
      <c r="I43" s="46"/>
      <c r="J43" s="46"/>
      <c r="K43" s="46"/>
      <c r="L43" s="46"/>
      <c r="M43" s="46"/>
    </row>
    <row r="44" customHeight="1" spans="2:13">
      <c r="B44" s="41" t="s">
        <v>66</v>
      </c>
      <c r="C44" s="33" t="s">
        <v>67</v>
      </c>
      <c r="D44" s="35">
        <v>0</v>
      </c>
      <c r="E44" s="35">
        <v>0</v>
      </c>
      <c r="F44" s="35">
        <v>0</v>
      </c>
      <c r="G44" s="40">
        <v>0</v>
      </c>
      <c r="H44" s="39">
        <v>0.5</v>
      </c>
      <c r="I44" s="40">
        <v>1</v>
      </c>
      <c r="J44" s="40">
        <f t="shared" ref="J44:L45" si="5">D44*G44</f>
        <v>0</v>
      </c>
      <c r="K44" s="40">
        <f t="shared" si="5"/>
        <v>0</v>
      </c>
      <c r="L44" s="40">
        <f t="shared" si="5"/>
        <v>0</v>
      </c>
      <c r="M44" s="40">
        <f>SUM(J44:L44)</f>
        <v>0</v>
      </c>
    </row>
    <row r="45" customHeight="1" spans="2:13">
      <c r="B45" s="41" t="s">
        <v>68</v>
      </c>
      <c r="C45" s="33" t="s">
        <v>69</v>
      </c>
      <c r="D45" s="35">
        <v>0</v>
      </c>
      <c r="E45" s="35">
        <v>0</v>
      </c>
      <c r="F45" s="35">
        <v>0</v>
      </c>
      <c r="G45" s="40">
        <v>0</v>
      </c>
      <c r="H45" s="39">
        <v>0.5</v>
      </c>
      <c r="I45" s="40">
        <v>1</v>
      </c>
      <c r="J45" s="40">
        <f t="shared" si="5"/>
        <v>0</v>
      </c>
      <c r="K45" s="40">
        <f t="shared" si="5"/>
        <v>0</v>
      </c>
      <c r="L45" s="40">
        <f t="shared" si="5"/>
        <v>0</v>
      </c>
      <c r="M45" s="40">
        <f>SUM(J45:L45)</f>
        <v>0</v>
      </c>
    </row>
    <row r="46" customHeight="1" spans="2:13">
      <c r="B46" s="41" t="s">
        <v>70</v>
      </c>
      <c r="C46" s="33" t="s">
        <v>71</v>
      </c>
      <c r="D46" s="35">
        <v>0</v>
      </c>
      <c r="E46" s="48"/>
      <c r="F46" s="48"/>
      <c r="G46" s="40">
        <v>0</v>
      </c>
      <c r="H46" s="48"/>
      <c r="I46" s="48"/>
      <c r="J46" s="40">
        <f>D46*G46</f>
        <v>0</v>
      </c>
      <c r="K46" s="48"/>
      <c r="L46" s="48"/>
      <c r="M46" s="40">
        <f>J46</f>
        <v>0</v>
      </c>
    </row>
    <row r="47" customHeight="1" spans="2:13">
      <c r="B47" s="41" t="s">
        <v>72</v>
      </c>
      <c r="C47" s="33" t="s">
        <v>73</v>
      </c>
      <c r="D47" s="35">
        <v>0</v>
      </c>
      <c r="E47" s="35">
        <v>0</v>
      </c>
      <c r="F47" s="35">
        <v>0</v>
      </c>
      <c r="G47" s="40">
        <v>0</v>
      </c>
      <c r="H47" s="39">
        <v>0.5</v>
      </c>
      <c r="I47" s="40">
        <v>1</v>
      </c>
      <c r="J47" s="40">
        <f>D47*G47</f>
        <v>0</v>
      </c>
      <c r="K47" s="40">
        <f>E47*H47</f>
        <v>0</v>
      </c>
      <c r="L47" s="40">
        <f>F47*I47</f>
        <v>0</v>
      </c>
      <c r="M47" s="40">
        <f>SUM(J47:L47)</f>
        <v>0</v>
      </c>
    </row>
    <row r="48" ht="14" spans="2:13">
      <c r="B48" s="24"/>
      <c r="C48" s="25"/>
      <c r="D48" s="25"/>
      <c r="E48" s="25"/>
      <c r="F48" s="25"/>
      <c r="G48" s="25"/>
      <c r="H48" s="25"/>
      <c r="I48" s="25"/>
      <c r="J48" s="30" t="s">
        <v>16</v>
      </c>
      <c r="K48" s="24"/>
      <c r="L48" s="24"/>
      <c r="M48" s="64">
        <f>SUM(M10:M47)</f>
        <v>0</v>
      </c>
    </row>
    <row r="49" ht="14" spans="2:13">
      <c r="B49" s="52">
        <v>2</v>
      </c>
      <c r="C49" s="30" t="s">
        <v>74</v>
      </c>
      <c r="D49" s="53"/>
      <c r="E49" s="53"/>
      <c r="F49" s="53"/>
      <c r="G49" s="53"/>
      <c r="H49" s="53"/>
      <c r="I49" s="53"/>
      <c r="J49" s="53"/>
      <c r="K49" s="53"/>
      <c r="L49" s="53"/>
      <c r="M49" s="53"/>
    </row>
    <row r="50" ht="14" spans="2:13">
      <c r="B50" s="54">
        <v>2.1</v>
      </c>
      <c r="C50" s="55" t="s">
        <v>75</v>
      </c>
      <c r="D50" s="50"/>
      <c r="E50" s="50"/>
      <c r="F50" s="50"/>
      <c r="G50" s="50"/>
      <c r="H50" s="50"/>
      <c r="I50" s="50"/>
      <c r="J50" s="50"/>
      <c r="K50" s="50"/>
      <c r="L50" s="50"/>
      <c r="M50" s="50"/>
    </row>
    <row r="51" ht="28" spans="2:13">
      <c r="B51" s="24" t="s">
        <v>7</v>
      </c>
      <c r="C51" s="25" t="s">
        <v>8</v>
      </c>
      <c r="D51" s="26" t="s">
        <v>9</v>
      </c>
      <c r="E51" s="27"/>
      <c r="F51" s="28"/>
      <c r="G51" s="26" t="s">
        <v>76</v>
      </c>
      <c r="H51" s="27"/>
      <c r="I51" s="28"/>
      <c r="J51" s="26" t="s">
        <v>77</v>
      </c>
      <c r="K51" s="27"/>
      <c r="L51" s="28"/>
      <c r="M51" s="25" t="s">
        <v>78</v>
      </c>
    </row>
    <row r="52" ht="28" spans="2:13">
      <c r="B52" s="53"/>
      <c r="C52" s="46"/>
      <c r="D52" s="31" t="s">
        <v>13</v>
      </c>
      <c r="E52" s="31" t="s">
        <v>14</v>
      </c>
      <c r="F52" s="31" t="s">
        <v>15</v>
      </c>
      <c r="G52" s="31" t="s">
        <v>13</v>
      </c>
      <c r="H52" s="31" t="s">
        <v>14</v>
      </c>
      <c r="I52" s="31" t="s">
        <v>15</v>
      </c>
      <c r="J52" s="31" t="s">
        <v>13</v>
      </c>
      <c r="K52" s="31" t="s">
        <v>14</v>
      </c>
      <c r="L52" s="31" t="s">
        <v>15</v>
      </c>
      <c r="M52" s="46" t="s">
        <v>79</v>
      </c>
    </row>
    <row r="53" ht="14" spans="2:13">
      <c r="B53" s="52" t="s">
        <v>80</v>
      </c>
      <c r="C53" s="30" t="s">
        <v>81</v>
      </c>
      <c r="D53" s="51">
        <v>0</v>
      </c>
      <c r="E53" s="46"/>
      <c r="F53" s="46"/>
      <c r="G53" s="56">
        <v>0</v>
      </c>
      <c r="H53" s="46"/>
      <c r="I53" s="46"/>
      <c r="J53" s="56">
        <f>D53*G53</f>
        <v>0</v>
      </c>
      <c r="K53" s="46"/>
      <c r="L53" s="46"/>
      <c r="M53" s="56">
        <f>J53</f>
        <v>0</v>
      </c>
    </row>
    <row r="54" ht="28" spans="2:13">
      <c r="B54" s="52" t="s">
        <v>82</v>
      </c>
      <c r="C54" s="30" t="s">
        <v>83</v>
      </c>
      <c r="D54" s="31" t="s">
        <v>13</v>
      </c>
      <c r="E54" s="31" t="s">
        <v>14</v>
      </c>
      <c r="F54" s="31" t="s">
        <v>15</v>
      </c>
      <c r="G54" s="31" t="s">
        <v>13</v>
      </c>
      <c r="H54" s="31" t="s">
        <v>14</v>
      </c>
      <c r="I54" s="31" t="s">
        <v>15</v>
      </c>
      <c r="J54" s="31" t="s">
        <v>13</v>
      </c>
      <c r="K54" s="31" t="s">
        <v>14</v>
      </c>
      <c r="L54" s="31" t="s">
        <v>15</v>
      </c>
      <c r="M54" s="56"/>
    </row>
    <row r="55" ht="14" spans="2:13">
      <c r="B55" s="41" t="s">
        <v>84</v>
      </c>
      <c r="C55" s="33" t="s">
        <v>85</v>
      </c>
      <c r="D55" s="35">
        <v>0</v>
      </c>
      <c r="E55" s="34"/>
      <c r="F55" s="34"/>
      <c r="G55" s="57">
        <v>0</v>
      </c>
      <c r="H55" s="57"/>
      <c r="I55" s="57"/>
      <c r="J55" s="57">
        <f>D55*G55</f>
        <v>0</v>
      </c>
      <c r="K55" s="57"/>
      <c r="L55" s="57"/>
      <c r="M55" s="56">
        <f>J55</f>
        <v>0</v>
      </c>
    </row>
    <row r="56" ht="14" spans="2:13">
      <c r="B56" s="41" t="s">
        <v>86</v>
      </c>
      <c r="C56" s="33" t="s">
        <v>87</v>
      </c>
      <c r="D56" s="35">
        <v>0</v>
      </c>
      <c r="E56" s="34"/>
      <c r="F56" s="34"/>
      <c r="G56" s="57">
        <v>0</v>
      </c>
      <c r="H56" s="57"/>
      <c r="I56" s="57"/>
      <c r="J56" s="57">
        <f>D56*G56</f>
        <v>0</v>
      </c>
      <c r="K56" s="57"/>
      <c r="L56" s="57"/>
      <c r="M56" s="56">
        <f>J56</f>
        <v>0</v>
      </c>
    </row>
    <row r="57" ht="28" spans="2:13">
      <c r="B57" s="58" t="s">
        <v>88</v>
      </c>
      <c r="C57" s="42" t="s">
        <v>89</v>
      </c>
      <c r="D57" s="59">
        <v>0</v>
      </c>
      <c r="E57" s="59">
        <v>0</v>
      </c>
      <c r="F57" s="59">
        <v>0</v>
      </c>
      <c r="G57" s="34">
        <v>0</v>
      </c>
      <c r="H57" s="36">
        <v>0.5</v>
      </c>
      <c r="I57" s="34">
        <v>1</v>
      </c>
      <c r="J57" s="65">
        <f>D57*G57</f>
        <v>0</v>
      </c>
      <c r="K57" s="65">
        <f t="shared" ref="K57:L59" si="6">E57*H57</f>
        <v>0</v>
      </c>
      <c r="L57" s="65">
        <f t="shared" si="6"/>
        <v>0</v>
      </c>
      <c r="M57" s="65">
        <f>SUM(J57:L57)</f>
        <v>0</v>
      </c>
    </row>
    <row r="58" ht="28" spans="2:13">
      <c r="B58" s="38" t="s">
        <v>90</v>
      </c>
      <c r="C58" s="42" t="s">
        <v>91</v>
      </c>
      <c r="D58" s="35">
        <v>0</v>
      </c>
      <c r="E58" s="43">
        <v>0</v>
      </c>
      <c r="F58" s="43">
        <v>0</v>
      </c>
      <c r="G58" s="34">
        <v>0</v>
      </c>
      <c r="H58" s="36">
        <v>0.5</v>
      </c>
      <c r="I58" s="34">
        <v>1</v>
      </c>
      <c r="J58" s="65">
        <f>D58*G58</f>
        <v>0</v>
      </c>
      <c r="K58" s="65">
        <f t="shared" si="6"/>
        <v>0</v>
      </c>
      <c r="L58" s="65">
        <f t="shared" si="6"/>
        <v>0</v>
      </c>
      <c r="M58" s="65">
        <f>J58+K58+L58</f>
        <v>0</v>
      </c>
    </row>
    <row r="59" ht="28" spans="2:13">
      <c r="B59" s="38" t="s">
        <v>92</v>
      </c>
      <c r="C59" s="42" t="s">
        <v>93</v>
      </c>
      <c r="D59" s="36"/>
      <c r="E59" s="43">
        <v>0</v>
      </c>
      <c r="F59" s="43">
        <v>0</v>
      </c>
      <c r="G59" s="36"/>
      <c r="H59" s="36">
        <v>0.5</v>
      </c>
      <c r="I59" s="34">
        <v>1</v>
      </c>
      <c r="J59" s="65"/>
      <c r="K59" s="65">
        <f t="shared" si="6"/>
        <v>0</v>
      </c>
      <c r="L59" s="65">
        <f t="shared" si="6"/>
        <v>0</v>
      </c>
      <c r="M59" s="65">
        <f>K59+L59</f>
        <v>0</v>
      </c>
    </row>
    <row r="60" ht="28" spans="2:13">
      <c r="B60" s="38" t="s">
        <v>94</v>
      </c>
      <c r="C60" s="42" t="s">
        <v>95</v>
      </c>
      <c r="D60" s="36"/>
      <c r="E60" s="34"/>
      <c r="F60" s="35">
        <v>0</v>
      </c>
      <c r="G60" s="34"/>
      <c r="H60" s="34"/>
      <c r="I60" s="34">
        <v>1</v>
      </c>
      <c r="J60" s="65"/>
      <c r="K60" s="65"/>
      <c r="L60" s="65">
        <f>F60*I60</f>
        <v>0</v>
      </c>
      <c r="M60" s="65">
        <f>L60</f>
        <v>0</v>
      </c>
    </row>
    <row r="61" ht="28" spans="2:13">
      <c r="B61" s="52" t="s">
        <v>96</v>
      </c>
      <c r="C61" s="30" t="s">
        <v>97</v>
      </c>
      <c r="D61" s="31" t="s">
        <v>13</v>
      </c>
      <c r="E61" s="31" t="s">
        <v>14</v>
      </c>
      <c r="F61" s="31" t="s">
        <v>15</v>
      </c>
      <c r="G61" s="46"/>
      <c r="H61" s="46"/>
      <c r="I61" s="46"/>
      <c r="J61" s="46"/>
      <c r="K61" s="46"/>
      <c r="L61" s="46"/>
      <c r="M61" s="46"/>
    </row>
    <row r="62" ht="28" spans="2:13">
      <c r="B62" s="41" t="s">
        <v>98</v>
      </c>
      <c r="C62" s="42" t="s">
        <v>99</v>
      </c>
      <c r="D62" s="35">
        <v>0</v>
      </c>
      <c r="E62" s="35">
        <v>0</v>
      </c>
      <c r="F62" s="35">
        <v>0</v>
      </c>
      <c r="G62" s="39">
        <v>0.05</v>
      </c>
      <c r="H62" s="39">
        <v>0.05</v>
      </c>
      <c r="I62" s="39">
        <v>0.05</v>
      </c>
      <c r="J62" s="40">
        <f t="shared" ref="J62:L65" si="7">D62*G62</f>
        <v>0</v>
      </c>
      <c r="K62" s="40">
        <f t="shared" si="7"/>
        <v>0</v>
      </c>
      <c r="L62" s="40">
        <f t="shared" si="7"/>
        <v>0</v>
      </c>
      <c r="M62" s="40">
        <f>SUM(J62:L62)</f>
        <v>0</v>
      </c>
    </row>
    <row r="63" ht="28" spans="2:13">
      <c r="B63" s="41" t="s">
        <v>100</v>
      </c>
      <c r="C63" s="33" t="s">
        <v>101</v>
      </c>
      <c r="D63" s="35">
        <v>0</v>
      </c>
      <c r="E63" s="36"/>
      <c r="F63" s="36"/>
      <c r="G63" s="39">
        <v>0.05</v>
      </c>
      <c r="H63" s="39"/>
      <c r="I63" s="39"/>
      <c r="J63" s="40">
        <f t="shared" si="7"/>
        <v>0</v>
      </c>
      <c r="K63" s="40"/>
      <c r="L63" s="40"/>
      <c r="M63" s="40">
        <f>J63</f>
        <v>0</v>
      </c>
    </row>
    <row r="64" ht="28" spans="2:13">
      <c r="B64" s="41" t="s">
        <v>102</v>
      </c>
      <c r="C64" s="33" t="s">
        <v>103</v>
      </c>
      <c r="D64" s="34"/>
      <c r="E64" s="35">
        <v>0</v>
      </c>
      <c r="F64" s="34"/>
      <c r="G64" s="39"/>
      <c r="H64" s="39">
        <v>0.5</v>
      </c>
      <c r="I64" s="39"/>
      <c r="J64" s="40"/>
      <c r="K64" s="40">
        <f t="shared" si="7"/>
        <v>0</v>
      </c>
      <c r="L64" s="40"/>
      <c r="M64" s="40">
        <f>K64</f>
        <v>0</v>
      </c>
    </row>
    <row r="65" ht="28" spans="2:13">
      <c r="B65" s="41" t="s">
        <v>104</v>
      </c>
      <c r="C65" s="33" t="s">
        <v>105</v>
      </c>
      <c r="D65" s="36"/>
      <c r="E65" s="36"/>
      <c r="F65" s="35">
        <v>0</v>
      </c>
      <c r="G65" s="40"/>
      <c r="H65" s="40"/>
      <c r="I65" s="40">
        <v>1</v>
      </c>
      <c r="J65" s="40"/>
      <c r="K65" s="40"/>
      <c r="L65" s="40">
        <f t="shared" si="7"/>
        <v>0</v>
      </c>
      <c r="M65" s="40">
        <f>L65</f>
        <v>0</v>
      </c>
    </row>
    <row r="66" ht="14" spans="2:13">
      <c r="B66" s="52" t="s">
        <v>106</v>
      </c>
      <c r="C66" s="30" t="s">
        <v>107</v>
      </c>
      <c r="D66" s="31"/>
      <c r="E66" s="31"/>
      <c r="F66" s="31"/>
      <c r="G66" s="46"/>
      <c r="H66" s="46"/>
      <c r="I66" s="46"/>
      <c r="J66" s="46"/>
      <c r="K66" s="46"/>
      <c r="L66" s="46"/>
      <c r="M66" s="46"/>
    </row>
    <row r="67" ht="28" spans="2:13">
      <c r="B67" s="52" t="s">
        <v>108</v>
      </c>
      <c r="C67" s="30" t="s">
        <v>109</v>
      </c>
      <c r="D67" s="31" t="s">
        <v>13</v>
      </c>
      <c r="E67" s="31" t="s">
        <v>14</v>
      </c>
      <c r="F67" s="31" t="s">
        <v>15</v>
      </c>
      <c r="G67" s="31" t="s">
        <v>13</v>
      </c>
      <c r="H67" s="31" t="s">
        <v>14</v>
      </c>
      <c r="I67" s="31" t="s">
        <v>15</v>
      </c>
      <c r="J67" s="31" t="s">
        <v>13</v>
      </c>
      <c r="K67" s="31" t="s">
        <v>14</v>
      </c>
      <c r="L67" s="31" t="s">
        <v>15</v>
      </c>
      <c r="M67" s="46"/>
    </row>
    <row r="68" ht="14" spans="2:13">
      <c r="B68" s="41" t="s">
        <v>110</v>
      </c>
      <c r="C68" s="33" t="s">
        <v>111</v>
      </c>
      <c r="D68" s="35">
        <v>0</v>
      </c>
      <c r="E68" s="35">
        <v>0</v>
      </c>
      <c r="F68" s="35">
        <v>0</v>
      </c>
      <c r="G68" s="39">
        <v>0.15</v>
      </c>
      <c r="H68" s="39">
        <v>0.15</v>
      </c>
      <c r="I68" s="39">
        <v>0.15</v>
      </c>
      <c r="J68" s="40">
        <f t="shared" ref="J68:L71" si="8">D68*G68</f>
        <v>0</v>
      </c>
      <c r="K68" s="40">
        <f t="shared" si="8"/>
        <v>0</v>
      </c>
      <c r="L68" s="40">
        <f t="shared" si="8"/>
        <v>0</v>
      </c>
      <c r="M68" s="40">
        <f>SUM(J68:L68)</f>
        <v>0</v>
      </c>
    </row>
    <row r="69" ht="28" spans="2:13">
      <c r="B69" s="41" t="s">
        <v>112</v>
      </c>
      <c r="C69" s="33" t="s">
        <v>113</v>
      </c>
      <c r="D69" s="35">
        <v>0</v>
      </c>
      <c r="E69" s="34"/>
      <c r="F69" s="34"/>
      <c r="G69" s="39">
        <v>0.15</v>
      </c>
      <c r="H69" s="39"/>
      <c r="I69" s="39"/>
      <c r="J69" s="40">
        <f t="shared" si="8"/>
        <v>0</v>
      </c>
      <c r="K69" s="40"/>
      <c r="L69" s="40"/>
      <c r="M69" s="40">
        <f>J69</f>
        <v>0</v>
      </c>
    </row>
    <row r="70" ht="28" spans="2:13">
      <c r="B70" s="41" t="s">
        <v>114</v>
      </c>
      <c r="C70" s="33" t="s">
        <v>115</v>
      </c>
      <c r="D70" s="34"/>
      <c r="E70" s="35">
        <v>0</v>
      </c>
      <c r="F70" s="34"/>
      <c r="G70" s="39"/>
      <c r="H70" s="39">
        <v>0.5</v>
      </c>
      <c r="I70" s="39"/>
      <c r="J70" s="40"/>
      <c r="K70" s="40">
        <f t="shared" si="8"/>
        <v>0</v>
      </c>
      <c r="L70" s="40"/>
      <c r="M70" s="40">
        <f>K70</f>
        <v>0</v>
      </c>
    </row>
    <row r="71" ht="28" spans="2:13">
      <c r="B71" s="41" t="s">
        <v>116</v>
      </c>
      <c r="C71" s="33" t="s">
        <v>117</v>
      </c>
      <c r="D71" s="34"/>
      <c r="E71" s="34"/>
      <c r="F71" s="35">
        <v>0</v>
      </c>
      <c r="G71" s="40"/>
      <c r="H71" s="40"/>
      <c r="I71" s="40">
        <v>1</v>
      </c>
      <c r="J71" s="40"/>
      <c r="K71" s="40"/>
      <c r="L71" s="40">
        <f t="shared" si="8"/>
        <v>0</v>
      </c>
      <c r="M71" s="40">
        <f>L71</f>
        <v>0</v>
      </c>
    </row>
    <row r="72" ht="28" spans="2:13">
      <c r="B72" s="52" t="s">
        <v>118</v>
      </c>
      <c r="C72" s="30" t="s">
        <v>119</v>
      </c>
      <c r="D72" s="31" t="s">
        <v>13</v>
      </c>
      <c r="E72" s="31" t="s">
        <v>14</v>
      </c>
      <c r="F72" s="31" t="s">
        <v>15</v>
      </c>
      <c r="G72" s="31" t="s">
        <v>13</v>
      </c>
      <c r="H72" s="31" t="s">
        <v>14</v>
      </c>
      <c r="I72" s="31" t="s">
        <v>15</v>
      </c>
      <c r="J72" s="31" t="s">
        <v>13</v>
      </c>
      <c r="K72" s="31" t="s">
        <v>14</v>
      </c>
      <c r="L72" s="31" t="s">
        <v>15</v>
      </c>
      <c r="M72" s="46"/>
    </row>
    <row r="73" ht="14" spans="2:13">
      <c r="B73" s="41" t="s">
        <v>120</v>
      </c>
      <c r="C73" s="33" t="s">
        <v>111</v>
      </c>
      <c r="D73" s="35">
        <v>0</v>
      </c>
      <c r="E73" s="35">
        <v>0</v>
      </c>
      <c r="F73" s="35">
        <v>0</v>
      </c>
      <c r="G73" s="39">
        <v>0.15</v>
      </c>
      <c r="H73" s="39">
        <v>0.15</v>
      </c>
      <c r="I73" s="39">
        <v>0.15</v>
      </c>
      <c r="J73" s="40">
        <f t="shared" ref="J73:L76" si="9">D73*G73</f>
        <v>0</v>
      </c>
      <c r="K73" s="40">
        <f t="shared" si="9"/>
        <v>0</v>
      </c>
      <c r="L73" s="40">
        <f t="shared" si="9"/>
        <v>0</v>
      </c>
      <c r="M73" s="40">
        <f>SUM(J73:L73)</f>
        <v>0</v>
      </c>
    </row>
    <row r="74" ht="28" spans="2:13">
      <c r="B74" s="41" t="s">
        <v>121</v>
      </c>
      <c r="C74" s="33" t="s">
        <v>113</v>
      </c>
      <c r="D74" s="35">
        <v>0</v>
      </c>
      <c r="E74" s="34"/>
      <c r="F74" s="34"/>
      <c r="G74" s="39">
        <v>0.15</v>
      </c>
      <c r="H74" s="39"/>
      <c r="I74" s="39"/>
      <c r="J74" s="40">
        <f t="shared" si="9"/>
        <v>0</v>
      </c>
      <c r="K74" s="40"/>
      <c r="L74" s="40"/>
      <c r="M74" s="40">
        <f>J74</f>
        <v>0</v>
      </c>
    </row>
    <row r="75" ht="28" spans="2:13">
      <c r="B75" s="41" t="s">
        <v>122</v>
      </c>
      <c r="C75" s="33" t="s">
        <v>115</v>
      </c>
      <c r="D75" s="34"/>
      <c r="E75" s="35">
        <v>0</v>
      </c>
      <c r="F75" s="34"/>
      <c r="G75" s="39"/>
      <c r="H75" s="39">
        <v>0.5</v>
      </c>
      <c r="I75" s="39"/>
      <c r="J75" s="40"/>
      <c r="K75" s="40">
        <f t="shared" si="9"/>
        <v>0</v>
      </c>
      <c r="L75" s="40"/>
      <c r="M75" s="40">
        <f>K75</f>
        <v>0</v>
      </c>
    </row>
    <row r="76" ht="28" spans="2:13">
      <c r="B76" s="41" t="s">
        <v>123</v>
      </c>
      <c r="C76" s="33" t="s">
        <v>117</v>
      </c>
      <c r="D76" s="34"/>
      <c r="E76" s="34"/>
      <c r="F76" s="35">
        <v>0</v>
      </c>
      <c r="G76" s="40"/>
      <c r="H76" s="40"/>
      <c r="I76" s="40">
        <v>1</v>
      </c>
      <c r="J76" s="40"/>
      <c r="K76" s="40"/>
      <c r="L76" s="40">
        <f t="shared" si="9"/>
        <v>0</v>
      </c>
      <c r="M76" s="40">
        <f>L76</f>
        <v>0</v>
      </c>
    </row>
    <row r="77" ht="14" spans="2:13">
      <c r="B77" s="52" t="s">
        <v>124</v>
      </c>
      <c r="C77" s="30" t="s">
        <v>125</v>
      </c>
      <c r="D77" s="31"/>
      <c r="E77" s="31"/>
      <c r="F77" s="31"/>
      <c r="G77" s="46"/>
      <c r="H77" s="46"/>
      <c r="I77" s="46"/>
      <c r="J77" s="46"/>
      <c r="K77" s="46"/>
      <c r="L77" s="46"/>
      <c r="M77" s="46"/>
    </row>
    <row r="78" ht="28" spans="2:13">
      <c r="B78" s="52" t="s">
        <v>126</v>
      </c>
      <c r="C78" s="30" t="s">
        <v>127</v>
      </c>
      <c r="D78" s="31" t="s">
        <v>13</v>
      </c>
      <c r="E78" s="31" t="s">
        <v>14</v>
      </c>
      <c r="F78" s="31" t="s">
        <v>15</v>
      </c>
      <c r="G78" s="31" t="s">
        <v>13</v>
      </c>
      <c r="H78" s="31" t="s">
        <v>14</v>
      </c>
      <c r="I78" s="31" t="s">
        <v>15</v>
      </c>
      <c r="J78" s="31" t="s">
        <v>13</v>
      </c>
      <c r="K78" s="31" t="s">
        <v>14</v>
      </c>
      <c r="L78" s="31" t="s">
        <v>15</v>
      </c>
      <c r="M78" s="46"/>
    </row>
    <row r="79" ht="14" spans="2:13">
      <c r="B79" s="41" t="s">
        <v>128</v>
      </c>
      <c r="C79" s="33" t="s">
        <v>111</v>
      </c>
      <c r="D79" s="35">
        <v>0</v>
      </c>
      <c r="E79" s="35">
        <v>0</v>
      </c>
      <c r="F79" s="35">
        <v>0</v>
      </c>
      <c r="G79" s="39">
        <v>0.5</v>
      </c>
      <c r="H79" s="39">
        <v>0.5</v>
      </c>
      <c r="I79" s="39">
        <v>0.5</v>
      </c>
      <c r="J79" s="40">
        <f t="shared" ref="J79:L82" si="10">D79*G79</f>
        <v>0</v>
      </c>
      <c r="K79" s="40">
        <f t="shared" si="10"/>
        <v>0</v>
      </c>
      <c r="L79" s="40">
        <f t="shared" si="10"/>
        <v>0</v>
      </c>
      <c r="M79" s="40">
        <f>SUM(J79:L79)</f>
        <v>0</v>
      </c>
    </row>
    <row r="80" ht="28" spans="2:13">
      <c r="B80" s="41" t="s">
        <v>129</v>
      </c>
      <c r="C80" s="33" t="s">
        <v>130</v>
      </c>
      <c r="D80" s="35">
        <v>0</v>
      </c>
      <c r="E80" s="34"/>
      <c r="F80" s="34"/>
      <c r="G80" s="39">
        <v>0.5</v>
      </c>
      <c r="H80" s="39"/>
      <c r="I80" s="39"/>
      <c r="J80" s="40">
        <f t="shared" si="10"/>
        <v>0</v>
      </c>
      <c r="K80" s="40"/>
      <c r="L80" s="40"/>
      <c r="M80" s="40">
        <f>J80</f>
        <v>0</v>
      </c>
    </row>
    <row r="81" ht="28" spans="2:13">
      <c r="B81" s="41" t="s">
        <v>131</v>
      </c>
      <c r="C81" s="33" t="s">
        <v>132</v>
      </c>
      <c r="D81" s="34"/>
      <c r="E81" s="35">
        <v>0</v>
      </c>
      <c r="F81" s="34"/>
      <c r="G81" s="39"/>
      <c r="H81" s="39">
        <v>0.5</v>
      </c>
      <c r="I81" s="39"/>
      <c r="J81" s="40"/>
      <c r="K81" s="40">
        <f t="shared" si="10"/>
        <v>0</v>
      </c>
      <c r="L81" s="40"/>
      <c r="M81" s="40">
        <f>K81</f>
        <v>0</v>
      </c>
    </row>
    <row r="82" ht="28" spans="2:13">
      <c r="B82" s="41" t="s">
        <v>133</v>
      </c>
      <c r="C82" s="33" t="s">
        <v>134</v>
      </c>
      <c r="D82" s="34"/>
      <c r="E82" s="34"/>
      <c r="F82" s="35">
        <v>0</v>
      </c>
      <c r="G82" s="40"/>
      <c r="H82" s="40"/>
      <c r="I82" s="40">
        <v>1</v>
      </c>
      <c r="J82" s="40"/>
      <c r="K82" s="40"/>
      <c r="L82" s="40">
        <f t="shared" si="10"/>
        <v>0</v>
      </c>
      <c r="M82" s="40">
        <f>L82</f>
        <v>0</v>
      </c>
    </row>
    <row r="83" ht="14" spans="2:13">
      <c r="B83" s="52" t="s">
        <v>135</v>
      </c>
      <c r="C83" s="30" t="s">
        <v>136</v>
      </c>
      <c r="D83" s="31"/>
      <c r="E83" s="31"/>
      <c r="F83" s="31"/>
      <c r="G83" s="46"/>
      <c r="H83" s="46"/>
      <c r="I83" s="46"/>
      <c r="J83" s="46"/>
      <c r="K83" s="46"/>
      <c r="L83" s="46"/>
      <c r="M83" s="46"/>
    </row>
    <row r="84" ht="14" spans="2:13">
      <c r="B84" s="41" t="s">
        <v>137</v>
      </c>
      <c r="C84" s="33" t="s">
        <v>111</v>
      </c>
      <c r="D84" s="48"/>
      <c r="E84" s="48"/>
      <c r="F84" s="35">
        <v>0</v>
      </c>
      <c r="G84" s="48"/>
      <c r="H84" s="48"/>
      <c r="I84" s="39">
        <v>0.5</v>
      </c>
      <c r="J84" s="48"/>
      <c r="K84" s="48"/>
      <c r="L84" s="40">
        <f>F84*I84</f>
        <v>0</v>
      </c>
      <c r="M84" s="40">
        <f>L84</f>
        <v>0</v>
      </c>
    </row>
    <row r="85" ht="28" spans="2:13">
      <c r="B85" s="41" t="s">
        <v>138</v>
      </c>
      <c r="C85" s="33" t="s">
        <v>130</v>
      </c>
      <c r="D85" s="48"/>
      <c r="E85" s="48"/>
      <c r="F85" s="35">
        <v>0</v>
      </c>
      <c r="G85" s="48"/>
      <c r="H85" s="48"/>
      <c r="I85" s="39">
        <v>0.5</v>
      </c>
      <c r="J85" s="48"/>
      <c r="K85" s="48"/>
      <c r="L85" s="40">
        <f>F85*I85</f>
        <v>0</v>
      </c>
      <c r="M85" s="40">
        <f>L85</f>
        <v>0</v>
      </c>
    </row>
    <row r="86" ht="28" spans="2:13">
      <c r="B86" s="41" t="s">
        <v>139</v>
      </c>
      <c r="C86" s="33" t="s">
        <v>132</v>
      </c>
      <c r="D86" s="48"/>
      <c r="E86" s="48"/>
      <c r="F86" s="35">
        <v>0</v>
      </c>
      <c r="G86" s="48"/>
      <c r="H86" s="48"/>
      <c r="I86" s="39">
        <v>0.5</v>
      </c>
      <c r="J86" s="48"/>
      <c r="K86" s="48"/>
      <c r="L86" s="40">
        <f>F86*I86</f>
        <v>0</v>
      </c>
      <c r="M86" s="40">
        <f>L86</f>
        <v>0</v>
      </c>
    </row>
    <row r="87" ht="28" spans="2:13">
      <c r="B87" s="41" t="s">
        <v>140</v>
      </c>
      <c r="C87" s="33" t="s">
        <v>141</v>
      </c>
      <c r="D87" s="48"/>
      <c r="E87" s="48"/>
      <c r="F87" s="35">
        <v>0</v>
      </c>
      <c r="G87" s="48"/>
      <c r="H87" s="48"/>
      <c r="I87" s="40">
        <v>1</v>
      </c>
      <c r="J87" s="48"/>
      <c r="K87" s="48"/>
      <c r="L87" s="40">
        <f>F87*I87</f>
        <v>0</v>
      </c>
      <c r="M87" s="40">
        <f>L87</f>
        <v>0</v>
      </c>
    </row>
    <row r="88" ht="28" spans="2:13">
      <c r="B88" s="52" t="s">
        <v>142</v>
      </c>
      <c r="C88" s="30" t="s">
        <v>143</v>
      </c>
      <c r="D88" s="31" t="s">
        <v>13</v>
      </c>
      <c r="E88" s="31" t="s">
        <v>14</v>
      </c>
      <c r="F88" s="31"/>
      <c r="G88" s="31" t="s">
        <v>13</v>
      </c>
      <c r="H88" s="31" t="s">
        <v>14</v>
      </c>
      <c r="I88" s="31" t="s">
        <v>15</v>
      </c>
      <c r="J88" s="31" t="s">
        <v>13</v>
      </c>
      <c r="K88" s="31" t="s">
        <v>14</v>
      </c>
      <c r="L88" s="31" t="s">
        <v>15</v>
      </c>
      <c r="M88" s="46"/>
    </row>
    <row r="89" customHeight="1" spans="2:13">
      <c r="B89" s="41" t="s">
        <v>144</v>
      </c>
      <c r="C89" s="33" t="s">
        <v>145</v>
      </c>
      <c r="D89" s="43">
        <v>0</v>
      </c>
      <c r="E89" s="43">
        <v>0</v>
      </c>
      <c r="F89" s="34"/>
      <c r="G89" s="39">
        <v>0.5</v>
      </c>
      <c r="H89" s="39">
        <v>0.5</v>
      </c>
      <c r="I89" s="39"/>
      <c r="J89" s="40">
        <f t="shared" ref="J89:K91" si="11">D89*G89</f>
        <v>0</v>
      </c>
      <c r="K89" s="40">
        <f t="shared" si="11"/>
        <v>0</v>
      </c>
      <c r="L89" s="40"/>
      <c r="M89" s="40">
        <f>J89+K89</f>
        <v>0</v>
      </c>
    </row>
    <row r="90" customHeight="1" spans="2:13">
      <c r="B90" s="41" t="s">
        <v>146</v>
      </c>
      <c r="C90" s="33" t="s">
        <v>147</v>
      </c>
      <c r="D90" s="35">
        <v>0</v>
      </c>
      <c r="E90" s="34"/>
      <c r="F90" s="34"/>
      <c r="G90" s="39">
        <v>0.5</v>
      </c>
      <c r="H90" s="39"/>
      <c r="I90" s="39"/>
      <c r="J90" s="40">
        <f t="shared" si="11"/>
        <v>0</v>
      </c>
      <c r="K90" s="40"/>
      <c r="L90" s="40"/>
      <c r="M90" s="40">
        <f>J90</f>
        <v>0</v>
      </c>
    </row>
    <row r="91" customHeight="1" spans="2:13">
      <c r="B91" s="41" t="s">
        <v>148</v>
      </c>
      <c r="C91" s="33" t="s">
        <v>149</v>
      </c>
      <c r="D91" s="34"/>
      <c r="E91" s="35">
        <v>0</v>
      </c>
      <c r="F91" s="34"/>
      <c r="G91" s="39"/>
      <c r="H91" s="39">
        <v>0.5</v>
      </c>
      <c r="I91" s="39"/>
      <c r="J91" s="40"/>
      <c r="K91" s="40">
        <f t="shared" si="11"/>
        <v>0</v>
      </c>
      <c r="L91" s="40"/>
      <c r="M91" s="40">
        <f>K91</f>
        <v>0</v>
      </c>
    </row>
    <row r="92" ht="28" spans="2:13">
      <c r="B92" s="52" t="s">
        <v>150</v>
      </c>
      <c r="C92" s="30" t="s">
        <v>151</v>
      </c>
      <c r="D92" s="31" t="s">
        <v>13</v>
      </c>
      <c r="E92" s="31" t="s">
        <v>14</v>
      </c>
      <c r="F92" s="31" t="s">
        <v>15</v>
      </c>
      <c r="G92" s="31" t="s">
        <v>13</v>
      </c>
      <c r="H92" s="31" t="s">
        <v>14</v>
      </c>
      <c r="I92" s="31" t="s">
        <v>15</v>
      </c>
      <c r="J92" s="31" t="s">
        <v>13</v>
      </c>
      <c r="K92" s="31" t="s">
        <v>14</v>
      </c>
      <c r="L92" s="31" t="s">
        <v>15</v>
      </c>
      <c r="M92" s="46"/>
    </row>
    <row r="93" customHeight="1" spans="2:13">
      <c r="B93" s="41" t="s">
        <v>152</v>
      </c>
      <c r="C93" s="33" t="s">
        <v>145</v>
      </c>
      <c r="D93" s="35">
        <v>0</v>
      </c>
      <c r="E93" s="35">
        <v>0</v>
      </c>
      <c r="F93" s="35">
        <v>0</v>
      </c>
      <c r="G93" s="39">
        <v>0.1</v>
      </c>
      <c r="H93" s="39">
        <v>0.5</v>
      </c>
      <c r="I93" s="40">
        <v>1</v>
      </c>
      <c r="J93" s="40">
        <f t="shared" ref="J93:L96" si="12">D93*G93</f>
        <v>0</v>
      </c>
      <c r="K93" s="40">
        <f t="shared" si="12"/>
        <v>0</v>
      </c>
      <c r="L93" s="40">
        <f t="shared" si="12"/>
        <v>0</v>
      </c>
      <c r="M93" s="40">
        <f>SUM(J93:L93)</f>
        <v>0</v>
      </c>
    </row>
    <row r="94" customHeight="1" spans="2:13">
      <c r="B94" s="41" t="s">
        <v>153</v>
      </c>
      <c r="C94" s="42" t="s">
        <v>147</v>
      </c>
      <c r="D94" s="35">
        <v>0</v>
      </c>
      <c r="E94" s="43">
        <v>0</v>
      </c>
      <c r="F94" s="43">
        <v>0</v>
      </c>
      <c r="G94" s="39">
        <v>0.1</v>
      </c>
      <c r="H94" s="36">
        <v>0.5</v>
      </c>
      <c r="I94" s="34">
        <v>1</v>
      </c>
      <c r="J94" s="40">
        <f t="shared" si="12"/>
        <v>0</v>
      </c>
      <c r="K94" s="34">
        <f>E94*H94</f>
        <v>0</v>
      </c>
      <c r="L94" s="34">
        <f>F94*I94</f>
        <v>0</v>
      </c>
      <c r="M94" s="34">
        <f>J94+K94+L94</f>
        <v>0</v>
      </c>
    </row>
    <row r="95" customHeight="1" spans="2:13">
      <c r="B95" s="41" t="s">
        <v>154</v>
      </c>
      <c r="C95" s="42" t="s">
        <v>149</v>
      </c>
      <c r="D95" s="34"/>
      <c r="E95" s="43">
        <v>0</v>
      </c>
      <c r="F95" s="43">
        <v>0</v>
      </c>
      <c r="G95" s="39"/>
      <c r="H95" s="36">
        <v>0.5</v>
      </c>
      <c r="I95" s="34">
        <v>1</v>
      </c>
      <c r="J95" s="40"/>
      <c r="K95" s="34">
        <f t="shared" si="12"/>
        <v>0</v>
      </c>
      <c r="L95" s="34">
        <f>F95*I95</f>
        <v>0</v>
      </c>
      <c r="M95" s="34">
        <f>K95+L95</f>
        <v>0</v>
      </c>
    </row>
    <row r="96" customHeight="1" spans="2:13">
      <c r="B96" s="41" t="s">
        <v>155</v>
      </c>
      <c r="C96" s="42" t="s">
        <v>156</v>
      </c>
      <c r="D96" s="34"/>
      <c r="E96" s="34"/>
      <c r="F96" s="35">
        <v>0</v>
      </c>
      <c r="G96" s="40"/>
      <c r="H96" s="40"/>
      <c r="I96" s="40">
        <v>1</v>
      </c>
      <c r="J96" s="40"/>
      <c r="K96" s="40"/>
      <c r="L96" s="40">
        <f t="shared" si="12"/>
        <v>0</v>
      </c>
      <c r="M96" s="40">
        <f>L96</f>
        <v>0</v>
      </c>
    </row>
    <row r="97" ht="28" spans="2:13">
      <c r="B97" s="52" t="s">
        <v>157</v>
      </c>
      <c r="C97" s="30" t="s">
        <v>158</v>
      </c>
      <c r="D97" s="31" t="s">
        <v>13</v>
      </c>
      <c r="E97" s="31" t="s">
        <v>14</v>
      </c>
      <c r="F97" s="31" t="s">
        <v>15</v>
      </c>
      <c r="G97" s="31" t="s">
        <v>13</v>
      </c>
      <c r="H97" s="31" t="s">
        <v>14</v>
      </c>
      <c r="I97" s="31" t="s">
        <v>15</v>
      </c>
      <c r="J97" s="31" t="s">
        <v>13</v>
      </c>
      <c r="K97" s="31" t="s">
        <v>14</v>
      </c>
      <c r="L97" s="31" t="s">
        <v>15</v>
      </c>
      <c r="M97" s="46"/>
    </row>
    <row r="98" customHeight="1" spans="2:13">
      <c r="B98" s="41" t="s">
        <v>159</v>
      </c>
      <c r="C98" s="33" t="s">
        <v>145</v>
      </c>
      <c r="D98" s="35">
        <v>0</v>
      </c>
      <c r="E98" s="35">
        <v>0</v>
      </c>
      <c r="F98" s="35">
        <v>0</v>
      </c>
      <c r="G98" s="39">
        <v>0.15</v>
      </c>
      <c r="H98" s="39">
        <v>0.5</v>
      </c>
      <c r="I98" s="40">
        <v>1</v>
      </c>
      <c r="J98" s="40">
        <f t="shared" ref="J98:L101" si="13">D98*G98</f>
        <v>0</v>
      </c>
      <c r="K98" s="40">
        <f t="shared" si="13"/>
        <v>0</v>
      </c>
      <c r="L98" s="40">
        <f t="shared" si="13"/>
        <v>0</v>
      </c>
      <c r="M98" s="40">
        <f>SUM(J98:L98)</f>
        <v>0</v>
      </c>
    </row>
    <row r="99" customHeight="1" spans="2:13">
      <c r="B99" s="41" t="s">
        <v>160</v>
      </c>
      <c r="C99" s="42" t="s">
        <v>147</v>
      </c>
      <c r="D99" s="35">
        <v>0</v>
      </c>
      <c r="E99" s="43">
        <v>0</v>
      </c>
      <c r="F99" s="43">
        <v>0</v>
      </c>
      <c r="G99" s="39">
        <v>0.15</v>
      </c>
      <c r="H99" s="36">
        <v>0.5</v>
      </c>
      <c r="I99" s="34">
        <v>1</v>
      </c>
      <c r="J99" s="40">
        <f t="shared" si="13"/>
        <v>0</v>
      </c>
      <c r="K99" s="34">
        <f>E99*H99</f>
        <v>0</v>
      </c>
      <c r="L99" s="34">
        <f>F99*I99</f>
        <v>0</v>
      </c>
      <c r="M99" s="34">
        <f>J99+K99+L99</f>
        <v>0</v>
      </c>
    </row>
    <row r="100" customHeight="1" spans="2:13">
      <c r="B100" s="41" t="s">
        <v>161</v>
      </c>
      <c r="C100" s="42" t="s">
        <v>149</v>
      </c>
      <c r="D100" s="34"/>
      <c r="E100" s="43">
        <v>0</v>
      </c>
      <c r="F100" s="43">
        <v>0</v>
      </c>
      <c r="G100" s="39"/>
      <c r="H100" s="36">
        <v>0.5</v>
      </c>
      <c r="I100" s="34">
        <v>1</v>
      </c>
      <c r="J100" s="40"/>
      <c r="K100" s="34">
        <f t="shared" si="13"/>
        <v>0</v>
      </c>
      <c r="L100" s="34">
        <f>F100*I100</f>
        <v>0</v>
      </c>
      <c r="M100" s="34">
        <f>K100+L100</f>
        <v>0</v>
      </c>
    </row>
    <row r="101" customHeight="1" spans="2:13">
      <c r="B101" s="41" t="s">
        <v>162</v>
      </c>
      <c r="C101" s="42" t="s">
        <v>156</v>
      </c>
      <c r="D101" s="34"/>
      <c r="E101" s="34"/>
      <c r="F101" s="35">
        <v>0</v>
      </c>
      <c r="G101" s="40"/>
      <c r="H101" s="40"/>
      <c r="I101" s="40">
        <v>1</v>
      </c>
      <c r="J101" s="40"/>
      <c r="K101" s="40"/>
      <c r="L101" s="40">
        <f t="shared" si="13"/>
        <v>0</v>
      </c>
      <c r="M101" s="40">
        <f>L101</f>
        <v>0</v>
      </c>
    </row>
    <row r="102" ht="28" spans="2:13">
      <c r="B102" s="52" t="s">
        <v>163</v>
      </c>
      <c r="C102" s="30" t="s">
        <v>164</v>
      </c>
      <c r="D102" s="31" t="s">
        <v>13</v>
      </c>
      <c r="E102" s="31" t="s">
        <v>14</v>
      </c>
      <c r="F102" s="31" t="s">
        <v>15</v>
      </c>
      <c r="G102" s="31" t="s">
        <v>13</v>
      </c>
      <c r="H102" s="31" t="s">
        <v>14</v>
      </c>
      <c r="I102" s="31" t="s">
        <v>15</v>
      </c>
      <c r="J102" s="31" t="s">
        <v>13</v>
      </c>
      <c r="K102" s="31" t="s">
        <v>14</v>
      </c>
      <c r="L102" s="31" t="s">
        <v>15</v>
      </c>
      <c r="M102" s="46"/>
    </row>
    <row r="103" customHeight="1" spans="2:13">
      <c r="B103" s="41" t="s">
        <v>165</v>
      </c>
      <c r="C103" s="33" t="s">
        <v>145</v>
      </c>
      <c r="D103" s="35">
        <v>0</v>
      </c>
      <c r="E103" s="35">
        <v>0</v>
      </c>
      <c r="F103" s="35">
        <v>0</v>
      </c>
      <c r="G103" s="39">
        <v>0.5</v>
      </c>
      <c r="H103" s="39">
        <v>0.5</v>
      </c>
      <c r="I103" s="40">
        <v>1</v>
      </c>
      <c r="J103" s="40">
        <f t="shared" ref="J103:L106" si="14">D103*G103</f>
        <v>0</v>
      </c>
      <c r="K103" s="40">
        <f t="shared" si="14"/>
        <v>0</v>
      </c>
      <c r="L103" s="40">
        <f t="shared" si="14"/>
        <v>0</v>
      </c>
      <c r="M103" s="40">
        <f>SUM(J103:L103)</f>
        <v>0</v>
      </c>
    </row>
    <row r="104" customHeight="1" spans="2:13">
      <c r="B104" s="41" t="s">
        <v>166</v>
      </c>
      <c r="C104" s="33" t="s">
        <v>147</v>
      </c>
      <c r="D104" s="35">
        <v>0</v>
      </c>
      <c r="E104" s="43">
        <v>0</v>
      </c>
      <c r="F104" s="43">
        <v>0</v>
      </c>
      <c r="G104" s="39">
        <v>0.5</v>
      </c>
      <c r="H104" s="36">
        <v>0.5</v>
      </c>
      <c r="I104" s="34">
        <v>1</v>
      </c>
      <c r="J104" s="40">
        <f t="shared" si="14"/>
        <v>0</v>
      </c>
      <c r="K104" s="34">
        <f>E104*H104</f>
        <v>0</v>
      </c>
      <c r="L104" s="34">
        <f>F104*I104</f>
        <v>0</v>
      </c>
      <c r="M104" s="34">
        <f>J104+K104+L104</f>
        <v>0</v>
      </c>
    </row>
    <row r="105" customHeight="1" spans="2:13">
      <c r="B105" s="41" t="s">
        <v>167</v>
      </c>
      <c r="C105" s="33" t="s">
        <v>149</v>
      </c>
      <c r="D105" s="34"/>
      <c r="E105" s="43">
        <v>0</v>
      </c>
      <c r="F105" s="43">
        <v>0</v>
      </c>
      <c r="G105" s="39"/>
      <c r="H105" s="36">
        <v>0.5</v>
      </c>
      <c r="I105" s="34">
        <v>1</v>
      </c>
      <c r="J105" s="40"/>
      <c r="K105" s="34">
        <f t="shared" si="14"/>
        <v>0</v>
      </c>
      <c r="L105" s="34">
        <f>F105*I105</f>
        <v>0</v>
      </c>
      <c r="M105" s="34">
        <f>K105+L105</f>
        <v>0</v>
      </c>
    </row>
    <row r="106" customHeight="1" spans="2:13">
      <c r="B106" s="41" t="s">
        <v>168</v>
      </c>
      <c r="C106" s="33" t="s">
        <v>156</v>
      </c>
      <c r="D106" s="34"/>
      <c r="E106" s="34"/>
      <c r="F106" s="35">
        <v>0</v>
      </c>
      <c r="G106" s="40"/>
      <c r="H106" s="40"/>
      <c r="I106" s="40">
        <v>1</v>
      </c>
      <c r="J106" s="40"/>
      <c r="K106" s="40"/>
      <c r="L106" s="40">
        <f t="shared" si="14"/>
        <v>0</v>
      </c>
      <c r="M106" s="40">
        <f>L106</f>
        <v>0</v>
      </c>
    </row>
    <row r="107" ht="14" spans="2:13">
      <c r="B107" s="52" t="s">
        <v>169</v>
      </c>
      <c r="C107" s="30" t="s">
        <v>170</v>
      </c>
      <c r="D107" s="31"/>
      <c r="E107" s="31"/>
      <c r="F107" s="31"/>
      <c r="G107" s="46"/>
      <c r="H107" s="46"/>
      <c r="I107" s="46"/>
      <c r="J107" s="46"/>
      <c r="K107" s="46"/>
      <c r="L107" s="46"/>
      <c r="M107" s="46"/>
    </row>
    <row r="108" ht="28" spans="2:13">
      <c r="B108" s="52" t="s">
        <v>171</v>
      </c>
      <c r="C108" s="30" t="s">
        <v>172</v>
      </c>
      <c r="D108" s="31" t="s">
        <v>13</v>
      </c>
      <c r="E108" s="31" t="s">
        <v>14</v>
      </c>
      <c r="F108" s="31"/>
      <c r="G108" s="31" t="s">
        <v>13</v>
      </c>
      <c r="H108" s="31" t="s">
        <v>14</v>
      </c>
      <c r="I108" s="31" t="s">
        <v>15</v>
      </c>
      <c r="J108" s="31" t="s">
        <v>13</v>
      </c>
      <c r="K108" s="31" t="s">
        <v>14</v>
      </c>
      <c r="L108" s="31" t="s">
        <v>15</v>
      </c>
      <c r="M108" s="46"/>
    </row>
    <row r="109" customHeight="1" spans="2:13">
      <c r="B109" s="41" t="s">
        <v>173</v>
      </c>
      <c r="C109" s="33" t="s">
        <v>145</v>
      </c>
      <c r="D109" s="35">
        <v>0</v>
      </c>
      <c r="E109" s="35">
        <v>0</v>
      </c>
      <c r="F109" s="48"/>
      <c r="G109" s="39">
        <v>0.5</v>
      </c>
      <c r="H109" s="39">
        <v>0.5</v>
      </c>
      <c r="I109" s="48"/>
      <c r="J109" s="40">
        <f t="shared" ref="J109:K111" si="15">D109*G109</f>
        <v>0</v>
      </c>
      <c r="K109" s="40">
        <f t="shared" si="15"/>
        <v>0</v>
      </c>
      <c r="L109" s="48"/>
      <c r="M109" s="40">
        <f>SUM(J109:K109)</f>
        <v>0</v>
      </c>
    </row>
    <row r="110" customHeight="1" spans="2:13">
      <c r="B110" s="41" t="s">
        <v>174</v>
      </c>
      <c r="C110" s="33" t="s">
        <v>147</v>
      </c>
      <c r="D110" s="35">
        <v>0</v>
      </c>
      <c r="E110" s="34"/>
      <c r="F110" s="48"/>
      <c r="G110" s="39">
        <v>0.5</v>
      </c>
      <c r="H110" s="39"/>
      <c r="I110" s="48"/>
      <c r="J110" s="40">
        <f t="shared" si="15"/>
        <v>0</v>
      </c>
      <c r="K110" s="40"/>
      <c r="L110" s="48"/>
      <c r="M110" s="40">
        <f>J110</f>
        <v>0</v>
      </c>
    </row>
    <row r="111" customHeight="1" spans="2:13">
      <c r="B111" s="41" t="s">
        <v>175</v>
      </c>
      <c r="C111" s="33" t="s">
        <v>149</v>
      </c>
      <c r="D111" s="34"/>
      <c r="E111" s="35">
        <v>0</v>
      </c>
      <c r="F111" s="48"/>
      <c r="G111" s="39">
        <v>0.5</v>
      </c>
      <c r="H111" s="39"/>
      <c r="I111" s="48"/>
      <c r="J111" s="40"/>
      <c r="K111" s="40">
        <f t="shared" si="15"/>
        <v>0</v>
      </c>
      <c r="L111" s="48"/>
      <c r="M111" s="40">
        <f>K111</f>
        <v>0</v>
      </c>
    </row>
    <row r="112" ht="28" spans="2:13">
      <c r="B112" s="52" t="s">
        <v>176</v>
      </c>
      <c r="C112" s="30" t="s">
        <v>28</v>
      </c>
      <c r="D112" s="31" t="s">
        <v>13</v>
      </c>
      <c r="E112" s="31" t="s">
        <v>14</v>
      </c>
      <c r="F112" s="31"/>
      <c r="G112" s="31" t="s">
        <v>13</v>
      </c>
      <c r="H112" s="31" t="s">
        <v>14</v>
      </c>
      <c r="I112" s="31" t="s">
        <v>15</v>
      </c>
      <c r="J112" s="31" t="s">
        <v>13</v>
      </c>
      <c r="K112" s="31" t="s">
        <v>14</v>
      </c>
      <c r="L112" s="31" t="s">
        <v>15</v>
      </c>
      <c r="M112" s="46"/>
    </row>
    <row r="113" customHeight="1" spans="2:13">
      <c r="B113" s="41" t="s">
        <v>177</v>
      </c>
      <c r="C113" s="33" t="s">
        <v>145</v>
      </c>
      <c r="D113" s="35">
        <v>0</v>
      </c>
      <c r="E113" s="43">
        <v>0</v>
      </c>
      <c r="F113" s="48"/>
      <c r="G113" s="39">
        <v>0.5</v>
      </c>
      <c r="H113" s="39">
        <v>0.5</v>
      </c>
      <c r="I113" s="48"/>
      <c r="J113" s="40">
        <f t="shared" ref="J113:K115" si="16">D113*G113</f>
        <v>0</v>
      </c>
      <c r="K113" s="40">
        <f t="shared" si="16"/>
        <v>0</v>
      </c>
      <c r="L113" s="48"/>
      <c r="M113" s="40">
        <f>SUM(J113:K113)</f>
        <v>0</v>
      </c>
    </row>
    <row r="114" customHeight="1" spans="2:13">
      <c r="B114" s="41" t="s">
        <v>178</v>
      </c>
      <c r="C114" s="33" t="s">
        <v>147</v>
      </c>
      <c r="D114" s="35">
        <v>0</v>
      </c>
      <c r="E114" s="34"/>
      <c r="F114" s="48"/>
      <c r="G114" s="39">
        <v>0.5</v>
      </c>
      <c r="H114" s="39"/>
      <c r="I114" s="48"/>
      <c r="J114" s="40">
        <f t="shared" si="16"/>
        <v>0</v>
      </c>
      <c r="K114" s="40"/>
      <c r="L114" s="48"/>
      <c r="M114" s="40">
        <f>J114</f>
        <v>0</v>
      </c>
    </row>
    <row r="115" customHeight="1" spans="2:13">
      <c r="B115" s="41" t="s">
        <v>179</v>
      </c>
      <c r="C115" s="33" t="s">
        <v>149</v>
      </c>
      <c r="D115" s="34"/>
      <c r="E115" s="35">
        <v>0</v>
      </c>
      <c r="F115" s="48"/>
      <c r="G115" s="39"/>
      <c r="H115" s="39">
        <v>0.5</v>
      </c>
      <c r="I115" s="48"/>
      <c r="J115" s="40"/>
      <c r="K115" s="40">
        <f t="shared" si="16"/>
        <v>0</v>
      </c>
      <c r="L115" s="48"/>
      <c r="M115" s="40">
        <f>K115</f>
        <v>0</v>
      </c>
    </row>
    <row r="116" ht="28" spans="2:13">
      <c r="B116" s="52" t="s">
        <v>180</v>
      </c>
      <c r="C116" s="30" t="s">
        <v>181</v>
      </c>
      <c r="D116" s="31" t="s">
        <v>13</v>
      </c>
      <c r="E116" s="31" t="s">
        <v>14</v>
      </c>
      <c r="F116" s="46"/>
      <c r="G116" s="31" t="s">
        <v>13</v>
      </c>
      <c r="H116" s="31" t="s">
        <v>14</v>
      </c>
      <c r="I116" s="31" t="s">
        <v>15</v>
      </c>
      <c r="J116" s="31" t="s">
        <v>13</v>
      </c>
      <c r="K116" s="31" t="s">
        <v>14</v>
      </c>
      <c r="L116" s="31" t="s">
        <v>15</v>
      </c>
      <c r="M116" s="46"/>
    </row>
    <row r="117" customHeight="1" spans="2:13">
      <c r="B117" s="41" t="s">
        <v>182</v>
      </c>
      <c r="C117" s="33" t="s">
        <v>145</v>
      </c>
      <c r="D117" s="43">
        <v>0</v>
      </c>
      <c r="E117" s="43">
        <v>0</v>
      </c>
      <c r="F117" s="48"/>
      <c r="G117" s="39">
        <v>0.5</v>
      </c>
      <c r="H117" s="39">
        <v>0.5</v>
      </c>
      <c r="I117" s="48"/>
      <c r="J117" s="40">
        <f t="shared" ref="J117:K119" si="17">D117*G117</f>
        <v>0</v>
      </c>
      <c r="K117" s="40">
        <f t="shared" si="17"/>
        <v>0</v>
      </c>
      <c r="L117" s="48"/>
      <c r="M117" s="40">
        <f>SUM(J117:K117)</f>
        <v>0</v>
      </c>
    </row>
    <row r="118" customHeight="1" spans="2:13">
      <c r="B118" s="41" t="s">
        <v>183</v>
      </c>
      <c r="C118" s="33" t="s">
        <v>147</v>
      </c>
      <c r="D118" s="35">
        <v>0</v>
      </c>
      <c r="E118" s="34"/>
      <c r="F118" s="48"/>
      <c r="G118" s="39">
        <v>0.5</v>
      </c>
      <c r="H118" s="39"/>
      <c r="I118" s="48"/>
      <c r="J118" s="40">
        <f t="shared" si="17"/>
        <v>0</v>
      </c>
      <c r="K118" s="40"/>
      <c r="L118" s="48"/>
      <c r="M118" s="40">
        <f>J118</f>
        <v>0</v>
      </c>
    </row>
    <row r="119" customHeight="1" spans="2:13">
      <c r="B119" s="41" t="s">
        <v>184</v>
      </c>
      <c r="C119" s="33" t="s">
        <v>149</v>
      </c>
      <c r="D119" s="34"/>
      <c r="E119" s="35">
        <v>0</v>
      </c>
      <c r="F119" s="48"/>
      <c r="G119" s="39"/>
      <c r="H119" s="39">
        <v>0.5</v>
      </c>
      <c r="I119" s="48"/>
      <c r="J119" s="40"/>
      <c r="K119" s="40">
        <f t="shared" si="17"/>
        <v>0</v>
      </c>
      <c r="L119" s="48"/>
      <c r="M119" s="40">
        <f>K119</f>
        <v>0</v>
      </c>
    </row>
    <row r="120" ht="14" spans="2:13">
      <c r="B120" s="52" t="s">
        <v>185</v>
      </c>
      <c r="C120" s="30" t="s">
        <v>186</v>
      </c>
      <c r="D120" s="46"/>
      <c r="E120" s="46"/>
      <c r="F120" s="31"/>
      <c r="G120" s="46"/>
      <c r="H120" s="46"/>
      <c r="I120" s="46"/>
      <c r="J120" s="46"/>
      <c r="K120" s="46"/>
      <c r="L120" s="46"/>
      <c r="M120" s="46"/>
    </row>
    <row r="121" ht="28" spans="2:13">
      <c r="B121" s="52" t="s">
        <v>187</v>
      </c>
      <c r="C121" s="30" t="s">
        <v>188</v>
      </c>
      <c r="D121" s="31" t="s">
        <v>13</v>
      </c>
      <c r="E121" s="31" t="s">
        <v>14</v>
      </c>
      <c r="F121" s="31" t="s">
        <v>15</v>
      </c>
      <c r="G121" s="31" t="s">
        <v>13</v>
      </c>
      <c r="H121" s="31" t="s">
        <v>14</v>
      </c>
      <c r="I121" s="31" t="s">
        <v>15</v>
      </c>
      <c r="J121" s="31" t="s">
        <v>13</v>
      </c>
      <c r="K121" s="31" t="s">
        <v>14</v>
      </c>
      <c r="L121" s="31" t="s">
        <v>15</v>
      </c>
      <c r="M121" s="46"/>
    </row>
    <row r="122" customHeight="1" spans="2:13">
      <c r="B122" s="41" t="s">
        <v>189</v>
      </c>
      <c r="C122" s="33" t="s">
        <v>145</v>
      </c>
      <c r="D122" s="48"/>
      <c r="E122" s="48"/>
      <c r="F122" s="35">
        <v>0</v>
      </c>
      <c r="G122" s="48"/>
      <c r="H122" s="48"/>
      <c r="I122" s="39">
        <v>0.65</v>
      </c>
      <c r="J122" s="48"/>
      <c r="K122" s="48"/>
      <c r="L122" s="40">
        <f>F122*I122</f>
        <v>0</v>
      </c>
      <c r="M122" s="40">
        <f>L122</f>
        <v>0</v>
      </c>
    </row>
    <row r="123" customHeight="1" spans="2:13">
      <c r="B123" s="41" t="s">
        <v>190</v>
      </c>
      <c r="C123" s="33" t="s">
        <v>147</v>
      </c>
      <c r="D123" s="66">
        <v>0</v>
      </c>
      <c r="E123" s="48"/>
      <c r="F123" s="34"/>
      <c r="G123" s="48">
        <v>0.65</v>
      </c>
      <c r="H123" s="48"/>
      <c r="I123" s="39"/>
      <c r="J123" s="48">
        <f>D123*G123</f>
        <v>0</v>
      </c>
      <c r="K123" s="48"/>
      <c r="L123" s="40"/>
      <c r="M123" s="40">
        <f>J123</f>
        <v>0</v>
      </c>
    </row>
    <row r="124" customHeight="1" spans="2:13">
      <c r="B124" s="41" t="s">
        <v>191</v>
      </c>
      <c r="C124" s="33" t="s">
        <v>149</v>
      </c>
      <c r="D124" s="48"/>
      <c r="E124" s="67">
        <v>0</v>
      </c>
      <c r="F124" s="34"/>
      <c r="G124" s="48"/>
      <c r="H124" s="48">
        <v>0.65</v>
      </c>
      <c r="I124" s="39"/>
      <c r="J124" s="48"/>
      <c r="K124" s="48">
        <f>E124*H124</f>
        <v>0</v>
      </c>
      <c r="L124" s="40"/>
      <c r="M124" s="40">
        <f>K124</f>
        <v>0</v>
      </c>
    </row>
    <row r="125" customHeight="1" spans="2:13">
      <c r="B125" s="41" t="s">
        <v>192</v>
      </c>
      <c r="C125" s="33" t="s">
        <v>156</v>
      </c>
      <c r="D125" s="48"/>
      <c r="E125" s="48"/>
      <c r="F125" s="35">
        <v>0</v>
      </c>
      <c r="G125" s="48"/>
      <c r="H125" s="48"/>
      <c r="I125" s="40">
        <v>1</v>
      </c>
      <c r="J125" s="48"/>
      <c r="K125" s="48"/>
      <c r="L125" s="40">
        <f>F125*I125</f>
        <v>0</v>
      </c>
      <c r="M125" s="40">
        <f>L125</f>
        <v>0</v>
      </c>
    </row>
    <row r="126" ht="28" spans="2:13">
      <c r="B126" s="52" t="s">
        <v>193</v>
      </c>
      <c r="C126" s="30" t="s">
        <v>194</v>
      </c>
      <c r="D126" s="31" t="s">
        <v>13</v>
      </c>
      <c r="E126" s="31" t="s">
        <v>14</v>
      </c>
      <c r="F126" s="31" t="s">
        <v>15</v>
      </c>
      <c r="G126" s="31" t="s">
        <v>13</v>
      </c>
      <c r="H126" s="31" t="s">
        <v>14</v>
      </c>
      <c r="I126" s="31" t="s">
        <v>15</v>
      </c>
      <c r="J126" s="31" t="s">
        <v>13</v>
      </c>
      <c r="K126" s="31" t="s">
        <v>14</v>
      </c>
      <c r="L126" s="31" t="s">
        <v>15</v>
      </c>
      <c r="M126" s="46"/>
    </row>
    <row r="127" customHeight="1" spans="2:13">
      <c r="B127" s="41" t="s">
        <v>195</v>
      </c>
      <c r="C127" s="33" t="s">
        <v>145</v>
      </c>
      <c r="D127" s="48"/>
      <c r="E127" s="48"/>
      <c r="F127" s="35">
        <v>0</v>
      </c>
      <c r="G127" s="48"/>
      <c r="H127" s="48"/>
      <c r="I127" s="39">
        <v>0.65</v>
      </c>
      <c r="J127" s="48"/>
      <c r="K127" s="48"/>
      <c r="L127" s="40">
        <f>F127*I127</f>
        <v>0</v>
      </c>
      <c r="M127" s="40">
        <f>L127</f>
        <v>0</v>
      </c>
    </row>
    <row r="128" customHeight="1" spans="2:13">
      <c r="B128" s="41" t="s">
        <v>196</v>
      </c>
      <c r="C128" s="33" t="s">
        <v>147</v>
      </c>
      <c r="D128" s="66">
        <v>0</v>
      </c>
      <c r="E128" s="48"/>
      <c r="F128" s="34"/>
      <c r="G128" s="48">
        <v>0.65</v>
      </c>
      <c r="H128" s="48"/>
      <c r="I128" s="39"/>
      <c r="J128" s="48">
        <f>D128*G128</f>
        <v>0</v>
      </c>
      <c r="K128" s="48"/>
      <c r="L128" s="40"/>
      <c r="M128" s="40">
        <f>J128</f>
        <v>0</v>
      </c>
    </row>
    <row r="129" customHeight="1" spans="2:13">
      <c r="B129" s="41" t="s">
        <v>197</v>
      </c>
      <c r="C129" s="33" t="s">
        <v>149</v>
      </c>
      <c r="D129" s="48"/>
      <c r="E129" s="66">
        <v>0</v>
      </c>
      <c r="F129" s="34"/>
      <c r="G129" s="48"/>
      <c r="H129" s="48">
        <v>0.65</v>
      </c>
      <c r="I129" s="39"/>
      <c r="J129" s="48"/>
      <c r="K129" s="48">
        <f>E129*H129</f>
        <v>0</v>
      </c>
      <c r="L129" s="40"/>
      <c r="M129" s="40">
        <f>K129</f>
        <v>0</v>
      </c>
    </row>
    <row r="130" customHeight="1" spans="2:13">
      <c r="B130" s="41" t="s">
        <v>198</v>
      </c>
      <c r="C130" s="33" t="s">
        <v>156</v>
      </c>
      <c r="D130" s="48"/>
      <c r="E130" s="48"/>
      <c r="F130" s="35">
        <v>0</v>
      </c>
      <c r="G130" s="48"/>
      <c r="H130" s="48"/>
      <c r="I130" s="40">
        <v>1</v>
      </c>
      <c r="J130" s="48"/>
      <c r="K130" s="48"/>
      <c r="L130" s="40">
        <f>F130*I130</f>
        <v>0</v>
      </c>
      <c r="M130" s="40">
        <f>L130</f>
        <v>0</v>
      </c>
    </row>
    <row r="131" ht="28" spans="2:13">
      <c r="B131" s="52" t="s">
        <v>199</v>
      </c>
      <c r="C131" s="30" t="s">
        <v>200</v>
      </c>
      <c r="D131" s="31" t="s">
        <v>13</v>
      </c>
      <c r="E131" s="31" t="s">
        <v>14</v>
      </c>
      <c r="F131" s="31" t="s">
        <v>15</v>
      </c>
      <c r="G131" s="31" t="s">
        <v>13</v>
      </c>
      <c r="H131" s="31" t="s">
        <v>14</v>
      </c>
      <c r="I131" s="31" t="s">
        <v>15</v>
      </c>
      <c r="J131" s="31" t="s">
        <v>13</v>
      </c>
      <c r="K131" s="31" t="s">
        <v>14</v>
      </c>
      <c r="L131" s="31" t="s">
        <v>15</v>
      </c>
      <c r="M131" s="46"/>
    </row>
    <row r="132" customHeight="1" spans="2:13">
      <c r="B132" s="41" t="s">
        <v>201</v>
      </c>
      <c r="C132" s="33" t="s">
        <v>145</v>
      </c>
      <c r="D132" s="48"/>
      <c r="E132" s="48"/>
      <c r="F132" s="43">
        <v>0</v>
      </c>
      <c r="G132" s="48"/>
      <c r="H132" s="48"/>
      <c r="I132" s="39">
        <v>0.85</v>
      </c>
      <c r="J132" s="48"/>
      <c r="K132" s="48"/>
      <c r="L132" s="40">
        <f>F132*I132</f>
        <v>0</v>
      </c>
      <c r="M132" s="40">
        <f>L132</f>
        <v>0</v>
      </c>
    </row>
    <row r="133" customHeight="1" spans="2:13">
      <c r="B133" s="41" t="s">
        <v>202</v>
      </c>
      <c r="C133" s="33" t="s">
        <v>147</v>
      </c>
      <c r="D133" s="66">
        <v>0</v>
      </c>
      <c r="E133" s="48"/>
      <c r="F133" s="34"/>
      <c r="G133" s="48">
        <v>0.85</v>
      </c>
      <c r="H133" s="48"/>
      <c r="I133" s="39"/>
      <c r="J133" s="48">
        <f>D133*G133</f>
        <v>0</v>
      </c>
      <c r="K133" s="48"/>
      <c r="L133" s="40"/>
      <c r="M133" s="40">
        <f>J133</f>
        <v>0</v>
      </c>
    </row>
    <row r="134" customHeight="1" spans="2:13">
      <c r="B134" s="41" t="s">
        <v>203</v>
      </c>
      <c r="C134" s="33" t="s">
        <v>149</v>
      </c>
      <c r="D134" s="48"/>
      <c r="E134" s="66">
        <v>0</v>
      </c>
      <c r="F134" s="34"/>
      <c r="G134" s="48"/>
      <c r="H134" s="48">
        <v>0.85</v>
      </c>
      <c r="I134" s="39"/>
      <c r="J134" s="48"/>
      <c r="K134" s="48">
        <f>E134*H134</f>
        <v>0</v>
      </c>
      <c r="L134" s="40"/>
      <c r="M134" s="40">
        <f>K134</f>
        <v>0</v>
      </c>
    </row>
    <row r="135" customHeight="1" spans="2:13">
      <c r="B135" s="41" t="s">
        <v>204</v>
      </c>
      <c r="C135" s="33" t="s">
        <v>156</v>
      </c>
      <c r="D135" s="48"/>
      <c r="E135" s="48"/>
      <c r="F135" s="43">
        <v>0</v>
      </c>
      <c r="G135" s="48"/>
      <c r="H135" s="48"/>
      <c r="I135" s="40">
        <v>1</v>
      </c>
      <c r="J135" s="48"/>
      <c r="K135" s="48"/>
      <c r="L135" s="40">
        <f>F135*I135</f>
        <v>0</v>
      </c>
      <c r="M135" s="40">
        <f>L135</f>
        <v>0</v>
      </c>
    </row>
    <row r="136" ht="28" spans="2:13">
      <c r="B136" s="52" t="s">
        <v>205</v>
      </c>
      <c r="C136" s="30" t="s">
        <v>206</v>
      </c>
      <c r="D136" s="31"/>
      <c r="E136" s="31"/>
      <c r="F136" s="31" t="s">
        <v>15</v>
      </c>
      <c r="G136" s="31" t="s">
        <v>13</v>
      </c>
      <c r="H136" s="31" t="s">
        <v>14</v>
      </c>
      <c r="I136" s="31" t="s">
        <v>15</v>
      </c>
      <c r="J136" s="31" t="s">
        <v>13</v>
      </c>
      <c r="K136" s="31" t="s">
        <v>14</v>
      </c>
      <c r="L136" s="31" t="s">
        <v>15</v>
      </c>
      <c r="M136" s="30"/>
    </row>
    <row r="137" customHeight="1" spans="2:13">
      <c r="B137" s="41" t="s">
        <v>207</v>
      </c>
      <c r="C137" s="33" t="s">
        <v>145</v>
      </c>
      <c r="D137" s="34"/>
      <c r="E137" s="34"/>
      <c r="F137" s="68">
        <v>0</v>
      </c>
      <c r="G137" s="39"/>
      <c r="H137" s="39"/>
      <c r="I137" s="57">
        <v>0.85</v>
      </c>
      <c r="J137" s="40"/>
      <c r="K137" s="40"/>
      <c r="L137" s="85">
        <f>F137*I137</f>
        <v>0</v>
      </c>
      <c r="M137" s="40">
        <f>L137</f>
        <v>0</v>
      </c>
    </row>
    <row r="138" customHeight="1" spans="2:13">
      <c r="B138" s="38" t="s">
        <v>208</v>
      </c>
      <c r="C138" s="42" t="s">
        <v>147</v>
      </c>
      <c r="D138" s="35">
        <v>0</v>
      </c>
      <c r="E138" s="34"/>
      <c r="F138" s="48"/>
      <c r="G138" s="69">
        <v>0.85</v>
      </c>
      <c r="H138" s="40"/>
      <c r="I138" s="48"/>
      <c r="J138" s="40">
        <f>D138*G138</f>
        <v>0</v>
      </c>
      <c r="K138" s="40"/>
      <c r="L138" s="48"/>
      <c r="M138" s="40">
        <f>J138</f>
        <v>0</v>
      </c>
    </row>
    <row r="139" customHeight="1" spans="2:13">
      <c r="B139" s="38" t="s">
        <v>209</v>
      </c>
      <c r="C139" s="42" t="s">
        <v>149</v>
      </c>
      <c r="D139" s="34"/>
      <c r="E139" s="35">
        <v>0</v>
      </c>
      <c r="F139" s="48"/>
      <c r="G139" s="40"/>
      <c r="H139" s="69">
        <v>0.85</v>
      </c>
      <c r="I139" s="48"/>
      <c r="J139" s="40"/>
      <c r="K139" s="40">
        <f>E139*H139</f>
        <v>0</v>
      </c>
      <c r="L139" s="48"/>
      <c r="M139" s="40">
        <f>K139</f>
        <v>0</v>
      </c>
    </row>
    <row r="140" customHeight="1" spans="2:13">
      <c r="B140" s="41" t="s">
        <v>210</v>
      </c>
      <c r="C140" s="33" t="s">
        <v>156</v>
      </c>
      <c r="D140" s="34"/>
      <c r="E140" s="34"/>
      <c r="F140" s="66">
        <v>0</v>
      </c>
      <c r="G140" s="40"/>
      <c r="H140" s="40"/>
      <c r="I140" s="57">
        <v>1</v>
      </c>
      <c r="J140" s="40"/>
      <c r="K140" s="40"/>
      <c r="L140" s="57">
        <f>F140*I140</f>
        <v>0</v>
      </c>
      <c r="M140" s="40">
        <f>L140</f>
        <v>0</v>
      </c>
    </row>
    <row r="141" ht="28" spans="2:13">
      <c r="B141" s="52" t="s">
        <v>211</v>
      </c>
      <c r="C141" s="30" t="s">
        <v>212</v>
      </c>
      <c r="D141" s="31" t="s">
        <v>13</v>
      </c>
      <c r="E141" s="31" t="s">
        <v>14</v>
      </c>
      <c r="F141" s="31" t="s">
        <v>15</v>
      </c>
      <c r="G141" s="31" t="s">
        <v>13</v>
      </c>
      <c r="H141" s="31" t="s">
        <v>14</v>
      </c>
      <c r="I141" s="31" t="s">
        <v>15</v>
      </c>
      <c r="J141" s="31" t="s">
        <v>13</v>
      </c>
      <c r="K141" s="31" t="s">
        <v>14</v>
      </c>
      <c r="L141" s="31" t="s">
        <v>15</v>
      </c>
      <c r="M141" s="46"/>
    </row>
    <row r="142" customHeight="1" spans="2:13">
      <c r="B142" s="41" t="s">
        <v>213</v>
      </c>
      <c r="C142" s="33" t="s">
        <v>145</v>
      </c>
      <c r="D142" s="48"/>
      <c r="E142" s="48"/>
      <c r="F142" s="35">
        <v>0</v>
      </c>
      <c r="G142" s="48"/>
      <c r="H142" s="48"/>
      <c r="I142" s="39">
        <v>0.85</v>
      </c>
      <c r="J142" s="48"/>
      <c r="K142" s="48"/>
      <c r="L142" s="40">
        <f>F142*I142</f>
        <v>0</v>
      </c>
      <c r="M142" s="40">
        <f>L142</f>
        <v>0</v>
      </c>
    </row>
    <row r="143" customHeight="1" spans="2:13">
      <c r="B143" s="41" t="s">
        <v>214</v>
      </c>
      <c r="C143" s="33" t="s">
        <v>147</v>
      </c>
      <c r="D143" s="66">
        <v>0</v>
      </c>
      <c r="E143" s="70"/>
      <c r="F143" s="34"/>
      <c r="G143" s="57">
        <v>0.85</v>
      </c>
      <c r="H143" s="48"/>
      <c r="I143" s="39"/>
      <c r="J143" s="57">
        <f>D143*G143</f>
        <v>0</v>
      </c>
      <c r="K143" s="48"/>
      <c r="L143" s="40"/>
      <c r="M143" s="40">
        <f>J143</f>
        <v>0</v>
      </c>
    </row>
    <row r="144" customHeight="1" spans="2:13">
      <c r="B144" s="41" t="s">
        <v>215</v>
      </c>
      <c r="C144" s="33" t="s">
        <v>149</v>
      </c>
      <c r="D144" s="48"/>
      <c r="E144" s="66">
        <v>0</v>
      </c>
      <c r="F144" s="34"/>
      <c r="G144" s="48"/>
      <c r="H144" s="57">
        <v>0.85</v>
      </c>
      <c r="I144" s="39"/>
      <c r="J144" s="48"/>
      <c r="K144" s="57">
        <f>E144*H144</f>
        <v>0</v>
      </c>
      <c r="L144" s="40"/>
      <c r="M144" s="40">
        <f>K144</f>
        <v>0</v>
      </c>
    </row>
    <row r="145" customHeight="1" spans="2:13">
      <c r="B145" s="41" t="s">
        <v>216</v>
      </c>
      <c r="C145" s="33" t="s">
        <v>156</v>
      </c>
      <c r="D145" s="48"/>
      <c r="E145" s="48"/>
      <c r="F145" s="35">
        <v>0</v>
      </c>
      <c r="G145" s="48"/>
      <c r="H145" s="48"/>
      <c r="I145" s="40">
        <v>1</v>
      </c>
      <c r="J145" s="48"/>
      <c r="K145" s="48"/>
      <c r="L145" s="40">
        <f>F145*I145</f>
        <v>0</v>
      </c>
      <c r="M145" s="40">
        <f>L145</f>
        <v>0</v>
      </c>
    </row>
    <row r="146" ht="14" spans="2:13">
      <c r="B146" s="52" t="s">
        <v>217</v>
      </c>
      <c r="C146" s="30" t="s">
        <v>54</v>
      </c>
      <c r="D146" s="46"/>
      <c r="E146" s="46"/>
      <c r="F146" s="46"/>
      <c r="G146" s="46"/>
      <c r="H146" s="46"/>
      <c r="I146" s="46"/>
      <c r="J146" s="46"/>
      <c r="K146" s="46"/>
      <c r="L146" s="46"/>
      <c r="M146" s="46"/>
    </row>
    <row r="147" customHeight="1" spans="2:13">
      <c r="B147" s="41" t="s">
        <v>218</v>
      </c>
      <c r="C147" s="33" t="s">
        <v>219</v>
      </c>
      <c r="D147" s="48"/>
      <c r="E147" s="48"/>
      <c r="F147" s="35">
        <v>0</v>
      </c>
      <c r="G147" s="48"/>
      <c r="H147" s="48"/>
      <c r="I147" s="48"/>
      <c r="J147" s="48"/>
      <c r="K147" s="48"/>
      <c r="L147" s="48"/>
      <c r="M147" s="48"/>
    </row>
    <row r="148" customHeight="1" spans="2:13">
      <c r="B148" s="41" t="s">
        <v>220</v>
      </c>
      <c r="C148" s="33" t="s">
        <v>221</v>
      </c>
      <c r="D148" s="48"/>
      <c r="E148" s="48"/>
      <c r="F148" s="35">
        <v>0</v>
      </c>
      <c r="G148" s="48"/>
      <c r="H148" s="48"/>
      <c r="I148" s="48"/>
      <c r="J148" s="48"/>
      <c r="K148" s="48"/>
      <c r="L148" s="48"/>
      <c r="M148" s="48"/>
    </row>
    <row r="149" customHeight="1" spans="2:13">
      <c r="B149" s="41" t="s">
        <v>222</v>
      </c>
      <c r="C149" s="33" t="s">
        <v>223</v>
      </c>
      <c r="D149" s="48"/>
      <c r="E149" s="48"/>
      <c r="F149" s="40">
        <f>F147-F148</f>
        <v>0</v>
      </c>
      <c r="G149" s="48"/>
      <c r="H149" s="48"/>
      <c r="I149" s="40">
        <v>1</v>
      </c>
      <c r="J149" s="48"/>
      <c r="K149" s="48"/>
      <c r="L149" s="40">
        <f>MAX((F149-F40),0)*I149</f>
        <v>0</v>
      </c>
      <c r="M149" s="40">
        <f>L149</f>
        <v>0</v>
      </c>
    </row>
    <row r="150" customHeight="1" spans="2:13">
      <c r="B150" s="41" t="s">
        <v>224</v>
      </c>
      <c r="C150" s="33" t="s">
        <v>225</v>
      </c>
      <c r="D150" s="48"/>
      <c r="E150" s="48"/>
      <c r="F150" s="40">
        <f>F38*0.2</f>
        <v>0</v>
      </c>
      <c r="G150" s="48"/>
      <c r="H150" s="48"/>
      <c r="I150" s="40">
        <v>1</v>
      </c>
      <c r="J150" s="48"/>
      <c r="K150" s="48"/>
      <c r="L150" s="40">
        <f>F150*I150</f>
        <v>0</v>
      </c>
      <c r="M150" s="40">
        <f>L150</f>
        <v>0</v>
      </c>
    </row>
    <row r="151" customHeight="1" spans="2:13">
      <c r="B151" s="41" t="s">
        <v>226</v>
      </c>
      <c r="C151" s="33" t="s">
        <v>227</v>
      </c>
      <c r="D151" s="35">
        <v>0</v>
      </c>
      <c r="E151" s="35">
        <v>0</v>
      </c>
      <c r="F151" s="35">
        <v>0</v>
      </c>
      <c r="G151" s="39">
        <v>0.85</v>
      </c>
      <c r="H151" s="39">
        <v>0.85</v>
      </c>
      <c r="I151" s="40">
        <v>1</v>
      </c>
      <c r="J151" s="40">
        <f>D151*G151</f>
        <v>0</v>
      </c>
      <c r="K151" s="40">
        <f>E151*H151</f>
        <v>0</v>
      </c>
      <c r="L151" s="40">
        <f>F151*I151</f>
        <v>0</v>
      </c>
      <c r="M151" s="40">
        <f>SUM(J151:L151)</f>
        <v>0</v>
      </c>
    </row>
    <row r="152" customHeight="1" spans="2:13">
      <c r="B152" s="41" t="s">
        <v>228</v>
      </c>
      <c r="C152" s="33" t="s">
        <v>229</v>
      </c>
      <c r="D152" s="48"/>
      <c r="E152" s="48"/>
      <c r="F152" s="35">
        <v>0</v>
      </c>
      <c r="G152" s="48"/>
      <c r="H152" s="48"/>
      <c r="I152" s="48"/>
      <c r="J152" s="48"/>
      <c r="K152" s="48"/>
      <c r="L152" s="48"/>
      <c r="M152" s="48"/>
    </row>
    <row r="153" customHeight="1" spans="2:13">
      <c r="B153" s="41" t="s">
        <v>230</v>
      </c>
      <c r="C153" s="33" t="s">
        <v>231</v>
      </c>
      <c r="D153" s="48"/>
      <c r="E153" s="48"/>
      <c r="F153" s="35">
        <v>0</v>
      </c>
      <c r="G153" s="48"/>
      <c r="H153" s="48"/>
      <c r="I153" s="39">
        <v>0.85</v>
      </c>
      <c r="J153" s="48"/>
      <c r="K153" s="48"/>
      <c r="L153" s="40">
        <f>F153*I153</f>
        <v>0</v>
      </c>
      <c r="M153" s="40">
        <f>L153</f>
        <v>0</v>
      </c>
    </row>
    <row r="154" ht="28" spans="2:13">
      <c r="B154" s="52" t="s">
        <v>232</v>
      </c>
      <c r="C154" s="30" t="s">
        <v>233</v>
      </c>
      <c r="D154" s="31" t="s">
        <v>13</v>
      </c>
      <c r="E154" s="31" t="s">
        <v>14</v>
      </c>
      <c r="F154" s="31" t="s">
        <v>15</v>
      </c>
      <c r="G154" s="31" t="s">
        <v>13</v>
      </c>
      <c r="H154" s="31" t="s">
        <v>14</v>
      </c>
      <c r="I154" s="31" t="s">
        <v>15</v>
      </c>
      <c r="J154" s="31" t="s">
        <v>13</v>
      </c>
      <c r="K154" s="31" t="s">
        <v>14</v>
      </c>
      <c r="L154" s="31" t="s">
        <v>15</v>
      </c>
      <c r="M154" s="46"/>
    </row>
    <row r="155" customHeight="1" spans="2:13">
      <c r="B155" s="41" t="s">
        <v>234</v>
      </c>
      <c r="C155" s="33" t="s">
        <v>235</v>
      </c>
      <c r="D155" s="35">
        <v>0</v>
      </c>
      <c r="E155" s="48"/>
      <c r="F155" s="48"/>
      <c r="G155" s="40">
        <v>0</v>
      </c>
      <c r="H155" s="48"/>
      <c r="I155" s="48"/>
      <c r="J155" s="40">
        <f t="shared" ref="J155:J162" si="18">D155*G155</f>
        <v>0</v>
      </c>
      <c r="K155" s="48"/>
      <c r="L155" s="48"/>
      <c r="M155" s="40">
        <f>J155</f>
        <v>0</v>
      </c>
    </row>
    <row r="156" customHeight="1" spans="2:13">
      <c r="B156" s="41" t="s">
        <v>236</v>
      </c>
      <c r="C156" s="33" t="s">
        <v>237</v>
      </c>
      <c r="D156" s="40">
        <v>0</v>
      </c>
      <c r="E156" s="40">
        <v>0</v>
      </c>
      <c r="F156" s="40">
        <v>0</v>
      </c>
      <c r="G156" s="40">
        <v>0</v>
      </c>
      <c r="H156" s="40">
        <v>0</v>
      </c>
      <c r="I156" s="40">
        <v>0</v>
      </c>
      <c r="J156" s="40">
        <f t="shared" si="18"/>
        <v>0</v>
      </c>
      <c r="K156" s="40">
        <f t="shared" ref="K156:L162" si="19">E156*H156</f>
        <v>0</v>
      </c>
      <c r="L156" s="40">
        <f t="shared" si="19"/>
        <v>0</v>
      </c>
      <c r="M156" s="40">
        <f>SUM(J156:L156)</f>
        <v>0</v>
      </c>
    </row>
    <row r="157" customHeight="1" spans="2:13">
      <c r="B157" s="41" t="s">
        <v>238</v>
      </c>
      <c r="C157" s="33" t="s">
        <v>239</v>
      </c>
      <c r="D157" s="35">
        <v>0</v>
      </c>
      <c r="E157" s="35">
        <v>0</v>
      </c>
      <c r="F157" s="35">
        <v>0</v>
      </c>
      <c r="G157" s="40">
        <v>1</v>
      </c>
      <c r="H157" s="40">
        <v>1</v>
      </c>
      <c r="I157" s="40">
        <v>1</v>
      </c>
      <c r="J157" s="40">
        <f t="shared" si="18"/>
        <v>0</v>
      </c>
      <c r="K157" s="40">
        <f t="shared" si="19"/>
        <v>0</v>
      </c>
      <c r="L157" s="40">
        <f t="shared" si="19"/>
        <v>0</v>
      </c>
      <c r="M157" s="40">
        <f>SUM(J157:L157)</f>
        <v>0</v>
      </c>
    </row>
    <row r="158" customHeight="1" spans="2:13">
      <c r="B158" s="41" t="s">
        <v>240</v>
      </c>
      <c r="C158" s="33" t="s">
        <v>241</v>
      </c>
      <c r="D158" s="35">
        <v>0</v>
      </c>
      <c r="E158" s="35">
        <v>0</v>
      </c>
      <c r="F158" s="35">
        <v>0</v>
      </c>
      <c r="G158" s="40">
        <v>1</v>
      </c>
      <c r="H158" s="40">
        <v>1</v>
      </c>
      <c r="I158" s="40">
        <v>1</v>
      </c>
      <c r="J158" s="40">
        <f t="shared" si="18"/>
        <v>0</v>
      </c>
      <c r="K158" s="40">
        <f t="shared" ref="K158:L160" si="20">E158*H158</f>
        <v>0</v>
      </c>
      <c r="L158" s="40">
        <f t="shared" si="20"/>
        <v>0</v>
      </c>
      <c r="M158" s="40">
        <f>J158+K158+L158</f>
        <v>0</v>
      </c>
    </row>
    <row r="159" customHeight="1" spans="2:13">
      <c r="B159" s="41" t="s">
        <v>242</v>
      </c>
      <c r="C159" s="33" t="s">
        <v>243</v>
      </c>
      <c r="D159" s="35">
        <v>0</v>
      </c>
      <c r="E159" s="35">
        <v>0</v>
      </c>
      <c r="F159" s="35">
        <v>0</v>
      </c>
      <c r="G159" s="40">
        <v>1</v>
      </c>
      <c r="H159" s="40">
        <v>1</v>
      </c>
      <c r="I159" s="40">
        <v>1</v>
      </c>
      <c r="J159" s="40">
        <f t="shared" si="18"/>
        <v>0</v>
      </c>
      <c r="K159" s="40">
        <f t="shared" si="20"/>
        <v>0</v>
      </c>
      <c r="L159" s="40">
        <f t="shared" si="20"/>
        <v>0</v>
      </c>
      <c r="M159" s="40">
        <f>J159+K159+L159</f>
        <v>0</v>
      </c>
    </row>
    <row r="160" customHeight="1" spans="2:13">
      <c r="B160" s="41" t="s">
        <v>244</v>
      </c>
      <c r="C160" s="33" t="s">
        <v>245</v>
      </c>
      <c r="D160" s="35">
        <v>0</v>
      </c>
      <c r="E160" s="35">
        <v>0</v>
      </c>
      <c r="F160" s="35">
        <v>0</v>
      </c>
      <c r="G160" s="40">
        <v>1</v>
      </c>
      <c r="H160" s="40">
        <v>1</v>
      </c>
      <c r="I160" s="40">
        <v>1</v>
      </c>
      <c r="J160" s="40">
        <f t="shared" si="18"/>
        <v>0</v>
      </c>
      <c r="K160" s="40">
        <f t="shared" si="20"/>
        <v>0</v>
      </c>
      <c r="L160" s="40">
        <f t="shared" si="20"/>
        <v>0</v>
      </c>
      <c r="M160" s="40">
        <f>J160+K160+L160</f>
        <v>0</v>
      </c>
    </row>
    <row r="161" customHeight="1" spans="2:13">
      <c r="B161" s="41" t="s">
        <v>246</v>
      </c>
      <c r="C161" s="33" t="s">
        <v>247</v>
      </c>
      <c r="D161" s="35">
        <v>0</v>
      </c>
      <c r="E161" s="35">
        <v>0</v>
      </c>
      <c r="F161" s="35">
        <v>0</v>
      </c>
      <c r="G161" s="40">
        <v>1</v>
      </c>
      <c r="H161" s="40">
        <v>1</v>
      </c>
      <c r="I161" s="40">
        <v>1</v>
      </c>
      <c r="J161" s="40">
        <f t="shared" si="18"/>
        <v>0</v>
      </c>
      <c r="K161" s="40">
        <f t="shared" si="19"/>
        <v>0</v>
      </c>
      <c r="L161" s="40">
        <f t="shared" si="19"/>
        <v>0</v>
      </c>
      <c r="M161" s="40">
        <f>SUM(J161:L161)</f>
        <v>0</v>
      </c>
    </row>
    <row r="162" customHeight="1" spans="2:13">
      <c r="B162" s="41" t="s">
        <v>248</v>
      </c>
      <c r="C162" s="33" t="s">
        <v>249</v>
      </c>
      <c r="D162" s="43">
        <v>0</v>
      </c>
      <c r="E162" s="35">
        <v>0</v>
      </c>
      <c r="F162" s="43">
        <v>0</v>
      </c>
      <c r="G162" s="40">
        <v>1</v>
      </c>
      <c r="H162" s="40">
        <v>1</v>
      </c>
      <c r="I162" s="40">
        <v>1</v>
      </c>
      <c r="J162" s="40">
        <f t="shared" si="18"/>
        <v>0</v>
      </c>
      <c r="K162" s="40">
        <f t="shared" si="19"/>
        <v>0</v>
      </c>
      <c r="L162" s="40">
        <f t="shared" si="19"/>
        <v>0</v>
      </c>
      <c r="M162" s="40">
        <f>SUM(J162:L162)</f>
        <v>0</v>
      </c>
    </row>
    <row r="163" ht="14" spans="2:13">
      <c r="B163" s="54">
        <v>2.2</v>
      </c>
      <c r="C163" s="55" t="s">
        <v>250</v>
      </c>
      <c r="D163" s="50"/>
      <c r="E163" s="50"/>
      <c r="F163" s="50"/>
      <c r="G163" s="50"/>
      <c r="H163" s="50"/>
      <c r="I163" s="50"/>
      <c r="J163" s="50"/>
      <c r="K163" s="50"/>
      <c r="L163" s="50"/>
      <c r="M163" s="50"/>
    </row>
    <row r="164" ht="28" spans="2:13">
      <c r="B164" s="29" t="s">
        <v>7</v>
      </c>
      <c r="C164" s="30" t="s">
        <v>8</v>
      </c>
      <c r="D164" s="30" t="s">
        <v>9</v>
      </c>
      <c r="E164" s="71"/>
      <c r="F164" s="71"/>
      <c r="G164" s="30" t="s">
        <v>251</v>
      </c>
      <c r="H164" s="71"/>
      <c r="I164" s="71"/>
      <c r="J164" s="71"/>
      <c r="K164" s="71"/>
      <c r="L164" s="71"/>
      <c r="M164" s="25" t="s">
        <v>252</v>
      </c>
    </row>
    <row r="165" customHeight="1" spans="2:13">
      <c r="B165" s="38" t="s">
        <v>253</v>
      </c>
      <c r="C165" s="33" t="s">
        <v>254</v>
      </c>
      <c r="D165" s="35">
        <v>0</v>
      </c>
      <c r="E165" s="33"/>
      <c r="F165" s="33"/>
      <c r="G165" s="39">
        <v>0.05</v>
      </c>
      <c r="H165" s="33"/>
      <c r="I165" s="33"/>
      <c r="J165" s="33"/>
      <c r="K165" s="33"/>
      <c r="L165" s="33"/>
      <c r="M165" s="40">
        <f>D165*G165</f>
        <v>0</v>
      </c>
    </row>
    <row r="166" customHeight="1" spans="2:13">
      <c r="B166" s="38" t="s">
        <v>255</v>
      </c>
      <c r="C166" s="33" t="s">
        <v>256</v>
      </c>
      <c r="D166" s="35">
        <v>0</v>
      </c>
      <c r="E166" s="33"/>
      <c r="F166" s="33"/>
      <c r="G166" s="40">
        <v>0</v>
      </c>
      <c r="H166" s="33"/>
      <c r="I166" s="33"/>
      <c r="J166" s="33"/>
      <c r="K166" s="33"/>
      <c r="L166" s="33"/>
      <c r="M166" s="40">
        <f>D166*G166</f>
        <v>0</v>
      </c>
    </row>
    <row r="167" customHeight="1" spans="2:13">
      <c r="B167" s="38" t="s">
        <v>257</v>
      </c>
      <c r="C167" s="33" t="s">
        <v>258</v>
      </c>
      <c r="D167" s="35">
        <v>0</v>
      </c>
      <c r="E167" s="33"/>
      <c r="F167" s="33"/>
      <c r="G167" s="39">
        <v>0.05</v>
      </c>
      <c r="H167" s="33"/>
      <c r="I167" s="33"/>
      <c r="J167" s="33"/>
      <c r="K167" s="33"/>
      <c r="L167" s="33"/>
      <c r="M167" s="40">
        <f>D167*G167</f>
        <v>0</v>
      </c>
    </row>
    <row r="168" customHeight="1" spans="2:13">
      <c r="B168" s="38" t="s">
        <v>259</v>
      </c>
      <c r="C168" s="33" t="s">
        <v>260</v>
      </c>
      <c r="D168" s="35">
        <v>0</v>
      </c>
      <c r="E168" s="33"/>
      <c r="F168" s="33"/>
      <c r="G168" s="39">
        <v>0.2</v>
      </c>
      <c r="H168" s="33"/>
      <c r="I168" s="33"/>
      <c r="J168" s="33"/>
      <c r="K168" s="33"/>
      <c r="L168" s="33"/>
      <c r="M168" s="40">
        <f>D168*G168</f>
        <v>0</v>
      </c>
    </row>
    <row r="169" ht="28" spans="2:13">
      <c r="B169" s="72" t="s">
        <v>261</v>
      </c>
      <c r="C169" s="50" t="s">
        <v>262</v>
      </c>
      <c r="D169" s="51">
        <v>0</v>
      </c>
      <c r="E169" s="50"/>
      <c r="F169" s="50"/>
      <c r="G169" s="73">
        <v>0.1</v>
      </c>
      <c r="H169" s="50"/>
      <c r="I169" s="50"/>
      <c r="J169" s="50"/>
      <c r="K169" s="50"/>
      <c r="L169" s="50"/>
      <c r="M169" s="56">
        <f>D169*G169</f>
        <v>0</v>
      </c>
    </row>
    <row r="170" ht="14" spans="2:13">
      <c r="B170" s="50"/>
      <c r="C170" s="50"/>
      <c r="D170" s="50"/>
      <c r="E170" s="50"/>
      <c r="F170" s="50"/>
      <c r="G170" s="50"/>
      <c r="H170" s="50"/>
      <c r="I170" s="50"/>
      <c r="J170" s="30" t="s">
        <v>79</v>
      </c>
      <c r="K170" s="86"/>
      <c r="L170" s="86"/>
      <c r="M170" s="64">
        <f>SUM(M53:M169)</f>
        <v>0</v>
      </c>
    </row>
    <row r="171" customHeight="1" spans="2:13">
      <c r="B171" s="74"/>
      <c r="C171" s="74" t="s">
        <v>263</v>
      </c>
      <c r="D171" s="50"/>
      <c r="E171" s="50"/>
      <c r="F171" s="50"/>
      <c r="G171" s="50"/>
      <c r="H171" s="50"/>
      <c r="I171" s="50"/>
      <c r="J171" s="30" t="s">
        <v>264</v>
      </c>
      <c r="K171" s="86"/>
      <c r="L171" s="53"/>
      <c r="M171" s="87">
        <f>IF(AND(M48&gt;0,M170&gt;0),M48/M170,0)</f>
        <v>0</v>
      </c>
    </row>
    <row r="172" ht="14" spans="2:13">
      <c r="B172" s="75"/>
      <c r="C172" s="76"/>
      <c r="D172" s="77" t="s">
        <v>9</v>
      </c>
      <c r="E172" s="27"/>
      <c r="F172" s="28"/>
      <c r="G172" s="26" t="s">
        <v>10</v>
      </c>
      <c r="H172" s="27"/>
      <c r="I172" s="28"/>
      <c r="J172" s="26" t="s">
        <v>11</v>
      </c>
      <c r="K172" s="27"/>
      <c r="L172" s="28"/>
      <c r="M172" s="83"/>
    </row>
    <row r="173" ht="28" spans="2:13">
      <c r="B173" s="75"/>
      <c r="C173" s="76"/>
      <c r="D173" s="78" t="s">
        <v>13</v>
      </c>
      <c r="E173" s="31" t="s">
        <v>14</v>
      </c>
      <c r="F173" s="31" t="s">
        <v>15</v>
      </c>
      <c r="G173" s="31" t="s">
        <v>13</v>
      </c>
      <c r="H173" s="31" t="s">
        <v>14</v>
      </c>
      <c r="I173" s="31" t="s">
        <v>15</v>
      </c>
      <c r="J173" s="31" t="s">
        <v>13</v>
      </c>
      <c r="K173" s="31" t="s">
        <v>14</v>
      </c>
      <c r="L173" s="31" t="s">
        <v>15</v>
      </c>
      <c r="M173" s="83"/>
    </row>
    <row r="174" customHeight="1" spans="2:13">
      <c r="B174" s="79" t="s">
        <v>265</v>
      </c>
      <c r="C174" s="80" t="s">
        <v>48</v>
      </c>
      <c r="D174" s="81">
        <f>D31</f>
        <v>0</v>
      </c>
      <c r="E174" s="34">
        <f>E31</f>
        <v>0</v>
      </c>
      <c r="F174" s="34">
        <f>F31</f>
        <v>0</v>
      </c>
      <c r="G174" s="34">
        <v>0</v>
      </c>
      <c r="H174" s="44">
        <v>0.5</v>
      </c>
      <c r="I174" s="34">
        <v>1</v>
      </c>
      <c r="J174" s="34">
        <f>D174*G174</f>
        <v>0</v>
      </c>
      <c r="K174" s="34">
        <f>E174*H174</f>
        <v>0</v>
      </c>
      <c r="L174" s="34">
        <f>F174*I174</f>
        <v>0</v>
      </c>
      <c r="M174" s="34">
        <f>SUM(J174:L174)</f>
        <v>0</v>
      </c>
    </row>
    <row r="175" ht="14" spans="2:13">
      <c r="B175" s="82"/>
      <c r="C175" s="83"/>
      <c r="D175" s="83"/>
      <c r="E175" s="83"/>
      <c r="F175" s="83"/>
      <c r="G175" s="83"/>
      <c r="H175" s="83"/>
      <c r="I175" s="83"/>
      <c r="J175" s="83"/>
      <c r="K175" s="83"/>
      <c r="L175" s="83"/>
      <c r="M175" s="83"/>
    </row>
    <row r="176" ht="14" spans="2:13">
      <c r="B176" s="82"/>
      <c r="C176" s="83"/>
      <c r="D176" s="83"/>
      <c r="E176" s="83"/>
      <c r="F176" s="83"/>
      <c r="G176" s="83"/>
      <c r="H176" s="83"/>
      <c r="I176" s="83"/>
      <c r="J176" s="83"/>
      <c r="K176" s="83"/>
      <c r="L176" s="88" t="s">
        <v>264</v>
      </c>
      <c r="M176" s="89">
        <f>IF(AND(M48-M31+M174&gt;0,M170&gt;0),(M48-M31+M174)/M170,0)</f>
        <v>0</v>
      </c>
    </row>
    <row r="177" customHeight="1" spans="2:13">
      <c r="B177" s="84"/>
      <c r="C177" s="84" t="s">
        <v>266</v>
      </c>
      <c r="D177" s="84"/>
      <c r="E177" s="84"/>
      <c r="F177" s="84"/>
      <c r="G177" s="84"/>
      <c r="H177" s="84"/>
      <c r="I177" s="84"/>
      <c r="J177" s="84"/>
      <c r="K177" s="84"/>
      <c r="L177" s="84"/>
      <c r="M177" s="84"/>
    </row>
    <row r="178" customHeight="1"/>
  </sheetData>
  <sheetProtection password="DE1B" sheet="1"/>
  <mergeCells count="13">
    <mergeCell ref="B2:M2"/>
    <mergeCell ref="C3:D3"/>
    <mergeCell ref="C4:D4"/>
    <mergeCell ref="C5:D5"/>
    <mergeCell ref="D8:F8"/>
    <mergeCell ref="G8:I8"/>
    <mergeCell ref="J8:L8"/>
    <mergeCell ref="D51:F51"/>
    <mergeCell ref="G51:I51"/>
    <mergeCell ref="J51:L51"/>
    <mergeCell ref="D172:F172"/>
    <mergeCell ref="G172:I172"/>
    <mergeCell ref="J172:L172"/>
  </mergeCells>
  <dataValidations count="1">
    <dataValidation type="decimal" operator="between" allowBlank="1" showInputMessage="1" showErrorMessage="1" sqref="D46 D47:F47 D53 E59:F59 F60 D62:F62 D63 E64 F65 D68:F68 D69 E70 F71 D73:F73 D74 E75 F76 D79:F79 D80 E81 F82 D89:E89 D90 E91 D93:F93 D94:F94 E95:F95 F96 E100:F100 F101 E105 F105 F106 D109 E109 D110 E111 E113 E115 D117 E117 D118 E119 F122 D123 E124 F125 F127 D128 E129 F130 F132 D133 E134 F135 F137 D138 E139 F140 F142 D143 E144 F145 D151 E151 F151 F152 F153 D155 D55:D58 D113:D114 D165:D169 F10:F11 F38:F39 F41:F42 F84:F87 F147:F148 D13:F15 D17:F20 D22:F25 D27:F31 D33:F37 D44:F45 D98:F99 E57:F58 D103:F104 D157:F162">
      <formula1>-1000000000</formula1>
      <formula2>1000000000</formula2>
    </dataValidation>
  </dataValidations>
  <pageMargins left="0.7" right="0.7" top="0.75" bottom="0.75" header="0.3" footer="0.3"/>
  <pageSetup paperSize="9" scale="48" fitToHeight="0" orientation="landscape" horizontalDpi="600"/>
  <headerFooter alignWithMargins="0">
    <oddHeader>&amp;L&amp;"Calibri"&amp;10&amp;K0078D7CBUAE Classification: Restricted&amp;1#</oddHead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NSFRV2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Gracjan Rafal Pietrzyk</dc:creator>
  <cp:lastModifiedBy>user</cp:lastModifiedBy>
  <dcterms:created xsi:type="dcterms:W3CDTF">2020-07-01T06:48:49Z</dcterms:created>
  <dcterms:modified xsi:type="dcterms:W3CDTF">2024-02-22T05:59:42Z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{BC7A9D1C-A326-425B-AB1F-1C0FA8E3245B}</vt:lpwstr>
  </property>
  <property fmtid="{D5CDD505-2E9C-101B-9397-08002B2CF9AE}" pid="3" name="MSIP_Label_1d9e9404-3739-4dbf-9fa8-b6ae9df09a7a_Enabled">
    <vt:lpwstr>True</vt:lpwstr>
  </property>
  <property fmtid="{D5CDD505-2E9C-101B-9397-08002B2CF9AE}" pid="4" name="MSIP_Label_1d9e9404-3739-4dbf-9fa8-b6ae9df09a7a_SiteId">
    <vt:lpwstr>fba6ee03-9647-4c58-86a3-db85ac6de45e</vt:lpwstr>
  </property>
  <property fmtid="{D5CDD505-2E9C-101B-9397-08002B2CF9AE}" pid="5" name="MSIP_Label_1d9e9404-3739-4dbf-9fa8-b6ae9df09a7a_Owner">
    <vt:lpwstr>feby.imthias@cbuae.gov.ae</vt:lpwstr>
  </property>
  <property fmtid="{D5CDD505-2E9C-101B-9397-08002B2CF9AE}" pid="6" name="MSIP_Label_1d9e9404-3739-4dbf-9fa8-b6ae9df09a7a_SetDate">
    <vt:lpwstr>2020-09-21T10:57:33.2090217Z</vt:lpwstr>
  </property>
  <property fmtid="{D5CDD505-2E9C-101B-9397-08002B2CF9AE}" pid="7" name="MSIP_Label_1d9e9404-3739-4dbf-9fa8-b6ae9df09a7a_Name">
    <vt:lpwstr>Restricted</vt:lpwstr>
  </property>
  <property fmtid="{D5CDD505-2E9C-101B-9397-08002B2CF9AE}" pid="8" name="MSIP_Label_1d9e9404-3739-4dbf-9fa8-b6ae9df09a7a_Application">
    <vt:lpwstr>Microsoft Azure Information Protection</vt:lpwstr>
  </property>
  <property fmtid="{D5CDD505-2E9C-101B-9397-08002B2CF9AE}" pid="9" name="MSIP_Label_1d9e9404-3739-4dbf-9fa8-b6ae9df09a7a_ActionId">
    <vt:lpwstr>b6fe5e97-75e5-4995-9468-d318188a41b9</vt:lpwstr>
  </property>
  <property fmtid="{D5CDD505-2E9C-101B-9397-08002B2CF9AE}" pid="10" name="MSIP_Label_1d9e9404-3739-4dbf-9fa8-b6ae9df09a7a_Extended_MSFT_Method">
    <vt:lpwstr>Manual</vt:lpwstr>
  </property>
  <property fmtid="{D5CDD505-2E9C-101B-9397-08002B2CF9AE}" pid="11" name="Sensitivity">
    <vt:lpwstr>Restricted</vt:lpwstr>
  </property>
  <property fmtid="{D5CDD505-2E9C-101B-9397-08002B2CF9AE}" pid="12" name="ICV">
    <vt:lpwstr>9896A05BE23A42CA976CB92E3FB6F156_13</vt:lpwstr>
  </property>
  <property fmtid="{D5CDD505-2E9C-101B-9397-08002B2CF9AE}" pid="13" name="KSOProductBuildVer">
    <vt:lpwstr>1033-12.2.0.13431</vt:lpwstr>
  </property>
</Properties>
</file>