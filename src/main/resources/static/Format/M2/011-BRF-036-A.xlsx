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trlProps/ctrlProp1.xml" ContentType="application/vnd.ms-excel.controlproperties+xml"/>
  <Override PartName="/xl/ctrlProps/ctrlProp2.xml" ContentType="application/vnd.ms-excel.control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9200" windowHeight="6500"/>
  </bookViews>
  <sheets>
    <sheet name="BRF 36 CAP MKET BORR " sheetId="1" r:id="rId1"/>
    <sheet name="CURRENCIES" sheetId="2" r:id="rId2"/>
  </sheets>
  <definedNames>
    <definedName name="_8.1.1">#REF!</definedName>
    <definedName name="_xlnm._FilterDatabase" localSheetId="1" hidden="1">CURRENCIES!$A$1:$B$179</definedName>
    <definedName name="BANKS">'BRF 36 CAP MKET BORR '!$A$17</definedName>
    <definedName name="CODE">CURRENCIES!$A$2:$A$179</definedName>
    <definedName name="CURRENCY">CURRENCIES!$B$2:$B$179</definedName>
    <definedName name="EMIRATES">'BRF 36 CAP MKET BORR '!$A$15</definedName>
    <definedName name="FEDERAL">'BRF 36 CAP MKET BORR '!$A$13</definedName>
    <definedName name="NBFI">'BRF 36 CAP MKET BORR '!$A$19</definedName>
    <definedName name="OTHER">'BRF 36 CAP MKET BORR '!$A$21</definedName>
    <definedName name="_xlnm.Print_Area" localSheetId="0">'BRF 36 CAP MKET BORR '!$B$2:$P$26</definedName>
    <definedName name="SECA">'BRF 36 CAP MKET BORR '!$A$10</definedName>
    <definedName name="SECB">'BRF 36 CAP MKET BORR '!$A$12</definedName>
    <definedName name="TOTAL">'BRF 36 CAP MKET BORR '!$A$23</definedName>
  </definedNames>
  <calcPr calcId="144525"/>
</workbook>
</file>

<file path=xl/sharedStrings.xml><?xml version="1.0" encoding="utf-8"?>
<sst xmlns="http://schemas.openxmlformats.org/spreadsheetml/2006/main" count="428" uniqueCount="407">
  <si>
    <t>LR</t>
  </si>
  <si>
    <t>BANKING AND MONETARY STATISTICS- CAPITAL MARKET FUNDING &amp; OTHER TERM BORROWINGS - BRF 36 (AED 000)</t>
  </si>
  <si>
    <t>ID:</t>
  </si>
  <si>
    <t>3-36-1-2</t>
  </si>
  <si>
    <t>BANK</t>
  </si>
  <si>
    <t>Bank of Baroda</t>
  </si>
  <si>
    <t>As On</t>
  </si>
  <si>
    <t>Remaining Maturities</t>
  </si>
  <si>
    <t>Sl.No</t>
  </si>
  <si>
    <t>Program &amp; Instruments names</t>
  </si>
  <si>
    <t>Currency of Issue</t>
  </si>
  <si>
    <t>Size of overall program</t>
  </si>
  <si>
    <t>AED equivalent</t>
  </si>
  <si>
    <t>Total Amount issued AED</t>
  </si>
  <si>
    <t>Upto 3 months</t>
  </si>
  <si>
    <t>3 to &lt; 6 months</t>
  </si>
  <si>
    <t>6  to &lt; 9 months</t>
  </si>
  <si>
    <t>9  to &lt; 12 months</t>
  </si>
  <si>
    <t xml:space="preserve"> 1 to &lt; 2 years</t>
  </si>
  <si>
    <t xml:space="preserve"> 2 to &lt; 3 years</t>
  </si>
  <si>
    <t>3 to &lt; 4 years</t>
  </si>
  <si>
    <t>4 to &lt; 5 years</t>
  </si>
  <si>
    <t xml:space="preserve"> &gt; 5 years</t>
  </si>
  <si>
    <t>GT1</t>
  </si>
  <si>
    <t>SECTION A:  Capital Market Funding</t>
  </si>
  <si>
    <t>B1</t>
  </si>
  <si>
    <t>NA</t>
  </si>
  <si>
    <t>GT2</t>
  </si>
  <si>
    <t>SECTION B: Other Term Borrowings</t>
  </si>
  <si>
    <t>ST1</t>
  </si>
  <si>
    <t xml:space="preserve"> Federal Govt</t>
  </si>
  <si>
    <t>B2</t>
  </si>
  <si>
    <t>ST2</t>
  </si>
  <si>
    <t xml:space="preserve"> Emirates Govt</t>
  </si>
  <si>
    <t>B3</t>
  </si>
  <si>
    <t>ST3</t>
  </si>
  <si>
    <t>Banks</t>
  </si>
  <si>
    <t>B4</t>
  </si>
  <si>
    <t>ST4</t>
  </si>
  <si>
    <t>NBFI</t>
  </si>
  <si>
    <t>B5</t>
  </si>
  <si>
    <t>ST5</t>
  </si>
  <si>
    <t>Other (specify the name)</t>
  </si>
  <si>
    <t>B6</t>
  </si>
  <si>
    <t>GT3</t>
  </si>
  <si>
    <t>Total</t>
  </si>
  <si>
    <t>Notes:  Each funding/ borrowing should be reported separately. Add rows as necessary.  Borrowings under similar programmes should be clubbed and distributed over buckets.</t>
  </si>
  <si>
    <t>Form No: BSD/ BRF 36 CAP MKT/ NOV14</t>
  </si>
  <si>
    <t>To insert Values in for Currency of Issue, input currency code</t>
  </si>
  <si>
    <t>Code</t>
  </si>
  <si>
    <t>Currency</t>
  </si>
  <si>
    <t>AED</t>
  </si>
  <si>
    <t>UAE Dirham</t>
  </si>
  <si>
    <t>AFN</t>
  </si>
  <si>
    <t>Afghani</t>
  </si>
  <si>
    <t>ALL</t>
  </si>
  <si>
    <t>Lek</t>
  </si>
  <si>
    <t>AMD</t>
  </si>
  <si>
    <t>Armenian Dram</t>
  </si>
  <si>
    <t>ANG</t>
  </si>
  <si>
    <t>Netherlands Antillean Guilder</t>
  </si>
  <si>
    <t>AOA</t>
  </si>
  <si>
    <t>Kwanza</t>
  </si>
  <si>
    <t>ARS</t>
  </si>
  <si>
    <t>Argentine Peso</t>
  </si>
  <si>
    <t>AUD</t>
  </si>
  <si>
    <t>Australian Dollar</t>
  </si>
  <si>
    <t>AWG</t>
  </si>
  <si>
    <t>Aruban Florin</t>
  </si>
  <si>
    <t>AZN</t>
  </si>
  <si>
    <t>Azerbaijanian Manat</t>
  </si>
  <si>
    <t>BAM</t>
  </si>
  <si>
    <t>Convertible Mark</t>
  </si>
  <si>
    <t>BBD</t>
  </si>
  <si>
    <t>Barbados Dollar</t>
  </si>
  <si>
    <t>BDT</t>
  </si>
  <si>
    <t>Taka</t>
  </si>
  <si>
    <t>BGN</t>
  </si>
  <si>
    <t>Bulgarian Lev</t>
  </si>
  <si>
    <t>BHD</t>
  </si>
  <si>
    <t>Bahraini Dinar</t>
  </si>
  <si>
    <t>BIF</t>
  </si>
  <si>
    <t>Burundi Franc</t>
  </si>
  <si>
    <t>BMD</t>
  </si>
  <si>
    <t>Bermudian Dollar</t>
  </si>
  <si>
    <t>BND</t>
  </si>
  <si>
    <t>Brunei Dollar</t>
  </si>
  <si>
    <t>BOB</t>
  </si>
  <si>
    <t>Boliviano</t>
  </si>
  <si>
    <t>BOV</t>
  </si>
  <si>
    <t>Mvdol</t>
  </si>
  <si>
    <t>BRL</t>
  </si>
  <si>
    <t>Brazilian Real</t>
  </si>
  <si>
    <t>BSD</t>
  </si>
  <si>
    <t>Bahamian Dollar</t>
  </si>
  <si>
    <t>BTN</t>
  </si>
  <si>
    <t>Ngultrum</t>
  </si>
  <si>
    <t>BWP</t>
  </si>
  <si>
    <t>Pula</t>
  </si>
  <si>
    <t>BYR</t>
  </si>
  <si>
    <t>Belarussian Ruble</t>
  </si>
  <si>
    <t>BZD</t>
  </si>
  <si>
    <t>Belize Dollar</t>
  </si>
  <si>
    <t>CAD</t>
  </si>
  <si>
    <t>Canadian Dollar</t>
  </si>
  <si>
    <t>CDF</t>
  </si>
  <si>
    <t>Congolese Franc</t>
  </si>
  <si>
    <t>CHE</t>
  </si>
  <si>
    <t>WIR Euro</t>
  </si>
  <si>
    <t>CHF</t>
  </si>
  <si>
    <t>Swiss Franc</t>
  </si>
  <si>
    <t>CHW</t>
  </si>
  <si>
    <t>WIR Franc</t>
  </si>
  <si>
    <t>CLF</t>
  </si>
  <si>
    <t>Unidad de Fomento</t>
  </si>
  <si>
    <t>CLP</t>
  </si>
  <si>
    <t>Chilean Peso</t>
  </si>
  <si>
    <t>CNY</t>
  </si>
  <si>
    <t>Yuan Renminbi</t>
  </si>
  <si>
    <t>COP</t>
  </si>
  <si>
    <t>Colombian Peso</t>
  </si>
  <si>
    <t>COU</t>
  </si>
  <si>
    <t>Unidad de Valor Real</t>
  </si>
  <si>
    <t>CRC</t>
  </si>
  <si>
    <t>Costa Rican Colon</t>
  </si>
  <si>
    <t>CUC</t>
  </si>
  <si>
    <t>Peso Convertible</t>
  </si>
  <si>
    <t>CUP</t>
  </si>
  <si>
    <t>Cuban Peso</t>
  </si>
  <si>
    <t>CVE</t>
  </si>
  <si>
    <t>Cabo Verde Escudo</t>
  </si>
  <si>
    <t>CZK</t>
  </si>
  <si>
    <t>Czech Koruna</t>
  </si>
  <si>
    <t>DJF</t>
  </si>
  <si>
    <t>Djibouti Franc</t>
  </si>
  <si>
    <t>DKK</t>
  </si>
  <si>
    <t>Danish Krone</t>
  </si>
  <si>
    <t>DOP</t>
  </si>
  <si>
    <t>Dominican Peso</t>
  </si>
  <si>
    <t>DZD</t>
  </si>
  <si>
    <t>Algerian Dinar</t>
  </si>
  <si>
    <t>EGP</t>
  </si>
  <si>
    <t>Egyptian Pound</t>
  </si>
  <si>
    <t>ERN</t>
  </si>
  <si>
    <t>Nakfa</t>
  </si>
  <si>
    <t>ETB</t>
  </si>
  <si>
    <t>Ethiopian Birr</t>
  </si>
  <si>
    <t>EUR</t>
  </si>
  <si>
    <t>Euro</t>
  </si>
  <si>
    <t>FJD</t>
  </si>
  <si>
    <t>Fiji Dollar</t>
  </si>
  <si>
    <t>FKP</t>
  </si>
  <si>
    <t>Falkland Islands Pound</t>
  </si>
  <si>
    <t>GBP</t>
  </si>
  <si>
    <t>Pound Sterling</t>
  </si>
  <si>
    <t>GEL</t>
  </si>
  <si>
    <t>Lari</t>
  </si>
  <si>
    <t>GHS</t>
  </si>
  <si>
    <t>Ghana Cedi</t>
  </si>
  <si>
    <t>GIP</t>
  </si>
  <si>
    <t>Gibraltar Pound</t>
  </si>
  <si>
    <t>GMD</t>
  </si>
  <si>
    <t>Dalasi</t>
  </si>
  <si>
    <t>GNF</t>
  </si>
  <si>
    <t>Guinea Franc</t>
  </si>
  <si>
    <t>GTQ</t>
  </si>
  <si>
    <t>Quetzal</t>
  </si>
  <si>
    <t>GYD</t>
  </si>
  <si>
    <t>Guyana Dollar</t>
  </si>
  <si>
    <t>HKD</t>
  </si>
  <si>
    <t>Hong Kong Dollar</t>
  </si>
  <si>
    <t>HNL</t>
  </si>
  <si>
    <t>Lempira</t>
  </si>
  <si>
    <t>HRK</t>
  </si>
  <si>
    <t>Kuna</t>
  </si>
  <si>
    <t>HTG</t>
  </si>
  <si>
    <t>Gourde</t>
  </si>
  <si>
    <t>HUF</t>
  </si>
  <si>
    <t>Forint</t>
  </si>
  <si>
    <t>IDR</t>
  </si>
  <si>
    <t>Rupiah</t>
  </si>
  <si>
    <t>ILS</t>
  </si>
  <si>
    <t>New Israeli Sheqel</t>
  </si>
  <si>
    <t>INR</t>
  </si>
  <si>
    <t>Indian Rupee</t>
  </si>
  <si>
    <t>IQD</t>
  </si>
  <si>
    <t>Iraqi Dinar</t>
  </si>
  <si>
    <t>IRR</t>
  </si>
  <si>
    <t>Iranian Rial</t>
  </si>
  <si>
    <t>ISK</t>
  </si>
  <si>
    <t>Iceland Krona</t>
  </si>
  <si>
    <t>JMD</t>
  </si>
  <si>
    <t>Jamaican Dollar</t>
  </si>
  <si>
    <t>JOD</t>
  </si>
  <si>
    <t>Jordanian Dinar</t>
  </si>
  <si>
    <t>JPY</t>
  </si>
  <si>
    <t>Yen</t>
  </si>
  <si>
    <t>KES</t>
  </si>
  <si>
    <t>Kenyan Shilling</t>
  </si>
  <si>
    <t>KGS</t>
  </si>
  <si>
    <t>Som</t>
  </si>
  <si>
    <t>KHR</t>
  </si>
  <si>
    <t>Riel</t>
  </si>
  <si>
    <t>KMF</t>
  </si>
  <si>
    <t>Comoro Franc</t>
  </si>
  <si>
    <t>KPW</t>
  </si>
  <si>
    <t>North Korean Won</t>
  </si>
  <si>
    <t>KRW</t>
  </si>
  <si>
    <t>Won</t>
  </si>
  <si>
    <t>KWD</t>
  </si>
  <si>
    <t>Kuwaiti Dinar</t>
  </si>
  <si>
    <t>KYD</t>
  </si>
  <si>
    <t>Cayman Islands Dollar</t>
  </si>
  <si>
    <t>KZT</t>
  </si>
  <si>
    <t>Tenge</t>
  </si>
  <si>
    <t>LAK</t>
  </si>
  <si>
    <t>Kip</t>
  </si>
  <si>
    <t>LBP</t>
  </si>
  <si>
    <t>Lebanese Pound</t>
  </si>
  <si>
    <t>LKR</t>
  </si>
  <si>
    <t>Sri Lanka Rupee</t>
  </si>
  <si>
    <t>LRD</t>
  </si>
  <si>
    <t>Liberian Dollar</t>
  </si>
  <si>
    <t>LSL</t>
  </si>
  <si>
    <t>Loti</t>
  </si>
  <si>
    <t>LYD</t>
  </si>
  <si>
    <t>Libyan Dinar</t>
  </si>
  <si>
    <t>MAD</t>
  </si>
  <si>
    <t>Moroccan Dirham</t>
  </si>
  <si>
    <t>MDL</t>
  </si>
  <si>
    <t>Moldovan Leu</t>
  </si>
  <si>
    <t>MGA</t>
  </si>
  <si>
    <t>Malagasy Ariary</t>
  </si>
  <si>
    <t>MKD</t>
  </si>
  <si>
    <t>Denar</t>
  </si>
  <si>
    <t>MMK</t>
  </si>
  <si>
    <t>Kyat</t>
  </si>
  <si>
    <t>MNT</t>
  </si>
  <si>
    <t>Tugrik</t>
  </si>
  <si>
    <t>MOP</t>
  </si>
  <si>
    <t>Pataca</t>
  </si>
  <si>
    <t>MRO</t>
  </si>
  <si>
    <t>Ouguiya</t>
  </si>
  <si>
    <t>MUR</t>
  </si>
  <si>
    <t>Mauritius Rupee</t>
  </si>
  <si>
    <t>MVR</t>
  </si>
  <si>
    <t>Rufiyaa</t>
  </si>
  <si>
    <t>MWK</t>
  </si>
  <si>
    <t>Kwacha</t>
  </si>
  <si>
    <t>MXN</t>
  </si>
  <si>
    <t>Mexican Peso</t>
  </si>
  <si>
    <t>MXV</t>
  </si>
  <si>
    <t>Mexican Unidad de Inversion (UDI)</t>
  </si>
  <si>
    <t>MYR</t>
  </si>
  <si>
    <t>Malaysian Ringgit</t>
  </si>
  <si>
    <t>MZN</t>
  </si>
  <si>
    <t>Mozambique Metical</t>
  </si>
  <si>
    <t>NAD</t>
  </si>
  <si>
    <t>Namibia Dollar</t>
  </si>
  <si>
    <t>NGN</t>
  </si>
  <si>
    <t>Naira</t>
  </si>
  <si>
    <t>NIO</t>
  </si>
  <si>
    <t>Cordoba Oro</t>
  </si>
  <si>
    <t>NOK</t>
  </si>
  <si>
    <t>Norwegian Krone</t>
  </si>
  <si>
    <t>NPR</t>
  </si>
  <si>
    <t>Nepalese Rupee</t>
  </si>
  <si>
    <t>NZD</t>
  </si>
  <si>
    <t>New Zealand Dollar</t>
  </si>
  <si>
    <t>OMR</t>
  </si>
  <si>
    <t>Rial Omani</t>
  </si>
  <si>
    <t>PAB</t>
  </si>
  <si>
    <t>Balboa</t>
  </si>
  <si>
    <t>PEN</t>
  </si>
  <si>
    <t>Nuevo Sol</t>
  </si>
  <si>
    <t>PGK</t>
  </si>
  <si>
    <t>Kina</t>
  </si>
  <si>
    <t>PHP</t>
  </si>
  <si>
    <t>Philippine Peso</t>
  </si>
  <si>
    <t>PKR</t>
  </si>
  <si>
    <t>Pakistan Rupee</t>
  </si>
  <si>
    <t>PLN</t>
  </si>
  <si>
    <t>Zloty</t>
  </si>
  <si>
    <t>PYG</t>
  </si>
  <si>
    <t>Guarani</t>
  </si>
  <si>
    <t>QAR</t>
  </si>
  <si>
    <t>Qatari Rial</t>
  </si>
  <si>
    <t>RON</t>
  </si>
  <si>
    <t>Romanian Leu</t>
  </si>
  <si>
    <t>RSD</t>
  </si>
  <si>
    <t>Serbian Dinar</t>
  </si>
  <si>
    <t>RUB</t>
  </si>
  <si>
    <t>Russian Ruble</t>
  </si>
  <si>
    <t>RWF</t>
  </si>
  <si>
    <t>Rwanda Franc</t>
  </si>
  <si>
    <t>SAR</t>
  </si>
  <si>
    <t>Saudi Riyal</t>
  </si>
  <si>
    <t>SBD</t>
  </si>
  <si>
    <t>Solomon Islands Dollar</t>
  </si>
  <si>
    <t>SCR</t>
  </si>
  <si>
    <t>Seychelles Rupee</t>
  </si>
  <si>
    <t>SDG</t>
  </si>
  <si>
    <t>Sudanese Pound</t>
  </si>
  <si>
    <t>SEK</t>
  </si>
  <si>
    <t>Swedish Krona</t>
  </si>
  <si>
    <t>SGD</t>
  </si>
  <si>
    <t>Singapore Dollar</t>
  </si>
  <si>
    <t>SHP</t>
  </si>
  <si>
    <t>Saint Helena Pound</t>
  </si>
  <si>
    <t>SLL</t>
  </si>
  <si>
    <t>Leone</t>
  </si>
  <si>
    <t>SOS</t>
  </si>
  <si>
    <t>Somali Shilling</t>
  </si>
  <si>
    <t>SRD</t>
  </si>
  <si>
    <t>Surinam Dollar</t>
  </si>
  <si>
    <t>SSP</t>
  </si>
  <si>
    <t>South Sudanese Pound</t>
  </si>
  <si>
    <t>STD</t>
  </si>
  <si>
    <t>Dobra</t>
  </si>
  <si>
    <t>SVC</t>
  </si>
  <si>
    <t>El Salvador Colon</t>
  </si>
  <si>
    <t>SYP</t>
  </si>
  <si>
    <t>Syrian Pound</t>
  </si>
  <si>
    <t>SZL</t>
  </si>
  <si>
    <t>Lilangeni</t>
  </si>
  <si>
    <t>THB</t>
  </si>
  <si>
    <t>Baht</t>
  </si>
  <si>
    <t>TJS</t>
  </si>
  <si>
    <t>Somoni</t>
  </si>
  <si>
    <t>TMT</t>
  </si>
  <si>
    <t>Turkmenistan New Manat</t>
  </si>
  <si>
    <t>TND</t>
  </si>
  <si>
    <t>Tunisian Dinar</t>
  </si>
  <si>
    <t>TOP</t>
  </si>
  <si>
    <t>Pa’anga</t>
  </si>
  <si>
    <t>TRY</t>
  </si>
  <si>
    <t>Turkish Lira</t>
  </si>
  <si>
    <t>TTD</t>
  </si>
  <si>
    <t>Trinidad and Tobago Dollar</t>
  </si>
  <si>
    <t>TWD</t>
  </si>
  <si>
    <t>New Taiwan Dollar</t>
  </si>
  <si>
    <t>TZS</t>
  </si>
  <si>
    <t>Tanzanian Shilling</t>
  </si>
  <si>
    <t>UAH</t>
  </si>
  <si>
    <t>Hryvnia</t>
  </si>
  <si>
    <t>UGX</t>
  </si>
  <si>
    <t>Uganda Shilling</t>
  </si>
  <si>
    <t>USD</t>
  </si>
  <si>
    <t>US Dollar</t>
  </si>
  <si>
    <t>USN</t>
  </si>
  <si>
    <t>US Dollar (Next day)</t>
  </si>
  <si>
    <t>UYI</t>
  </si>
  <si>
    <t>Uruguay Peso en Unidades Indexadas (URUIURUI)</t>
  </si>
  <si>
    <t>UYU</t>
  </si>
  <si>
    <t>Peso Uruguayo</t>
  </si>
  <si>
    <t>UZS</t>
  </si>
  <si>
    <t>Uzbekistan Sum</t>
  </si>
  <si>
    <t>VEF</t>
  </si>
  <si>
    <t>Bolivar</t>
  </si>
  <si>
    <t>VND</t>
  </si>
  <si>
    <t>Dong</t>
  </si>
  <si>
    <t>VUV</t>
  </si>
  <si>
    <t>Vatu</t>
  </si>
  <si>
    <t>WST</t>
  </si>
  <si>
    <t>Tala</t>
  </si>
  <si>
    <t>XAF</t>
  </si>
  <si>
    <t>CFA Franc BEAC</t>
  </si>
  <si>
    <t>XAG</t>
  </si>
  <si>
    <t>Silver</t>
  </si>
  <si>
    <t>XAU</t>
  </si>
  <si>
    <t>Gold</t>
  </si>
  <si>
    <t>XBA</t>
  </si>
  <si>
    <t>Bond Markets Unit European Composite Unit (EURCO)</t>
  </si>
  <si>
    <t>XBB</t>
  </si>
  <si>
    <t>Bond Markets Unit European Monetary Unit (E.M.U.-6)</t>
  </si>
  <si>
    <t>XBC</t>
  </si>
  <si>
    <t>Bond Markets Unit European Unit of Account 9 (E.U.A.-9)</t>
  </si>
  <si>
    <t>XBD</t>
  </si>
  <si>
    <t>Bond Markets Unit European Unit of Account 17 (E.U.A.-17)</t>
  </si>
  <si>
    <t>XCD</t>
  </si>
  <si>
    <t>East Caribbean Dollar</t>
  </si>
  <si>
    <t>XDR</t>
  </si>
  <si>
    <t>SDR (Special Drawing Right)</t>
  </si>
  <si>
    <t>XOF</t>
  </si>
  <si>
    <t>CFA Franc BCEAO</t>
  </si>
  <si>
    <t>XPD</t>
  </si>
  <si>
    <t>Palladium</t>
  </si>
  <si>
    <t>XPF</t>
  </si>
  <si>
    <t>CFP Franc</t>
  </si>
  <si>
    <t>XPT</t>
  </si>
  <si>
    <t>Platinum</t>
  </si>
  <si>
    <t>XSU</t>
  </si>
  <si>
    <t>Sucre</t>
  </si>
  <si>
    <t>XTS</t>
  </si>
  <si>
    <t>Codes specifically reserved for testing purposes</t>
  </si>
  <si>
    <t>XUA</t>
  </si>
  <si>
    <t>ADB Unit of Account</t>
  </si>
  <si>
    <t>XXX</t>
  </si>
  <si>
    <t>The codes assigned for transactions where no currency is involved</t>
  </si>
  <si>
    <t>YER</t>
  </si>
  <si>
    <t>Yemeni Rial</t>
  </si>
  <si>
    <t>ZAR</t>
  </si>
  <si>
    <t>Rand</t>
  </si>
  <si>
    <t>ZMW</t>
  </si>
  <si>
    <t>Zambian Kwacha</t>
  </si>
  <si>
    <t>ZWL</t>
  </si>
  <si>
    <t>Zimbabwe Dollar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</si>
</sst>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</numFmts>
  <fonts count="32">
    <font>
      <sz val="11"/>
      <color theme="1"/>
      <name val="Calibri"/>
      <family val="2"/>
      <charset val="0"/>
      <scheme val="minor"/>
    </font>
    <font>
      <b/>
      <sz val="12"/>
      <name val="Calibri"/>
      <family val="2"/>
      <charset val="0"/>
    </font>
    <font>
      <b/>
      <sz val="11"/>
      <color indexed="63"/>
      <name val="Helvetica"/>
      <family val="2"/>
      <charset val="0"/>
    </font>
    <font>
      <sz val="9"/>
      <color theme="1"/>
      <name val="Arial"/>
      <family val="2"/>
      <charset val="0"/>
    </font>
    <font>
      <sz val="8"/>
      <color indexed="8"/>
      <name val="Arial"/>
      <family val="2"/>
      <charset val="0"/>
    </font>
    <font>
      <b/>
      <sz val="8"/>
      <color indexed="8"/>
      <name val="Arial"/>
      <family val="2"/>
      <charset val="0"/>
    </font>
    <font>
      <sz val="8"/>
      <color indexed="9"/>
      <name val="Arial"/>
      <family val="2"/>
      <charset val="0"/>
    </font>
    <font>
      <b/>
      <sz val="8"/>
      <name val="Arial"/>
      <family val="2"/>
      <charset val="0"/>
    </font>
    <font>
      <b/>
      <sz val="8"/>
      <color indexed="9"/>
      <name val="Arial"/>
      <family val="2"/>
      <charset val="0"/>
    </font>
    <font>
      <sz val="8"/>
      <color indexed="22"/>
      <name val="Arial"/>
      <family val="2"/>
      <charset val="0"/>
    </font>
    <font>
      <sz val="8"/>
      <name val="Arial"/>
      <family val="2"/>
      <charset val="0"/>
    </font>
    <font>
      <sz val="11"/>
      <color indexed="8"/>
      <name val="Calibri"/>
      <family val="2"/>
      <charset val="0"/>
    </font>
    <font>
      <u/>
      <sz val="11"/>
      <color theme="10"/>
      <name val="Calibri"/>
      <family val="2"/>
      <charset val="0"/>
    </font>
    <font>
      <u/>
      <sz val="11"/>
      <color theme="11"/>
      <name val="Calibri"/>
      <family val="2"/>
      <charset val="0"/>
    </font>
    <font>
      <sz val="11"/>
      <color rgb="FFFF0000"/>
      <name val="Calibri"/>
      <family val="2"/>
      <charset val="0"/>
      <scheme val="minor"/>
    </font>
    <font>
      <b/>
      <sz val="18"/>
      <color theme="3"/>
      <name val="Cambria"/>
      <family val="2"/>
      <charset val="0"/>
      <scheme val="major"/>
    </font>
    <font>
      <i/>
      <sz val="11"/>
      <color rgb="FF7F7F7F"/>
      <name val="Calibri"/>
      <family val="2"/>
      <charset val="0"/>
      <scheme val="minor"/>
    </font>
    <font>
      <b/>
      <sz val="15"/>
      <color theme="3"/>
      <name val="Calibri"/>
      <family val="2"/>
      <charset val="0"/>
      <scheme val="minor"/>
    </font>
    <font>
      <b/>
      <sz val="13"/>
      <color theme="3"/>
      <name val="Calibri"/>
      <family val="2"/>
      <charset val="0"/>
      <scheme val="minor"/>
    </font>
    <font>
      <b/>
      <sz val="11"/>
      <color theme="3"/>
      <name val="Calibri"/>
      <family val="2"/>
      <charset val="0"/>
      <scheme val="minor"/>
    </font>
    <font>
      <sz val="11"/>
      <color rgb="FF3F3F76"/>
      <name val="Calibri"/>
      <family val="2"/>
      <charset val="0"/>
      <scheme val="minor"/>
    </font>
    <font>
      <b/>
      <sz val="11"/>
      <color rgb="FF3F3F3F"/>
      <name val="Calibri"/>
      <family val="2"/>
      <charset val="0"/>
      <scheme val="minor"/>
    </font>
    <font>
      <b/>
      <sz val="11"/>
      <color rgb="FFFA7D00"/>
      <name val="Calibri"/>
      <family val="2"/>
      <charset val="0"/>
      <scheme val="minor"/>
    </font>
    <font>
      <b/>
      <sz val="11"/>
      <color theme="0"/>
      <name val="Calibri"/>
      <family val="2"/>
      <charset val="0"/>
      <scheme val="minor"/>
    </font>
    <font>
      <sz val="11"/>
      <color rgb="FFFA7D00"/>
      <name val="Calibri"/>
      <family val="2"/>
      <charset val="0"/>
      <scheme val="minor"/>
    </font>
    <font>
      <b/>
      <sz val="11"/>
      <color theme="1"/>
      <name val="Calibri"/>
      <family val="2"/>
      <charset val="0"/>
      <scheme val="minor"/>
    </font>
    <font>
      <sz val="11"/>
      <color rgb="FF006100"/>
      <name val="Calibri"/>
      <family val="2"/>
      <charset val="0"/>
      <scheme val="minor"/>
    </font>
    <font>
      <sz val="11"/>
      <color rgb="FF9C0006"/>
      <name val="Calibri"/>
      <family val="2"/>
      <charset val="0"/>
      <scheme val="minor"/>
    </font>
    <font>
      <sz val="11"/>
      <color rgb="FF9C6500"/>
      <name val="Calibri"/>
      <family val="2"/>
      <charset val="0"/>
      <scheme val="minor"/>
    </font>
    <font>
      <sz val="11"/>
      <color theme="0"/>
      <name val="Calibri"/>
      <family val="2"/>
      <charset val="0"/>
      <scheme val="minor"/>
    </font>
    <font>
      <sz val="10"/>
      <name val="Arial"/>
      <family val="2"/>
      <charset val="0"/>
    </font>
    <font>
      <sz val="12"/>
      <name val="Times New Roman"/>
      <family val="1"/>
      <charset val="0"/>
    </font>
  </fonts>
  <fills count="40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65"/>
        <bgColor indexed="11"/>
      </patternFill>
    </fill>
    <fill>
      <patternFill patternType="solid">
        <fgColor indexed="22"/>
        <bgColor indexed="11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0">
    <xf numFmtId="0" fontId="0" fillId="0" borderId="0"/>
    <xf numFmtId="43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2" fontId="11" fillId="0" borderId="0" applyFont="0" applyFill="0" applyBorder="0" applyAlignment="0" applyProtection="0"/>
    <xf numFmtId="0" fontId="12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11" fillId="9" borderId="12" applyNumberFormat="0" applyFon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13" applyNumberFormat="0" applyFill="0" applyAlignment="0" applyProtection="0"/>
    <xf numFmtId="0" fontId="18" fillId="0" borderId="14" applyNumberFormat="0" applyFill="0" applyAlignment="0" applyProtection="0"/>
    <xf numFmtId="0" fontId="19" fillId="0" borderId="15" applyNumberFormat="0" applyFill="0" applyAlignment="0" applyProtection="0"/>
    <xf numFmtId="0" fontId="19" fillId="0" borderId="0" applyNumberFormat="0" applyFill="0" applyBorder="0" applyAlignment="0" applyProtection="0"/>
    <xf numFmtId="0" fontId="20" fillId="10" borderId="16" applyNumberFormat="0" applyAlignment="0" applyProtection="0"/>
    <xf numFmtId="0" fontId="21" fillId="11" borderId="17" applyNumberFormat="0" applyAlignment="0" applyProtection="0"/>
    <xf numFmtId="0" fontId="22" fillId="11" borderId="16" applyNumberFormat="0" applyAlignment="0" applyProtection="0"/>
    <xf numFmtId="0" fontId="23" fillId="12" borderId="18" applyNumberFormat="0" applyAlignment="0" applyProtection="0"/>
    <xf numFmtId="0" fontId="24" fillId="0" borderId="19" applyNumberFormat="0" applyFill="0" applyAlignment="0" applyProtection="0"/>
    <xf numFmtId="0" fontId="25" fillId="0" borderId="20" applyNumberFormat="0" applyFill="0" applyAlignment="0" applyProtection="0"/>
    <xf numFmtId="0" fontId="26" fillId="13" borderId="0" applyNumberFormat="0" applyBorder="0" applyAlignment="0" applyProtection="0"/>
    <xf numFmtId="0" fontId="27" fillId="14" borderId="0" applyNumberFormat="0" applyBorder="0" applyAlignment="0" applyProtection="0"/>
    <xf numFmtId="0" fontId="28" fillId="15" borderId="0" applyNumberFormat="0" applyBorder="0" applyAlignment="0" applyProtection="0"/>
    <xf numFmtId="0" fontId="29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18" borderId="0" applyNumberFormat="0" applyBorder="0" applyAlignment="0" applyProtection="0"/>
    <xf numFmtId="0" fontId="29" fillId="19" borderId="0" applyNumberFormat="0" applyBorder="0" applyAlignment="0" applyProtection="0"/>
    <xf numFmtId="0" fontId="29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2" borderId="0" applyNumberFormat="0" applyBorder="0" applyAlignment="0" applyProtection="0"/>
    <xf numFmtId="0" fontId="29" fillId="23" borderId="0" applyNumberFormat="0" applyBorder="0" applyAlignment="0" applyProtection="0"/>
    <xf numFmtId="0" fontId="29" fillId="24" borderId="0" applyNumberFormat="0" applyBorder="0" applyAlignment="0" applyProtection="0"/>
    <xf numFmtId="0" fontId="0" fillId="25" borderId="0" applyNumberFormat="0" applyBorder="0" applyAlignment="0" applyProtection="0"/>
    <xf numFmtId="0" fontId="0" fillId="26" borderId="0" applyNumberFormat="0" applyBorder="0" applyAlignment="0" applyProtection="0"/>
    <xf numFmtId="0" fontId="29" fillId="27" borderId="0" applyNumberFormat="0" applyBorder="0" applyAlignment="0" applyProtection="0"/>
    <xf numFmtId="0" fontId="29" fillId="28" borderId="0" applyNumberFormat="0" applyBorder="0" applyAlignment="0" applyProtection="0"/>
    <xf numFmtId="0" fontId="0" fillId="29" borderId="0" applyNumberFormat="0" applyBorder="0" applyAlignment="0" applyProtection="0"/>
    <xf numFmtId="0" fontId="0" fillId="30" borderId="0" applyNumberFormat="0" applyBorder="0" applyAlignment="0" applyProtection="0"/>
    <xf numFmtId="0" fontId="29" fillId="31" borderId="0" applyNumberFormat="0" applyBorder="0" applyAlignment="0" applyProtection="0"/>
    <xf numFmtId="0" fontId="29" fillId="32" borderId="0" applyNumberFormat="0" applyBorder="0" applyAlignment="0" applyProtection="0"/>
    <xf numFmtId="0" fontId="0" fillId="33" borderId="0" applyNumberFormat="0" applyBorder="0" applyAlignment="0" applyProtection="0"/>
    <xf numFmtId="0" fontId="0" fillId="34" borderId="0" applyNumberFormat="0" applyBorder="0" applyAlignment="0" applyProtection="0"/>
    <xf numFmtId="0" fontId="29" fillId="35" borderId="0" applyNumberFormat="0" applyBorder="0" applyAlignment="0" applyProtection="0"/>
    <xf numFmtId="0" fontId="29" fillId="36" borderId="0" applyNumberFormat="0" applyBorder="0" applyAlignment="0" applyProtection="0"/>
    <xf numFmtId="0" fontId="0" fillId="37" borderId="0" applyNumberFormat="0" applyBorder="0" applyAlignment="0" applyProtection="0"/>
    <xf numFmtId="0" fontId="0" fillId="38" borderId="0" applyNumberFormat="0" applyBorder="0" applyAlignment="0" applyProtection="0"/>
    <xf numFmtId="0" fontId="29" fillId="39" borderId="0" applyNumberFormat="0" applyBorder="0" applyAlignment="0" applyProtection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1" fillId="0" borderId="0">
      <alignment vertical="center"/>
    </xf>
    <xf numFmtId="0" fontId="30" fillId="0" borderId="0"/>
    <xf numFmtId="0" fontId="30" fillId="0" borderId="0"/>
    <xf numFmtId="0" fontId="30" fillId="0" borderId="0"/>
    <xf numFmtId="9" fontId="30" fillId="0" borderId="0" applyFont="0" applyFill="0" applyBorder="0" applyAlignment="0" applyProtection="0"/>
  </cellStyleXfs>
  <cellXfs count="7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49" fontId="3" fillId="3" borderId="2" xfId="0" applyNumberFormat="1" applyFont="1" applyFill="1" applyBorder="1" applyAlignment="1">
      <alignment horizontal="center" vertical="top" wrapText="1"/>
    </xf>
    <xf numFmtId="49" fontId="3" fillId="3" borderId="2" xfId="0" applyNumberFormat="1" applyFont="1" applyFill="1" applyBorder="1" applyAlignment="1">
      <alignment vertical="top" wrapText="1"/>
    </xf>
    <xf numFmtId="49" fontId="3" fillId="0" borderId="2" xfId="0" applyNumberFormat="1" applyFont="1" applyFill="1" applyBorder="1" applyAlignment="1">
      <alignment horizontal="center" vertical="top" wrapText="1"/>
    </xf>
    <xf numFmtId="49" fontId="3" fillId="0" borderId="2" xfId="0" applyNumberFormat="1" applyFont="1" applyFill="1" applyBorder="1" applyAlignment="1">
      <alignment vertical="top" wrapText="1"/>
    </xf>
    <xf numFmtId="49" fontId="3" fillId="3" borderId="3" xfId="0" applyNumberFormat="1" applyFont="1" applyFill="1" applyBorder="1" applyAlignment="1">
      <alignment horizontal="center" vertical="top" wrapText="1"/>
    </xf>
    <xf numFmtId="49" fontId="3" fillId="3" borderId="3" xfId="0" applyNumberFormat="1" applyFont="1" applyFill="1" applyBorder="1" applyAlignment="1">
      <alignment vertical="top" wrapText="1"/>
    </xf>
    <xf numFmtId="49" fontId="3" fillId="3" borderId="1" xfId="0" applyNumberFormat="1" applyFont="1" applyFill="1" applyBorder="1" applyAlignment="1">
      <alignment horizontal="center" vertical="top" wrapText="1"/>
    </xf>
    <xf numFmtId="49" fontId="3" fillId="3" borderId="1" xfId="0" applyNumberFormat="1" applyFont="1" applyFill="1" applyBorder="1" applyAlignment="1">
      <alignment vertical="top" wrapText="1"/>
    </xf>
    <xf numFmtId="0" fontId="4" fillId="0" borderId="0" xfId="0" applyFont="1" applyAlignment="1">
      <alignment vertical="center"/>
    </xf>
    <xf numFmtId="0" fontId="4" fillId="0" borderId="0" xfId="0" applyFont="1" applyFill="1"/>
    <xf numFmtId="0" fontId="5" fillId="0" borderId="0" xfId="0" applyFont="1" applyFill="1"/>
    <xf numFmtId="0" fontId="6" fillId="0" borderId="0" xfId="0" applyFont="1"/>
    <xf numFmtId="0" fontId="4" fillId="0" borderId="0" xfId="0" applyFont="1"/>
    <xf numFmtId="0" fontId="7" fillId="4" borderId="1" xfId="55" applyFont="1" applyFill="1" applyBorder="1" applyAlignment="1">
      <alignment horizontal="center" vertical="center"/>
    </xf>
    <xf numFmtId="0" fontId="5" fillId="4" borderId="1" xfId="49" applyFont="1" applyFill="1" applyBorder="1" applyAlignment="1" applyProtection="1"/>
    <xf numFmtId="15" fontId="7" fillId="0" borderId="1" xfId="50" applyNumberFormat="1" applyFont="1" applyFill="1" applyBorder="1" applyAlignment="1" applyProtection="1">
      <alignment horizontal="center"/>
    </xf>
    <xf numFmtId="15" fontId="7" fillId="0" borderId="4" xfId="50" applyNumberFormat="1" applyFont="1" applyFill="1" applyBorder="1" applyAlignment="1" applyProtection="1">
      <alignment horizontal="center"/>
    </xf>
    <xf numFmtId="15" fontId="7" fillId="4" borderId="1" xfId="50" applyNumberFormat="1" applyFont="1" applyFill="1" applyBorder="1" applyAlignment="1" applyProtection="1">
      <alignment horizontal="left"/>
    </xf>
    <xf numFmtId="15" fontId="7" fillId="0" borderId="0" xfId="50" applyNumberFormat="1" applyFont="1" applyFill="1" applyBorder="1" applyAlignment="1" applyProtection="1">
      <alignment horizontal="center"/>
    </xf>
    <xf numFmtId="0" fontId="7" fillId="4" borderId="1" xfId="50" applyFont="1" applyFill="1" applyBorder="1" applyProtection="1"/>
    <xf numFmtId="0" fontId="0" fillId="0" borderId="1" xfId="0" applyBorder="1" applyAlignment="1">
      <alignment horizontal="center"/>
    </xf>
    <xf numFmtId="0" fontId="6" fillId="0" borderId="1" xfId="55" applyFont="1" applyBorder="1">
      <alignment vertical="center"/>
    </xf>
    <xf numFmtId="15" fontId="7" fillId="0" borderId="5" xfId="50" applyNumberFormat="1" applyFont="1" applyFill="1" applyBorder="1" applyAlignment="1" applyProtection="1">
      <alignment horizontal="center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vertical="center"/>
    </xf>
    <xf numFmtId="0" fontId="7" fillId="4" borderId="1" xfId="49" applyFont="1" applyFill="1" applyBorder="1" applyAlignment="1">
      <alignment vertical="center" wrapText="1"/>
    </xf>
    <xf numFmtId="0" fontId="7" fillId="5" borderId="1" xfId="49" applyFont="1" applyFill="1" applyBorder="1" applyAlignment="1">
      <alignment vertical="center"/>
    </xf>
    <xf numFmtId="0" fontId="7" fillId="4" borderId="1" xfId="49" applyFont="1" applyFill="1" applyBorder="1" applyAlignment="1">
      <alignment horizontal="center" vertical="center" wrapText="1"/>
    </xf>
    <xf numFmtId="0" fontId="8" fillId="0" borderId="0" xfId="0" applyFont="1"/>
    <xf numFmtId="0" fontId="9" fillId="4" borderId="1" xfId="0" applyFont="1" applyFill="1" applyBorder="1"/>
    <xf numFmtId="0" fontId="7" fillId="4" borderId="1" xfId="49" applyFont="1" applyFill="1" applyBorder="1" applyAlignment="1">
      <alignment horizontal="left"/>
    </xf>
    <xf numFmtId="0" fontId="4" fillId="4" borderId="1" xfId="0" applyFont="1" applyFill="1" applyBorder="1" applyAlignment="1"/>
    <xf numFmtId="3" fontId="7" fillId="4" borderId="1" xfId="49" applyNumberFormat="1" applyFont="1" applyFill="1" applyBorder="1" applyAlignment="1">
      <alignment horizontal="right"/>
    </xf>
    <xf numFmtId="0" fontId="4" fillId="0" borderId="1" xfId="0" applyFont="1" applyBorder="1"/>
    <xf numFmtId="0" fontId="7" fillId="6" borderId="1" xfId="0" applyFont="1" applyFill="1" applyBorder="1" applyAlignment="1" applyProtection="1">
      <alignment vertical="center" wrapText="1"/>
      <protection locked="0"/>
    </xf>
    <xf numFmtId="0" fontId="7" fillId="6" borderId="1" xfId="0" applyFont="1" applyFill="1" applyBorder="1" applyAlignment="1" applyProtection="1">
      <alignment horizontal="right" vertical="center" wrapText="1"/>
      <protection locked="0"/>
    </xf>
    <xf numFmtId="3" fontId="10" fillId="0" borderId="1" xfId="49" applyNumberFormat="1" applyFont="1" applyFill="1" applyBorder="1" applyProtection="1">
      <protection locked="0"/>
    </xf>
    <xf numFmtId="0" fontId="9" fillId="4" borderId="1" xfId="0" applyFont="1" applyFill="1" applyBorder="1" applyProtection="1"/>
    <xf numFmtId="0" fontId="7" fillId="4" borderId="1" xfId="49" applyFont="1" applyFill="1" applyBorder="1" applyAlignment="1" applyProtection="1">
      <alignment horizontal="left"/>
    </xf>
    <xf numFmtId="0" fontId="4" fillId="4" borderId="1" xfId="0" applyFont="1" applyFill="1" applyBorder="1" applyAlignment="1" applyProtection="1"/>
    <xf numFmtId="3" fontId="7" fillId="4" borderId="1" xfId="49" applyNumberFormat="1" applyFont="1" applyFill="1" applyBorder="1" applyAlignment="1" applyProtection="1">
      <alignment horizontal="right"/>
    </xf>
    <xf numFmtId="0" fontId="8" fillId="0" borderId="0" xfId="0" applyFont="1" applyFill="1"/>
    <xf numFmtId="0" fontId="4" fillId="4" borderId="1" xfId="0" applyFont="1" applyFill="1" applyBorder="1" applyProtection="1"/>
    <xf numFmtId="0" fontId="10" fillId="4" borderId="1" xfId="49" applyFont="1" applyFill="1" applyBorder="1" applyProtection="1"/>
    <xf numFmtId="0" fontId="7" fillId="7" borderId="1" xfId="0" applyFont="1" applyFill="1" applyBorder="1" applyAlignment="1" applyProtection="1">
      <alignment horizontal="right" vertical="center" wrapText="1"/>
    </xf>
    <xf numFmtId="3" fontId="10" fillId="4" borderId="1" xfId="49" applyNumberFormat="1" applyFont="1" applyFill="1" applyBorder="1" applyProtection="1"/>
    <xf numFmtId="0" fontId="6" fillId="0" borderId="0" xfId="0" applyFont="1" applyFill="1"/>
    <xf numFmtId="0" fontId="4" fillId="0" borderId="1" xfId="0" applyFont="1" applyFill="1" applyBorder="1" applyAlignment="1">
      <alignment horizontal="right"/>
    </xf>
    <xf numFmtId="0" fontId="4" fillId="0" borderId="1" xfId="0" applyFont="1" applyFill="1" applyBorder="1"/>
    <xf numFmtId="0" fontId="7" fillId="4" borderId="1" xfId="0" applyFont="1" applyFill="1" applyBorder="1" applyAlignment="1" applyProtection="1">
      <alignment vertical="center" wrapText="1"/>
    </xf>
    <xf numFmtId="0" fontId="4" fillId="4" borderId="1" xfId="0" applyFont="1" applyFill="1" applyBorder="1" applyAlignment="1" applyProtection="1">
      <alignment vertical="center" wrapText="1"/>
    </xf>
    <xf numFmtId="0" fontId="7" fillId="4" borderId="1" xfId="49" applyFont="1" applyFill="1" applyBorder="1" applyAlignment="1" applyProtection="1">
      <alignment horizontal="right"/>
    </xf>
    <xf numFmtId="0" fontId="10" fillId="0" borderId="1" xfId="49" applyNumberFormat="1" applyFont="1" applyFill="1" applyBorder="1" applyAlignment="1" applyProtection="1">
      <alignment horizontal="right"/>
      <protection locked="0"/>
    </xf>
    <xf numFmtId="0" fontId="5" fillId="4" borderId="1" xfId="0" applyFont="1" applyFill="1" applyBorder="1" applyProtection="1"/>
    <xf numFmtId="0" fontId="7" fillId="4" borderId="1" xfId="49" applyFont="1" applyFill="1" applyBorder="1" applyProtection="1"/>
    <xf numFmtId="3" fontId="7" fillId="4" borderId="1" xfId="49" applyNumberFormat="1" applyFont="1" applyFill="1" applyBorder="1" applyProtection="1"/>
    <xf numFmtId="0" fontId="4" fillId="4" borderId="1" xfId="0" applyFont="1" applyFill="1" applyBorder="1"/>
    <xf numFmtId="0" fontId="4" fillId="4" borderId="6" xfId="0" applyFont="1" applyFill="1" applyBorder="1" applyAlignment="1"/>
    <xf numFmtId="0" fontId="0" fillId="4" borderId="7" xfId="0" applyFont="1" applyFill="1" applyBorder="1" applyAlignment="1"/>
    <xf numFmtId="0" fontId="4" fillId="8" borderId="1" xfId="0" applyFont="1" applyFill="1" applyBorder="1"/>
    <xf numFmtId="0" fontId="7" fillId="5" borderId="1" xfId="49" applyFont="1" applyFill="1" applyBorder="1" applyAlignment="1"/>
    <xf numFmtId="0" fontId="4" fillId="5" borderId="1" xfId="0" applyFont="1" applyFill="1" applyBorder="1" applyAlignment="1"/>
    <xf numFmtId="0" fontId="10" fillId="8" borderId="6" xfId="49" applyFont="1" applyFill="1" applyBorder="1" applyAlignment="1">
      <alignment horizontal="center"/>
    </xf>
    <xf numFmtId="0" fontId="10" fillId="8" borderId="7" xfId="49" applyFont="1" applyFill="1" applyBorder="1" applyAlignment="1">
      <alignment horizontal="center"/>
    </xf>
    <xf numFmtId="0" fontId="4" fillId="0" borderId="6" xfId="0" applyFont="1" applyBorder="1"/>
    <xf numFmtId="0" fontId="7" fillId="3" borderId="1" xfId="49" applyFont="1" applyFill="1" applyBorder="1" applyProtection="1"/>
    <xf numFmtId="0" fontId="4" fillId="0" borderId="7" xfId="0" applyFont="1" applyBorder="1"/>
    <xf numFmtId="15" fontId="7" fillId="0" borderId="8" xfId="50" applyNumberFormat="1" applyFont="1" applyFill="1" applyBorder="1" applyAlignment="1" applyProtection="1">
      <alignment horizontal="center"/>
    </xf>
    <xf numFmtId="15" fontId="7" fillId="0" borderId="9" xfId="50" applyNumberFormat="1" applyFont="1" applyFill="1" applyBorder="1" applyAlignment="1" applyProtection="1">
      <alignment horizontal="center"/>
    </xf>
    <xf numFmtId="15" fontId="7" fillId="0" borderId="10" xfId="50" applyNumberFormat="1" applyFont="1" applyFill="1" applyBorder="1" applyAlignment="1" applyProtection="1">
      <alignment horizontal="center"/>
    </xf>
    <xf numFmtId="0" fontId="4" fillId="0" borderId="11" xfId="0" applyFont="1" applyBorder="1" applyAlignment="1">
      <alignment horizontal="center"/>
    </xf>
    <xf numFmtId="0" fontId="0" fillId="4" borderId="11" xfId="0" applyFont="1" applyFill="1" applyBorder="1" applyAlignment="1"/>
    <xf numFmtId="0" fontId="10" fillId="8" borderId="11" xfId="49" applyFont="1" applyFill="1" applyBorder="1" applyAlignment="1">
      <alignment horizontal="center"/>
    </xf>
    <xf numFmtId="0" fontId="4" fillId="0" borderId="11" xfId="0" applyFont="1" applyBorder="1"/>
  </cellXfs>
  <cellStyles count="6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3" xfId="50"/>
    <cellStyle name="Normal 3 2" xfId="51"/>
    <cellStyle name="Normal 4" xfId="52"/>
    <cellStyle name="Normal 5" xfId="53"/>
    <cellStyle name="Normal 5 2" xfId="54"/>
    <cellStyle name="Normal 6" xfId="55"/>
    <cellStyle name="Normal 7" xfId="56"/>
    <cellStyle name="Normal 7 2" xfId="57"/>
    <cellStyle name="Normal 7 3" xfId="58"/>
    <cellStyle name="Percent 2" xfId="59"/>
  </cellStyles>
  <tableStyles count="0" defaultTableStyle="TableStyleMedium9" defaultPivotStyle="PivotStyleLight16"/>
  <colors>
    <mruColors>
      <color rgb="00333333"/>
      <color rgb="0099CCFF"/>
      <color rgb="00FFFF00"/>
      <color rgb="00C0C0C0"/>
      <color rgb="00FFFF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trlProps/ctrlProp1.xml><?xml version="1.0" encoding="utf-8"?>
<formControlPr xmlns="http://schemas.microsoft.com/office/spreadsheetml/2009/9/main" objectType="Button" val="0"/>
</file>

<file path=xl/ctrlProps/ctrlProp2.xml><?xml version="1.0" encoding="utf-8"?>
<formControlPr xmlns="http://schemas.microsoft.com/office/spreadsheetml/2009/9/main" objectType="Button" val="0"/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438785</xdr:colOff>
          <xdr:row>3</xdr:row>
          <xdr:rowOff>143510</xdr:rowOff>
        </xdr:from>
        <xdr:to>
          <xdr:col>9</xdr:col>
          <xdr:colOff>548640</xdr:colOff>
          <xdr:row>4</xdr:row>
          <xdr:rowOff>190500</xdr:rowOff>
        </xdr:to>
        <xdr:sp macro="[0]!InsertRowb36">
          <xdr:nvSpPr>
            <xdr:cNvPr id="1025" name="Button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7461885" y="722630"/>
              <a:ext cx="1605915" cy="302260"/>
            </a:xfrm>
            <a:prstGeom prst="rect">
              <a:avLst/>
            </a:prstGeom>
          </xdr:spPr>
          <xdr:txBody>
            <a:bodyPr vert="horz" wrap="square" lIns="27432" tIns="18288" rIns="27432" bIns="18288" anchor="ctr" anchorCtr="0" upright="1"/>
            <a:p>
              <a:pPr algn="ctr" rtl="0"/>
              <a:r>
                <a:rPr lang="zh-CN" altLang="en-US">
                  <a:solidFill>
                    <a:srgbClr val="000000"/>
                  </a:solidFill>
                  <a:latin typeface="Calibri" panose="020F0502020204030204" charset="0"/>
                  <a:ea typeface="Calibri" panose="020F0502020204030204" charset="0"/>
                  <a:cs typeface="Calibri" panose="020F0502020204030204" charset="0"/>
                  <a:sym typeface="Calibri" panose="020F0502020204030204" charset="0"/>
                </a:rPr>
                <a:t>INSERT</a:t>
              </a:r>
              <a:endParaRPr lang="zh-CN" altLang="en-US">
                <a:solidFill>
                  <a:srgbClr val="000000"/>
                </a:solidFill>
                <a:latin typeface="Calibri" panose="020F0502020204030204" charset="0"/>
                <a:ea typeface="Calibri" panose="020F0502020204030204" charset="0"/>
                <a:cs typeface="Calibri" panose="020F0502020204030204" charset="0"/>
                <a:sym typeface="Calibri" panose="020F0502020204030204" charset="0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0</xdr:colOff>
          <xdr:row>3</xdr:row>
          <xdr:rowOff>143510</xdr:rowOff>
        </xdr:from>
        <xdr:to>
          <xdr:col>12</xdr:col>
          <xdr:colOff>120015</xdr:colOff>
          <xdr:row>4</xdr:row>
          <xdr:rowOff>162560</xdr:rowOff>
        </xdr:to>
        <xdr:sp macro="[0]!DeleteRow36">
          <xdr:nvSpPr>
            <xdr:cNvPr id="1026" name="Button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>
            <a:xfrm>
              <a:off x="9267190" y="722630"/>
              <a:ext cx="1616075" cy="274320"/>
            </a:xfrm>
            <a:prstGeom prst="rect">
              <a:avLst/>
            </a:prstGeom>
          </xdr:spPr>
          <xdr:txBody>
            <a:bodyPr vert="horz" wrap="square" lIns="27432" tIns="18288" rIns="27432" bIns="18288" anchor="ctr" anchorCtr="0" upright="1"/>
            <a:p>
              <a:pPr algn="ctr" rtl="0"/>
              <a:r>
                <a:rPr lang="zh-CN" altLang="en-US">
                  <a:solidFill>
                    <a:srgbClr val="000000"/>
                  </a:solidFill>
                  <a:latin typeface="Calibri" panose="020F0502020204030204" charset="0"/>
                  <a:ea typeface="Calibri" panose="020F0502020204030204" charset="0"/>
                  <a:cs typeface="Calibri" panose="020F0502020204030204" charset="0"/>
                  <a:sym typeface="Calibri" panose="020F0502020204030204" charset="0"/>
                </a:rPr>
                <a:t>DELETE</a:t>
              </a:r>
              <a:endParaRPr lang="zh-CN" altLang="en-US">
                <a:solidFill>
                  <a:srgbClr val="000000"/>
                </a:solidFill>
                <a:latin typeface="Calibri" panose="020F0502020204030204" charset="0"/>
                <a:ea typeface="Calibri" panose="020F0502020204030204" charset="0"/>
                <a:cs typeface="Calibri" panose="020F0502020204030204" charset="0"/>
                <a:sym typeface="Calibri" panose="020F0502020204030204" charset="0"/>
              </a:endParaRP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ctrlProp" Target="../ctrlProps/ctrlProp2.xml"/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tabColor rgb="FFFFFF00"/>
    <pageSetUpPr fitToPage="1"/>
  </sheetPr>
  <dimension ref="A1:P27"/>
  <sheetViews>
    <sheetView showGridLines="0" tabSelected="1" zoomScaleSheetLayoutView="60" workbookViewId="0">
      <selection activeCell="H11" sqref="H11"/>
    </sheetView>
  </sheetViews>
  <sheetFormatPr defaultColWidth="0" defaultRowHeight="15" customHeight="1"/>
  <cols>
    <col min="1" max="1" width="6.42727272727273" style="14" customWidth="1"/>
    <col min="2" max="2" width="5.70909090909091" style="15" customWidth="1"/>
    <col min="3" max="3" width="34.4272727272727" style="15" customWidth="1"/>
    <col min="4" max="4" width="21.8545454545455" style="15" customWidth="1"/>
    <col min="5" max="16" width="10.7090909090909" style="15" customWidth="1"/>
    <col min="17" max="17" width="1.70909090909091" style="15" customWidth="1"/>
    <col min="18" max="16384" width="0" style="15" hidden="1"/>
  </cols>
  <sheetData>
    <row r="1" ht="6.75" customHeight="1" spans="1:1">
      <c r="A1" s="14" t="s">
        <v>0</v>
      </c>
    </row>
    <row r="2" ht="18.75" customHeight="1" spans="1:16">
      <c r="A2" s="14" t="s">
        <v>0</v>
      </c>
      <c r="B2" s="16" t="s">
        <v>1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</row>
    <row r="3" ht="20.1" customHeight="1" spans="1:16">
      <c r="A3" s="14" t="s">
        <v>0</v>
      </c>
      <c r="B3" s="17" t="s">
        <v>2</v>
      </c>
      <c r="C3" s="18" t="s">
        <v>3</v>
      </c>
      <c r="D3" s="18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72"/>
    </row>
    <row r="4" ht="20.1" customHeight="1" spans="1:16">
      <c r="A4" s="14" t="s">
        <v>0</v>
      </c>
      <c r="B4" s="20" t="s">
        <v>4</v>
      </c>
      <c r="C4" s="18" t="s">
        <v>5</v>
      </c>
      <c r="D4" s="18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73"/>
    </row>
    <row r="5" ht="20.1" customHeight="1" spans="1:16">
      <c r="A5" s="14" t="s">
        <v>0</v>
      </c>
      <c r="B5" s="22" t="s">
        <v>6</v>
      </c>
      <c r="C5" s="18"/>
      <c r="D5" s="18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73"/>
    </row>
    <row r="6" ht="20.1" customHeight="1" spans="1:16">
      <c r="A6" s="14" t="s">
        <v>0</v>
      </c>
      <c r="B6" s="23"/>
      <c r="C6" s="23"/>
      <c r="D6" s="24">
        <v>1</v>
      </c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74"/>
    </row>
    <row r="7" customHeight="1" spans="1:16">
      <c r="A7" s="14" t="s">
        <v>0</v>
      </c>
      <c r="B7" s="26"/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75"/>
    </row>
    <row r="8" ht="20.1" customHeight="1" spans="1:16">
      <c r="A8" s="14" t="s">
        <v>0</v>
      </c>
      <c r="B8" s="28"/>
      <c r="C8" s="28"/>
      <c r="D8" s="28"/>
      <c r="E8" s="28"/>
      <c r="F8" s="28"/>
      <c r="G8" s="28"/>
      <c r="H8" s="28" t="s">
        <v>7</v>
      </c>
      <c r="I8" s="28"/>
      <c r="J8" s="28"/>
      <c r="K8" s="28"/>
      <c r="L8" s="28"/>
      <c r="M8" s="28"/>
      <c r="N8" s="28"/>
      <c r="O8" s="28"/>
      <c r="P8" s="28"/>
    </row>
    <row r="9" s="11" customFormat="1" ht="50.1" customHeight="1" spans="1:16">
      <c r="A9" s="14" t="s">
        <v>0</v>
      </c>
      <c r="B9" s="29" t="s">
        <v>8</v>
      </c>
      <c r="C9" s="30" t="s">
        <v>9</v>
      </c>
      <c r="D9" s="31" t="s">
        <v>10</v>
      </c>
      <c r="E9" s="30" t="s">
        <v>11</v>
      </c>
      <c r="F9" s="32" t="s">
        <v>12</v>
      </c>
      <c r="G9" s="32" t="s">
        <v>13</v>
      </c>
      <c r="H9" s="30" t="s">
        <v>14</v>
      </c>
      <c r="I9" s="30" t="s">
        <v>15</v>
      </c>
      <c r="J9" s="30" t="s">
        <v>16</v>
      </c>
      <c r="K9" s="30" t="s">
        <v>17</v>
      </c>
      <c r="L9" s="30" t="s">
        <v>18</v>
      </c>
      <c r="M9" s="30" t="s">
        <v>19</v>
      </c>
      <c r="N9" s="30" t="s">
        <v>20</v>
      </c>
      <c r="O9" s="30" t="s">
        <v>21</v>
      </c>
      <c r="P9" s="30" t="s">
        <v>22</v>
      </c>
    </row>
    <row r="10" customHeight="1" spans="1:16">
      <c r="A10" s="33" t="s">
        <v>23</v>
      </c>
      <c r="B10" s="34"/>
      <c r="C10" s="35" t="s">
        <v>24</v>
      </c>
      <c r="D10" s="36"/>
      <c r="E10" s="37">
        <f t="shared" ref="E10:P10" si="0">SUM(E11:E11)</f>
        <v>0</v>
      </c>
      <c r="F10" s="37">
        <f t="shared" si="0"/>
        <v>0</v>
      </c>
      <c r="G10" s="37">
        <f t="shared" si="0"/>
        <v>0</v>
      </c>
      <c r="H10" s="37">
        <f t="shared" si="0"/>
        <v>0</v>
      </c>
      <c r="I10" s="37">
        <f t="shared" si="0"/>
        <v>0</v>
      </c>
      <c r="J10" s="37">
        <f t="shared" si="0"/>
        <v>0</v>
      </c>
      <c r="K10" s="37">
        <f t="shared" si="0"/>
        <v>0</v>
      </c>
      <c r="L10" s="37">
        <f t="shared" si="0"/>
        <v>0</v>
      </c>
      <c r="M10" s="37">
        <f t="shared" si="0"/>
        <v>0</v>
      </c>
      <c r="N10" s="37">
        <f t="shared" si="0"/>
        <v>0</v>
      </c>
      <c r="O10" s="37">
        <f t="shared" si="0"/>
        <v>0</v>
      </c>
      <c r="P10" s="37">
        <f t="shared" si="0"/>
        <v>0</v>
      </c>
    </row>
    <row r="11" customHeight="1" spans="1:16">
      <c r="A11" s="14" t="s">
        <v>25</v>
      </c>
      <c r="B11" s="38">
        <v>1</v>
      </c>
      <c r="C11" s="39" t="s">
        <v>26</v>
      </c>
      <c r="D11" s="40" t="s">
        <v>26</v>
      </c>
      <c r="E11" s="41">
        <v>0</v>
      </c>
      <c r="F11" s="41">
        <v>0</v>
      </c>
      <c r="G11" s="41">
        <v>0</v>
      </c>
      <c r="H11" s="41">
        <v>0</v>
      </c>
      <c r="I11" s="41">
        <v>0</v>
      </c>
      <c r="J11" s="41">
        <v>0</v>
      </c>
      <c r="K11" s="41">
        <v>0</v>
      </c>
      <c r="L11" s="41">
        <v>0</v>
      </c>
      <c r="M11" s="41">
        <v>0</v>
      </c>
      <c r="N11" s="41">
        <v>0</v>
      </c>
      <c r="O11" s="41">
        <v>0</v>
      </c>
      <c r="P11" s="41">
        <v>0</v>
      </c>
    </row>
    <row r="12" customHeight="1" spans="1:16">
      <c r="A12" s="33" t="s">
        <v>27</v>
      </c>
      <c r="B12" s="42"/>
      <c r="C12" s="43" t="s">
        <v>28</v>
      </c>
      <c r="D12" s="44"/>
      <c r="E12" s="45">
        <f t="shared" ref="E12:P12" si="1">E13+E15+E17+E19+E21</f>
        <v>0</v>
      </c>
      <c r="F12" s="45">
        <f t="shared" si="1"/>
        <v>0</v>
      </c>
      <c r="G12" s="45">
        <f t="shared" si="1"/>
        <v>0</v>
      </c>
      <c r="H12" s="45">
        <f t="shared" si="1"/>
        <v>0</v>
      </c>
      <c r="I12" s="45">
        <f t="shared" si="1"/>
        <v>0</v>
      </c>
      <c r="J12" s="45">
        <f t="shared" si="1"/>
        <v>0</v>
      </c>
      <c r="K12" s="45">
        <f t="shared" si="1"/>
        <v>0</v>
      </c>
      <c r="L12" s="45">
        <f t="shared" si="1"/>
        <v>0</v>
      </c>
      <c r="M12" s="45">
        <f t="shared" si="1"/>
        <v>0</v>
      </c>
      <c r="N12" s="45">
        <f t="shared" si="1"/>
        <v>0</v>
      </c>
      <c r="O12" s="45">
        <f t="shared" si="1"/>
        <v>0</v>
      </c>
      <c r="P12" s="45">
        <f t="shared" si="1"/>
        <v>0</v>
      </c>
    </row>
    <row r="13" s="12" customFormat="1" customHeight="1" spans="1:16">
      <c r="A13" s="46" t="s">
        <v>29</v>
      </c>
      <c r="B13" s="47">
        <v>1</v>
      </c>
      <c r="C13" s="48" t="s">
        <v>30</v>
      </c>
      <c r="D13" s="49"/>
      <c r="E13" s="50">
        <f t="shared" ref="E13:P13" si="2">SUM(E14:E14)</f>
        <v>0</v>
      </c>
      <c r="F13" s="50">
        <f t="shared" si="2"/>
        <v>0</v>
      </c>
      <c r="G13" s="50">
        <f t="shared" si="2"/>
        <v>0</v>
      </c>
      <c r="H13" s="50">
        <f t="shared" si="2"/>
        <v>0</v>
      </c>
      <c r="I13" s="50">
        <f t="shared" si="2"/>
        <v>0</v>
      </c>
      <c r="J13" s="50">
        <f t="shared" si="2"/>
        <v>0</v>
      </c>
      <c r="K13" s="50">
        <f t="shared" si="2"/>
        <v>0</v>
      </c>
      <c r="L13" s="50">
        <f t="shared" si="2"/>
        <v>0</v>
      </c>
      <c r="M13" s="50">
        <f t="shared" si="2"/>
        <v>0</v>
      </c>
      <c r="N13" s="50">
        <f t="shared" si="2"/>
        <v>0</v>
      </c>
      <c r="O13" s="50">
        <f t="shared" si="2"/>
        <v>0</v>
      </c>
      <c r="P13" s="50">
        <f t="shared" si="2"/>
        <v>0</v>
      </c>
    </row>
    <row r="14" s="12" customFormat="1" customHeight="1" spans="1:16">
      <c r="A14" s="51" t="s">
        <v>31</v>
      </c>
      <c r="B14" s="52">
        <v>1.1</v>
      </c>
      <c r="C14" s="39" t="s">
        <v>26</v>
      </c>
      <c r="D14" s="40" t="s">
        <v>26</v>
      </c>
      <c r="E14" s="41">
        <v>0</v>
      </c>
      <c r="F14" s="41">
        <v>0</v>
      </c>
      <c r="G14" s="41">
        <v>0</v>
      </c>
      <c r="H14" s="41">
        <v>0</v>
      </c>
      <c r="I14" s="41">
        <v>0</v>
      </c>
      <c r="J14" s="41">
        <v>0</v>
      </c>
      <c r="K14" s="41">
        <v>0</v>
      </c>
      <c r="L14" s="41">
        <v>0</v>
      </c>
      <c r="M14" s="41">
        <v>0</v>
      </c>
      <c r="N14" s="41">
        <v>0</v>
      </c>
      <c r="O14" s="41">
        <v>0</v>
      </c>
      <c r="P14" s="41">
        <v>0</v>
      </c>
    </row>
    <row r="15" s="12" customFormat="1" customHeight="1" spans="1:16">
      <c r="A15" s="46" t="s">
        <v>32</v>
      </c>
      <c r="B15" s="47">
        <v>2</v>
      </c>
      <c r="C15" s="48" t="s">
        <v>33</v>
      </c>
      <c r="D15" s="49"/>
      <c r="E15" s="50">
        <f t="shared" ref="E15:P15" si="3">SUM(E16:E16)</f>
        <v>0</v>
      </c>
      <c r="F15" s="50">
        <f t="shared" si="3"/>
        <v>0</v>
      </c>
      <c r="G15" s="50">
        <f t="shared" si="3"/>
        <v>0</v>
      </c>
      <c r="H15" s="50">
        <f t="shared" si="3"/>
        <v>0</v>
      </c>
      <c r="I15" s="50">
        <f t="shared" si="3"/>
        <v>0</v>
      </c>
      <c r="J15" s="50">
        <f t="shared" si="3"/>
        <v>0</v>
      </c>
      <c r="K15" s="50">
        <f t="shared" si="3"/>
        <v>0</v>
      </c>
      <c r="L15" s="50">
        <f t="shared" si="3"/>
        <v>0</v>
      </c>
      <c r="M15" s="50">
        <f t="shared" si="3"/>
        <v>0</v>
      </c>
      <c r="N15" s="50">
        <f t="shared" si="3"/>
        <v>0</v>
      </c>
      <c r="O15" s="50">
        <f t="shared" si="3"/>
        <v>0</v>
      </c>
      <c r="P15" s="50">
        <f t="shared" si="3"/>
        <v>0</v>
      </c>
    </row>
    <row r="16" s="12" customFormat="1" customHeight="1" spans="1:16">
      <c r="A16" s="51" t="s">
        <v>34</v>
      </c>
      <c r="B16" s="53">
        <v>2.1</v>
      </c>
      <c r="C16" s="39" t="s">
        <v>26</v>
      </c>
      <c r="D16" s="40" t="s">
        <v>26</v>
      </c>
      <c r="E16" s="41">
        <v>0</v>
      </c>
      <c r="F16" s="41">
        <v>0</v>
      </c>
      <c r="G16" s="41">
        <v>0</v>
      </c>
      <c r="H16" s="41">
        <v>0</v>
      </c>
      <c r="I16" s="41">
        <v>0</v>
      </c>
      <c r="J16" s="41">
        <v>0</v>
      </c>
      <c r="K16" s="41">
        <v>0</v>
      </c>
      <c r="L16" s="41">
        <v>0</v>
      </c>
      <c r="M16" s="41">
        <v>0</v>
      </c>
      <c r="N16" s="41">
        <v>0</v>
      </c>
      <c r="O16" s="41">
        <v>0</v>
      </c>
      <c r="P16" s="41">
        <v>0</v>
      </c>
    </row>
    <row r="17" s="12" customFormat="1" customHeight="1" spans="1:16">
      <c r="A17" s="46" t="s">
        <v>35</v>
      </c>
      <c r="B17" s="47">
        <v>3</v>
      </c>
      <c r="C17" s="48" t="s">
        <v>36</v>
      </c>
      <c r="D17" s="49"/>
      <c r="E17" s="50">
        <f t="shared" ref="E17:P17" si="4">SUM(E18:E18)</f>
        <v>0</v>
      </c>
      <c r="F17" s="50">
        <f t="shared" si="4"/>
        <v>0</v>
      </c>
      <c r="G17" s="50">
        <f t="shared" si="4"/>
        <v>0</v>
      </c>
      <c r="H17" s="50">
        <f t="shared" si="4"/>
        <v>0</v>
      </c>
      <c r="I17" s="50">
        <f t="shared" si="4"/>
        <v>0</v>
      </c>
      <c r="J17" s="50">
        <f t="shared" si="4"/>
        <v>0</v>
      </c>
      <c r="K17" s="50">
        <f t="shared" si="4"/>
        <v>0</v>
      </c>
      <c r="L17" s="50">
        <f t="shared" si="4"/>
        <v>0</v>
      </c>
      <c r="M17" s="50">
        <f t="shared" si="4"/>
        <v>0</v>
      </c>
      <c r="N17" s="50">
        <f t="shared" si="4"/>
        <v>0</v>
      </c>
      <c r="O17" s="50">
        <f t="shared" si="4"/>
        <v>0</v>
      </c>
      <c r="P17" s="50">
        <f t="shared" si="4"/>
        <v>0</v>
      </c>
    </row>
    <row r="18" s="12" customFormat="1" customHeight="1" spans="1:16">
      <c r="A18" s="51" t="s">
        <v>37</v>
      </c>
      <c r="B18" s="53">
        <v>3.1</v>
      </c>
      <c r="C18" s="39" t="s">
        <v>26</v>
      </c>
      <c r="D18" s="40" t="s">
        <v>26</v>
      </c>
      <c r="E18" s="41">
        <v>0</v>
      </c>
      <c r="F18" s="41">
        <v>0</v>
      </c>
      <c r="G18" s="41">
        <v>0</v>
      </c>
      <c r="H18" s="41">
        <v>0</v>
      </c>
      <c r="I18" s="41">
        <v>0</v>
      </c>
      <c r="J18" s="41">
        <v>0</v>
      </c>
      <c r="K18" s="41">
        <v>0</v>
      </c>
      <c r="L18" s="41">
        <v>0</v>
      </c>
      <c r="M18" s="41">
        <v>0</v>
      </c>
      <c r="N18" s="41">
        <v>0</v>
      </c>
      <c r="O18" s="41">
        <v>0</v>
      </c>
      <c r="P18" s="41">
        <v>0</v>
      </c>
    </row>
    <row r="19" s="12" customFormat="1" customHeight="1" spans="1:16">
      <c r="A19" s="46" t="s">
        <v>38</v>
      </c>
      <c r="B19" s="47">
        <v>4</v>
      </c>
      <c r="C19" s="48" t="s">
        <v>39</v>
      </c>
      <c r="D19" s="49"/>
      <c r="E19" s="50">
        <f t="shared" ref="E19:P19" si="5">SUM(E20:E20)</f>
        <v>0</v>
      </c>
      <c r="F19" s="50">
        <f t="shared" si="5"/>
        <v>0</v>
      </c>
      <c r="G19" s="50">
        <f t="shared" si="5"/>
        <v>0</v>
      </c>
      <c r="H19" s="50">
        <f t="shared" si="5"/>
        <v>0</v>
      </c>
      <c r="I19" s="50">
        <f t="shared" si="5"/>
        <v>0</v>
      </c>
      <c r="J19" s="50">
        <f t="shared" si="5"/>
        <v>0</v>
      </c>
      <c r="K19" s="50">
        <f t="shared" si="5"/>
        <v>0</v>
      </c>
      <c r="L19" s="50">
        <f t="shared" si="5"/>
        <v>0</v>
      </c>
      <c r="M19" s="50">
        <f t="shared" si="5"/>
        <v>0</v>
      </c>
      <c r="N19" s="50">
        <f t="shared" si="5"/>
        <v>0</v>
      </c>
      <c r="O19" s="50">
        <f t="shared" si="5"/>
        <v>0</v>
      </c>
      <c r="P19" s="50">
        <f t="shared" si="5"/>
        <v>0</v>
      </c>
    </row>
    <row r="20" s="12" customFormat="1" customHeight="1" spans="1:16">
      <c r="A20" s="51" t="s">
        <v>40</v>
      </c>
      <c r="B20" s="53">
        <v>4.1</v>
      </c>
      <c r="C20" s="39" t="s">
        <v>26</v>
      </c>
      <c r="D20" s="40" t="s">
        <v>26</v>
      </c>
      <c r="E20" s="41">
        <v>0</v>
      </c>
      <c r="F20" s="41">
        <v>0</v>
      </c>
      <c r="G20" s="41">
        <v>0</v>
      </c>
      <c r="H20" s="41">
        <v>0</v>
      </c>
      <c r="I20" s="41">
        <v>0</v>
      </c>
      <c r="J20" s="41">
        <v>0</v>
      </c>
      <c r="K20" s="41">
        <v>0</v>
      </c>
      <c r="L20" s="41">
        <v>0</v>
      </c>
      <c r="M20" s="41">
        <v>0</v>
      </c>
      <c r="N20" s="41">
        <v>0</v>
      </c>
      <c r="O20" s="41">
        <v>0</v>
      </c>
      <c r="P20" s="41">
        <v>0</v>
      </c>
    </row>
    <row r="21" s="12" customFormat="1" customHeight="1" spans="1:16">
      <c r="A21" s="46" t="s">
        <v>41</v>
      </c>
      <c r="B21" s="47">
        <v>5</v>
      </c>
      <c r="C21" s="54" t="s">
        <v>42</v>
      </c>
      <c r="D21" s="55"/>
      <c r="E21" s="56">
        <f t="shared" ref="E21:P21" si="6">SUM(E22:E22)</f>
        <v>0</v>
      </c>
      <c r="F21" s="56">
        <f t="shared" si="6"/>
        <v>0</v>
      </c>
      <c r="G21" s="56">
        <f t="shared" si="6"/>
        <v>0</v>
      </c>
      <c r="H21" s="56">
        <f t="shared" si="6"/>
        <v>0</v>
      </c>
      <c r="I21" s="56">
        <f t="shared" si="6"/>
        <v>0</v>
      </c>
      <c r="J21" s="56">
        <f t="shared" si="6"/>
        <v>0</v>
      </c>
      <c r="K21" s="56">
        <f t="shared" si="6"/>
        <v>0</v>
      </c>
      <c r="L21" s="56">
        <f t="shared" si="6"/>
        <v>0</v>
      </c>
      <c r="M21" s="56">
        <f t="shared" si="6"/>
        <v>0</v>
      </c>
      <c r="N21" s="56">
        <f t="shared" si="6"/>
        <v>0</v>
      </c>
      <c r="O21" s="56">
        <f t="shared" si="6"/>
        <v>0</v>
      </c>
      <c r="P21" s="56">
        <f t="shared" si="6"/>
        <v>0</v>
      </c>
    </row>
    <row r="22" s="12" customFormat="1" customHeight="1" spans="1:16">
      <c r="A22" s="51" t="s">
        <v>43</v>
      </c>
      <c r="B22" s="53">
        <v>5.1</v>
      </c>
      <c r="C22" s="39" t="s">
        <v>26</v>
      </c>
      <c r="D22" s="40" t="s">
        <v>26</v>
      </c>
      <c r="E22" s="57">
        <v>0</v>
      </c>
      <c r="F22" s="57">
        <v>0</v>
      </c>
      <c r="G22" s="57">
        <v>0</v>
      </c>
      <c r="H22" s="57">
        <v>0</v>
      </c>
      <c r="I22" s="57">
        <v>0</v>
      </c>
      <c r="J22" s="57">
        <v>0</v>
      </c>
      <c r="K22" s="57">
        <v>0</v>
      </c>
      <c r="L22" s="57">
        <v>0</v>
      </c>
      <c r="M22" s="57">
        <v>0</v>
      </c>
      <c r="N22" s="57">
        <v>0</v>
      </c>
      <c r="O22" s="57">
        <v>0</v>
      </c>
      <c r="P22" s="57">
        <v>0</v>
      </c>
    </row>
    <row r="23" s="13" customFormat="1" customHeight="1" spans="1:16">
      <c r="A23" s="46" t="s">
        <v>44</v>
      </c>
      <c r="B23" s="58"/>
      <c r="C23" s="59" t="s">
        <v>45</v>
      </c>
      <c r="D23" s="59"/>
      <c r="E23" s="60">
        <f t="shared" ref="E23:P23" si="7">+E10+E12</f>
        <v>0</v>
      </c>
      <c r="F23" s="60">
        <f t="shared" si="7"/>
        <v>0</v>
      </c>
      <c r="G23" s="60">
        <f t="shared" si="7"/>
        <v>0</v>
      </c>
      <c r="H23" s="60">
        <f t="shared" si="7"/>
        <v>0</v>
      </c>
      <c r="I23" s="60">
        <f t="shared" si="7"/>
        <v>0</v>
      </c>
      <c r="J23" s="60">
        <f t="shared" si="7"/>
        <v>0</v>
      </c>
      <c r="K23" s="60">
        <f t="shared" si="7"/>
        <v>0</v>
      </c>
      <c r="L23" s="60">
        <f t="shared" si="7"/>
        <v>0</v>
      </c>
      <c r="M23" s="60">
        <f t="shared" si="7"/>
        <v>0</v>
      </c>
      <c r="N23" s="60">
        <f t="shared" si="7"/>
        <v>0</v>
      </c>
      <c r="O23" s="60">
        <f t="shared" si="7"/>
        <v>0</v>
      </c>
      <c r="P23" s="60">
        <f t="shared" si="7"/>
        <v>0</v>
      </c>
    </row>
    <row r="24" s="12" customFormat="1" customHeight="1" spans="1:16">
      <c r="A24" s="51" t="s">
        <v>0</v>
      </c>
      <c r="B24" s="61"/>
      <c r="C24" s="62" t="s">
        <v>46</v>
      </c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76"/>
    </row>
    <row r="25" s="12" customFormat="1" customHeight="1" spans="1:16">
      <c r="A25" s="51" t="s">
        <v>0</v>
      </c>
      <c r="B25" s="64"/>
      <c r="C25" s="65" t="s">
        <v>47</v>
      </c>
      <c r="D25" s="66"/>
      <c r="E25" s="67"/>
      <c r="F25" s="68"/>
      <c r="G25" s="68"/>
      <c r="H25" s="68"/>
      <c r="I25" s="68"/>
      <c r="J25" s="68"/>
      <c r="K25" s="68"/>
      <c r="L25" s="68"/>
      <c r="M25" s="68"/>
      <c r="N25" s="68"/>
      <c r="O25" s="68"/>
      <c r="P25" s="77"/>
    </row>
    <row r="26" customHeight="1" spans="2:16">
      <c r="B26" s="69"/>
      <c r="C26" s="70" t="s">
        <v>48</v>
      </c>
      <c r="D26" s="71"/>
      <c r="E26" s="71"/>
      <c r="F26" s="71"/>
      <c r="G26" s="71"/>
      <c r="H26" s="71"/>
      <c r="I26" s="71"/>
      <c r="J26" s="71"/>
      <c r="K26" s="71"/>
      <c r="L26" s="71"/>
      <c r="M26" s="71"/>
      <c r="N26" s="71"/>
      <c r="O26" s="71"/>
      <c r="P26" s="78"/>
    </row>
    <row r="27" customHeight="1" spans="3:8">
      <c r="C27"/>
      <c r="D27"/>
      <c r="E27"/>
      <c r="F27"/>
      <c r="G27"/>
      <c r="H27"/>
    </row>
  </sheetData>
  <sheetProtection password="DE1B" sheet="1" objects="1" scenarios="1"/>
  <mergeCells count="11">
    <mergeCell ref="B2:P2"/>
    <mergeCell ref="C3:D3"/>
    <mergeCell ref="C4:D4"/>
    <mergeCell ref="C5:D5"/>
    <mergeCell ref="B7:P7"/>
    <mergeCell ref="B8:G8"/>
    <mergeCell ref="H8:P8"/>
    <mergeCell ref="C24:P24"/>
    <mergeCell ref="C25:D25"/>
    <mergeCell ref="E25:P25"/>
    <mergeCell ref="E3:P6"/>
  </mergeCells>
  <dataValidations count="1">
    <dataValidation type="whole" operator="greaterThanOrEqual" allowBlank="1" showInputMessage="1" showErrorMessage="1" error="Please insert a valid data!" sqref="E11:P11 E22:P22 E13:P20">
      <formula1>0</formula1>
    </dataValidation>
  </dataValidations>
  <printOptions gridLines="1"/>
  <pageMargins left="0" right="0" top="0" bottom="0" header="0" footer="0"/>
  <pageSetup paperSize="9" scale="75" fitToHeight="0" orientation="landscape" horizontalDpi="600" verticalDpi="600"/>
  <headerFooter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name="Button 1" r:id="rId3">
              <controlPr print="0" defaultSize="0">
                <anchor moveWithCells="1" sizeWithCells="1">
                  <from>
                    <xdr:col>7</xdr:col>
                    <xdr:colOff>438785</xdr:colOff>
                    <xdr:row>3</xdr:row>
                    <xdr:rowOff>143510</xdr:rowOff>
                  </from>
                  <to>
                    <xdr:col>9</xdr:col>
                    <xdr:colOff>548640</xdr:colOff>
                    <xdr:row>4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name="Button 2" r:id="rId4">
              <controlPr print="0" defaultSize="0">
                <anchor moveWithCells="1" sizeWithCells="1">
                  <from>
                    <xdr:col>10</xdr:col>
                    <xdr:colOff>0</xdr:colOff>
                    <xdr:row>3</xdr:row>
                    <xdr:rowOff>143510</xdr:rowOff>
                  </from>
                  <to>
                    <xdr:col>12</xdr:col>
                    <xdr:colOff>120015</xdr:colOff>
                    <xdr:row>4</xdr:row>
                    <xdr:rowOff>162560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B179"/>
  <sheetViews>
    <sheetView zoomScaleSheetLayoutView="60" workbookViewId="0">
      <selection activeCell="C3" sqref="C3"/>
    </sheetView>
  </sheetViews>
  <sheetFormatPr defaultColWidth="8.72727272727273" defaultRowHeight="14.5" outlineLevelCol="1"/>
  <cols>
    <col min="2" max="2" width="45.7090909090909"/>
  </cols>
  <sheetData>
    <row r="1" ht="15.5" spans="1:2">
      <c r="A1" s="1" t="s">
        <v>49</v>
      </c>
      <c r="B1" s="2" t="s">
        <v>50</v>
      </c>
    </row>
    <row r="2" spans="1:2">
      <c r="A2" s="3" t="s">
        <v>51</v>
      </c>
      <c r="B2" s="4" t="s">
        <v>52</v>
      </c>
    </row>
    <row r="3" spans="1:2">
      <c r="A3" s="3" t="s">
        <v>53</v>
      </c>
      <c r="B3" s="4" t="s">
        <v>54</v>
      </c>
    </row>
    <row r="4" spans="1:2">
      <c r="A4" s="3" t="s">
        <v>55</v>
      </c>
      <c r="B4" s="4" t="s">
        <v>56</v>
      </c>
    </row>
    <row r="5" spans="1:2">
      <c r="A5" s="3" t="s">
        <v>57</v>
      </c>
      <c r="B5" s="4" t="s">
        <v>58</v>
      </c>
    </row>
    <row r="6" spans="1:2">
      <c r="A6" s="3" t="s">
        <v>59</v>
      </c>
      <c r="B6" s="4" t="s">
        <v>60</v>
      </c>
    </row>
    <row r="7" spans="1:2">
      <c r="A7" s="3" t="s">
        <v>61</v>
      </c>
      <c r="B7" s="4" t="s">
        <v>62</v>
      </c>
    </row>
    <row r="8" spans="1:2">
      <c r="A8" s="3" t="s">
        <v>63</v>
      </c>
      <c r="B8" s="4" t="s">
        <v>64</v>
      </c>
    </row>
    <row r="9" spans="1:2">
      <c r="A9" s="3" t="s">
        <v>65</v>
      </c>
      <c r="B9" s="4" t="s">
        <v>66</v>
      </c>
    </row>
    <row r="10" spans="1:2">
      <c r="A10" s="3" t="s">
        <v>67</v>
      </c>
      <c r="B10" s="4" t="s">
        <v>68</v>
      </c>
    </row>
    <row r="11" spans="1:2">
      <c r="A11" s="3" t="s">
        <v>69</v>
      </c>
      <c r="B11" s="4" t="s">
        <v>70</v>
      </c>
    </row>
    <row r="12" spans="1:2">
      <c r="A12" s="3" t="s">
        <v>71</v>
      </c>
      <c r="B12" s="4" t="s">
        <v>72</v>
      </c>
    </row>
    <row r="13" spans="1:2">
      <c r="A13" s="3" t="s">
        <v>73</v>
      </c>
      <c r="B13" s="4" t="s">
        <v>74</v>
      </c>
    </row>
    <row r="14" spans="1:2">
      <c r="A14" s="3" t="s">
        <v>75</v>
      </c>
      <c r="B14" s="4" t="s">
        <v>76</v>
      </c>
    </row>
    <row r="15" spans="1:2">
      <c r="A15" s="3" t="s">
        <v>77</v>
      </c>
      <c r="B15" s="4" t="s">
        <v>78</v>
      </c>
    </row>
    <row r="16" spans="1:2">
      <c r="A16" s="3" t="s">
        <v>79</v>
      </c>
      <c r="B16" s="4" t="s">
        <v>80</v>
      </c>
    </row>
    <row r="17" spans="1:2">
      <c r="A17" s="3" t="s">
        <v>81</v>
      </c>
      <c r="B17" s="4" t="s">
        <v>82</v>
      </c>
    </row>
    <row r="18" spans="1:2">
      <c r="A18" s="3" t="s">
        <v>83</v>
      </c>
      <c r="B18" s="4" t="s">
        <v>84</v>
      </c>
    </row>
    <row r="19" spans="1:2">
      <c r="A19" s="3" t="s">
        <v>85</v>
      </c>
      <c r="B19" s="4" t="s">
        <v>86</v>
      </c>
    </row>
    <row r="20" spans="1:2">
      <c r="A20" s="3" t="s">
        <v>87</v>
      </c>
      <c r="B20" s="4" t="s">
        <v>88</v>
      </c>
    </row>
    <row r="21" spans="1:2">
      <c r="A21" s="3" t="s">
        <v>89</v>
      </c>
      <c r="B21" s="4" t="s">
        <v>90</v>
      </c>
    </row>
    <row r="22" spans="1:2">
      <c r="A22" s="3" t="s">
        <v>91</v>
      </c>
      <c r="B22" s="4" t="s">
        <v>92</v>
      </c>
    </row>
    <row r="23" spans="1:2">
      <c r="A23" s="3" t="s">
        <v>93</v>
      </c>
      <c r="B23" s="4" t="s">
        <v>94</v>
      </c>
    </row>
    <row r="24" spans="1:2">
      <c r="A24" s="3" t="s">
        <v>95</v>
      </c>
      <c r="B24" s="4" t="s">
        <v>96</v>
      </c>
    </row>
    <row r="25" spans="1:2">
      <c r="A25" s="3" t="s">
        <v>97</v>
      </c>
      <c r="B25" s="4" t="s">
        <v>98</v>
      </c>
    </row>
    <row r="26" spans="1:2">
      <c r="A26" s="3" t="s">
        <v>99</v>
      </c>
      <c r="B26" s="4" t="s">
        <v>100</v>
      </c>
    </row>
    <row r="27" spans="1:2">
      <c r="A27" s="3" t="s">
        <v>101</v>
      </c>
      <c r="B27" s="4" t="s">
        <v>102</v>
      </c>
    </row>
    <row r="28" spans="1:2">
      <c r="A28" s="3" t="s">
        <v>103</v>
      </c>
      <c r="B28" s="4" t="s">
        <v>104</v>
      </c>
    </row>
    <row r="29" spans="1:2">
      <c r="A29" s="3" t="s">
        <v>105</v>
      </c>
      <c r="B29" s="4" t="s">
        <v>106</v>
      </c>
    </row>
    <row r="30" spans="1:2">
      <c r="A30" s="3" t="s">
        <v>107</v>
      </c>
      <c r="B30" s="4" t="s">
        <v>108</v>
      </c>
    </row>
    <row r="31" spans="1:2">
      <c r="A31" s="3" t="s">
        <v>109</v>
      </c>
      <c r="B31" s="4" t="s">
        <v>110</v>
      </c>
    </row>
    <row r="32" spans="1:2">
      <c r="A32" s="3" t="s">
        <v>111</v>
      </c>
      <c r="B32" s="4" t="s">
        <v>112</v>
      </c>
    </row>
    <row r="33" spans="1:2">
      <c r="A33" s="3" t="s">
        <v>113</v>
      </c>
      <c r="B33" s="4" t="s">
        <v>114</v>
      </c>
    </row>
    <row r="34" spans="1:2">
      <c r="A34" s="3" t="s">
        <v>115</v>
      </c>
      <c r="B34" s="4" t="s">
        <v>116</v>
      </c>
    </row>
    <row r="35" spans="1:2">
      <c r="A35" s="3" t="s">
        <v>117</v>
      </c>
      <c r="B35" s="4" t="s">
        <v>118</v>
      </c>
    </row>
    <row r="36" spans="1:2">
      <c r="A36" s="3" t="s">
        <v>119</v>
      </c>
      <c r="B36" s="4" t="s">
        <v>120</v>
      </c>
    </row>
    <row r="37" spans="1:2">
      <c r="A37" s="3" t="s">
        <v>121</v>
      </c>
      <c r="B37" s="4" t="s">
        <v>122</v>
      </c>
    </row>
    <row r="38" spans="1:2">
      <c r="A38" s="3" t="s">
        <v>123</v>
      </c>
      <c r="B38" s="4" t="s">
        <v>124</v>
      </c>
    </row>
    <row r="39" spans="1:2">
      <c r="A39" s="3" t="s">
        <v>125</v>
      </c>
      <c r="B39" s="4" t="s">
        <v>126</v>
      </c>
    </row>
    <row r="40" spans="1:2">
      <c r="A40" s="3" t="s">
        <v>127</v>
      </c>
      <c r="B40" s="4" t="s">
        <v>128</v>
      </c>
    </row>
    <row r="41" spans="1:2">
      <c r="A41" s="3" t="s">
        <v>129</v>
      </c>
      <c r="B41" s="4" t="s">
        <v>130</v>
      </c>
    </row>
    <row r="42" spans="1:2">
      <c r="A42" s="3" t="s">
        <v>131</v>
      </c>
      <c r="B42" s="4" t="s">
        <v>132</v>
      </c>
    </row>
    <row r="43" spans="1:2">
      <c r="A43" s="3" t="s">
        <v>133</v>
      </c>
      <c r="B43" s="4" t="s">
        <v>134</v>
      </c>
    </row>
    <row r="44" spans="1:2">
      <c r="A44" s="3" t="s">
        <v>135</v>
      </c>
      <c r="B44" s="4" t="s">
        <v>136</v>
      </c>
    </row>
    <row r="45" spans="1:2">
      <c r="A45" s="3" t="s">
        <v>137</v>
      </c>
      <c r="B45" s="4" t="s">
        <v>138</v>
      </c>
    </row>
    <row r="46" spans="1:2">
      <c r="A46" s="3" t="s">
        <v>139</v>
      </c>
      <c r="B46" s="4" t="s">
        <v>140</v>
      </c>
    </row>
    <row r="47" spans="1:2">
      <c r="A47" s="3" t="s">
        <v>141</v>
      </c>
      <c r="B47" s="4" t="s">
        <v>142</v>
      </c>
    </row>
    <row r="48" spans="1:2">
      <c r="A48" s="3" t="s">
        <v>143</v>
      </c>
      <c r="B48" s="4" t="s">
        <v>144</v>
      </c>
    </row>
    <row r="49" spans="1:2">
      <c r="A49" s="3" t="s">
        <v>145</v>
      </c>
      <c r="B49" s="4" t="s">
        <v>146</v>
      </c>
    </row>
    <row r="50" spans="1:2">
      <c r="A50" s="3" t="s">
        <v>147</v>
      </c>
      <c r="B50" s="4" t="s">
        <v>148</v>
      </c>
    </row>
    <row r="51" spans="1:2">
      <c r="A51" s="3" t="s">
        <v>149</v>
      </c>
      <c r="B51" s="4" t="s">
        <v>150</v>
      </c>
    </row>
    <row r="52" spans="1:2">
      <c r="A52" s="3" t="s">
        <v>151</v>
      </c>
      <c r="B52" s="4" t="s">
        <v>152</v>
      </c>
    </row>
    <row r="53" spans="1:2">
      <c r="A53" s="3" t="s">
        <v>153</v>
      </c>
      <c r="B53" s="4" t="s">
        <v>154</v>
      </c>
    </row>
    <row r="54" spans="1:2">
      <c r="A54" s="3" t="s">
        <v>155</v>
      </c>
      <c r="B54" s="4" t="s">
        <v>156</v>
      </c>
    </row>
    <row r="55" spans="1:2">
      <c r="A55" s="3" t="s">
        <v>157</v>
      </c>
      <c r="B55" s="4" t="s">
        <v>158</v>
      </c>
    </row>
    <row r="56" spans="1:2">
      <c r="A56" s="3" t="s">
        <v>159</v>
      </c>
      <c r="B56" s="4" t="s">
        <v>160</v>
      </c>
    </row>
    <row r="57" spans="1:2">
      <c r="A57" s="3" t="s">
        <v>161</v>
      </c>
      <c r="B57" s="4" t="s">
        <v>162</v>
      </c>
    </row>
    <row r="58" spans="1:2">
      <c r="A58" s="3" t="s">
        <v>163</v>
      </c>
      <c r="B58" s="4" t="s">
        <v>164</v>
      </c>
    </row>
    <row r="59" spans="1:2">
      <c r="A59" s="3" t="s">
        <v>165</v>
      </c>
      <c r="B59" s="4" t="s">
        <v>166</v>
      </c>
    </row>
    <row r="60" spans="1:2">
      <c r="A60" s="3" t="s">
        <v>167</v>
      </c>
      <c r="B60" s="4" t="s">
        <v>168</v>
      </c>
    </row>
    <row r="61" spans="1:2">
      <c r="A61" s="3" t="s">
        <v>169</v>
      </c>
      <c r="B61" s="4" t="s">
        <v>170</v>
      </c>
    </row>
    <row r="62" spans="1:2">
      <c r="A62" s="3" t="s">
        <v>171</v>
      </c>
      <c r="B62" s="4" t="s">
        <v>172</v>
      </c>
    </row>
    <row r="63" spans="1:2">
      <c r="A63" s="3" t="s">
        <v>173</v>
      </c>
      <c r="B63" s="4" t="s">
        <v>174</v>
      </c>
    </row>
    <row r="64" spans="1:2">
      <c r="A64" s="3" t="s">
        <v>175</v>
      </c>
      <c r="B64" s="4" t="s">
        <v>176</v>
      </c>
    </row>
    <row r="65" spans="1:2">
      <c r="A65" s="3" t="s">
        <v>177</v>
      </c>
      <c r="B65" s="4" t="s">
        <v>178</v>
      </c>
    </row>
    <row r="66" spans="1:2">
      <c r="A66" s="3" t="s">
        <v>179</v>
      </c>
      <c r="B66" s="4" t="s">
        <v>180</v>
      </c>
    </row>
    <row r="67" spans="1:2">
      <c r="A67" s="3" t="s">
        <v>181</v>
      </c>
      <c r="B67" s="4" t="s">
        <v>182</v>
      </c>
    </row>
    <row r="68" spans="1:2">
      <c r="A68" s="3" t="s">
        <v>183</v>
      </c>
      <c r="B68" s="4" t="s">
        <v>184</v>
      </c>
    </row>
    <row r="69" spans="1:2">
      <c r="A69" s="3" t="s">
        <v>185</v>
      </c>
      <c r="B69" s="4" t="s">
        <v>186</v>
      </c>
    </row>
    <row r="70" spans="1:2">
      <c r="A70" s="3" t="s">
        <v>187</v>
      </c>
      <c r="B70" s="4" t="s">
        <v>188</v>
      </c>
    </row>
    <row r="71" spans="1:2">
      <c r="A71" s="3" t="s">
        <v>189</v>
      </c>
      <c r="B71" s="4" t="s">
        <v>190</v>
      </c>
    </row>
    <row r="72" spans="1:2">
      <c r="A72" s="3" t="s">
        <v>191</v>
      </c>
      <c r="B72" s="4" t="s">
        <v>192</v>
      </c>
    </row>
    <row r="73" spans="1:2">
      <c r="A73" s="3" t="s">
        <v>193</v>
      </c>
      <c r="B73" s="4" t="s">
        <v>194</v>
      </c>
    </row>
    <row r="74" spans="1:2">
      <c r="A74" s="3" t="s">
        <v>195</v>
      </c>
      <c r="B74" s="4" t="s">
        <v>196</v>
      </c>
    </row>
    <row r="75" spans="1:2">
      <c r="A75" s="3" t="s">
        <v>197</v>
      </c>
      <c r="B75" s="4" t="s">
        <v>198</v>
      </c>
    </row>
    <row r="76" spans="1:2">
      <c r="A76" s="3" t="s">
        <v>199</v>
      </c>
      <c r="B76" s="4" t="s">
        <v>200</v>
      </c>
    </row>
    <row r="77" spans="1:2">
      <c r="A77" s="3" t="s">
        <v>201</v>
      </c>
      <c r="B77" s="4" t="s">
        <v>202</v>
      </c>
    </row>
    <row r="78" spans="1:2">
      <c r="A78" s="3" t="s">
        <v>203</v>
      </c>
      <c r="B78" s="4" t="s">
        <v>204</v>
      </c>
    </row>
    <row r="79" spans="1:2">
      <c r="A79" s="3" t="s">
        <v>205</v>
      </c>
      <c r="B79" s="4" t="s">
        <v>206</v>
      </c>
    </row>
    <row r="80" spans="1:2">
      <c r="A80" s="3" t="s">
        <v>207</v>
      </c>
      <c r="B80" s="4" t="s">
        <v>208</v>
      </c>
    </row>
    <row r="81" spans="1:2">
      <c r="A81" s="3" t="s">
        <v>209</v>
      </c>
      <c r="B81" s="4" t="s">
        <v>210</v>
      </c>
    </row>
    <row r="82" spans="1:2">
      <c r="A82" s="3" t="s">
        <v>211</v>
      </c>
      <c r="B82" s="4" t="s">
        <v>212</v>
      </c>
    </row>
    <row r="83" spans="1:2">
      <c r="A83" s="3" t="s">
        <v>213</v>
      </c>
      <c r="B83" s="4" t="s">
        <v>214</v>
      </c>
    </row>
    <row r="84" spans="1:2">
      <c r="A84" s="3" t="s">
        <v>215</v>
      </c>
      <c r="B84" s="4" t="s">
        <v>216</v>
      </c>
    </row>
    <row r="85" spans="1:2">
      <c r="A85" s="3" t="s">
        <v>217</v>
      </c>
      <c r="B85" s="4" t="s">
        <v>218</v>
      </c>
    </row>
    <row r="86" spans="1:2">
      <c r="A86" s="3" t="s">
        <v>219</v>
      </c>
      <c r="B86" s="4" t="s">
        <v>220</v>
      </c>
    </row>
    <row r="87" spans="1:2">
      <c r="A87" s="3" t="s">
        <v>221</v>
      </c>
      <c r="B87" s="4" t="s">
        <v>222</v>
      </c>
    </row>
    <row r="88" spans="1:2">
      <c r="A88" s="3" t="s">
        <v>223</v>
      </c>
      <c r="B88" s="4" t="s">
        <v>224</v>
      </c>
    </row>
    <row r="89" spans="1:2">
      <c r="A89" s="3" t="s">
        <v>225</v>
      </c>
      <c r="B89" s="4" t="s">
        <v>226</v>
      </c>
    </row>
    <row r="90" spans="1:2">
      <c r="A90" s="3" t="s">
        <v>227</v>
      </c>
      <c r="B90" s="4" t="s">
        <v>228</v>
      </c>
    </row>
    <row r="91" spans="1:2">
      <c r="A91" s="3" t="s">
        <v>229</v>
      </c>
      <c r="B91" s="4" t="s">
        <v>230</v>
      </c>
    </row>
    <row r="92" spans="1:2">
      <c r="A92" s="3" t="s">
        <v>231</v>
      </c>
      <c r="B92" s="4" t="s">
        <v>232</v>
      </c>
    </row>
    <row r="93" spans="1:2">
      <c r="A93" s="3" t="s">
        <v>233</v>
      </c>
      <c r="B93" s="4" t="s">
        <v>234</v>
      </c>
    </row>
    <row r="94" spans="1:2">
      <c r="A94" s="3" t="s">
        <v>235</v>
      </c>
      <c r="B94" s="4" t="s">
        <v>236</v>
      </c>
    </row>
    <row r="95" spans="1:2">
      <c r="A95" s="3" t="s">
        <v>237</v>
      </c>
      <c r="B95" s="4" t="s">
        <v>238</v>
      </c>
    </row>
    <row r="96" spans="1:2">
      <c r="A96" s="3" t="s">
        <v>239</v>
      </c>
      <c r="B96" s="4" t="s">
        <v>240</v>
      </c>
    </row>
    <row r="97" spans="1:2">
      <c r="A97" s="3" t="s">
        <v>241</v>
      </c>
      <c r="B97" s="4" t="s">
        <v>242</v>
      </c>
    </row>
    <row r="98" spans="1:2">
      <c r="A98" s="3" t="s">
        <v>243</v>
      </c>
      <c r="B98" s="4" t="s">
        <v>244</v>
      </c>
    </row>
    <row r="99" spans="1:2">
      <c r="A99" s="3" t="s">
        <v>245</v>
      </c>
      <c r="B99" s="4" t="s">
        <v>246</v>
      </c>
    </row>
    <row r="100" spans="1:2">
      <c r="A100" s="3" t="s">
        <v>247</v>
      </c>
      <c r="B100" s="4" t="s">
        <v>248</v>
      </c>
    </row>
    <row r="101" spans="1:2">
      <c r="A101" s="3" t="s">
        <v>249</v>
      </c>
      <c r="B101" s="4" t="s">
        <v>250</v>
      </c>
    </row>
    <row r="102" spans="1:2">
      <c r="A102" s="3" t="s">
        <v>251</v>
      </c>
      <c r="B102" s="4" t="s">
        <v>252</v>
      </c>
    </row>
    <row r="103" spans="1:2">
      <c r="A103" s="3" t="s">
        <v>253</v>
      </c>
      <c r="B103" s="4" t="s">
        <v>254</v>
      </c>
    </row>
    <row r="104" spans="1:2">
      <c r="A104" s="3" t="s">
        <v>255</v>
      </c>
      <c r="B104" s="4" t="s">
        <v>256</v>
      </c>
    </row>
    <row r="105" spans="1:2">
      <c r="A105" s="3" t="s">
        <v>257</v>
      </c>
      <c r="B105" s="4" t="s">
        <v>258</v>
      </c>
    </row>
    <row r="106" spans="1:2">
      <c r="A106" s="3" t="s">
        <v>259</v>
      </c>
      <c r="B106" s="4" t="s">
        <v>260</v>
      </c>
    </row>
    <row r="107" spans="1:2">
      <c r="A107" s="3" t="s">
        <v>261</v>
      </c>
      <c r="B107" s="4" t="s">
        <v>262</v>
      </c>
    </row>
    <row r="108" spans="1:2">
      <c r="A108" s="3" t="s">
        <v>263</v>
      </c>
      <c r="B108" s="4" t="s">
        <v>264</v>
      </c>
    </row>
    <row r="109" spans="1:2">
      <c r="A109" s="3" t="s">
        <v>265</v>
      </c>
      <c r="B109" s="4" t="s">
        <v>266</v>
      </c>
    </row>
    <row r="110" spans="1:2">
      <c r="A110" s="3" t="s">
        <v>267</v>
      </c>
      <c r="B110" s="4" t="s">
        <v>268</v>
      </c>
    </row>
    <row r="111" spans="1:2">
      <c r="A111" s="3" t="s">
        <v>269</v>
      </c>
      <c r="B111" s="4" t="s">
        <v>270</v>
      </c>
    </row>
    <row r="112" spans="1:2">
      <c r="A112" s="3" t="s">
        <v>271</v>
      </c>
      <c r="B112" s="4" t="s">
        <v>272</v>
      </c>
    </row>
    <row r="113" spans="1:2">
      <c r="A113" s="3" t="s">
        <v>273</v>
      </c>
      <c r="B113" s="4" t="s">
        <v>274</v>
      </c>
    </row>
    <row r="114" spans="1:2">
      <c r="A114" s="3" t="s">
        <v>275</v>
      </c>
      <c r="B114" s="4" t="s">
        <v>276</v>
      </c>
    </row>
    <row r="115" spans="1:2">
      <c r="A115" s="3" t="s">
        <v>277</v>
      </c>
      <c r="B115" s="4" t="s">
        <v>278</v>
      </c>
    </row>
    <row r="116" spans="1:2">
      <c r="A116" s="3" t="s">
        <v>279</v>
      </c>
      <c r="B116" s="4" t="s">
        <v>280</v>
      </c>
    </row>
    <row r="117" spans="1:2">
      <c r="A117" s="3" t="s">
        <v>281</v>
      </c>
      <c r="B117" s="4" t="s">
        <v>282</v>
      </c>
    </row>
    <row r="118" spans="1:2">
      <c r="A118" s="3" t="s">
        <v>283</v>
      </c>
      <c r="B118" s="4" t="s">
        <v>284</v>
      </c>
    </row>
    <row r="119" spans="1:2">
      <c r="A119" s="3" t="s">
        <v>285</v>
      </c>
      <c r="B119" s="4" t="s">
        <v>286</v>
      </c>
    </row>
    <row r="120" spans="1:2">
      <c r="A120" s="3" t="s">
        <v>287</v>
      </c>
      <c r="B120" s="4" t="s">
        <v>288</v>
      </c>
    </row>
    <row r="121" spans="1:2">
      <c r="A121" s="3" t="s">
        <v>289</v>
      </c>
      <c r="B121" s="4" t="s">
        <v>290</v>
      </c>
    </row>
    <row r="122" spans="1:2">
      <c r="A122" s="3" t="s">
        <v>291</v>
      </c>
      <c r="B122" s="4" t="s">
        <v>292</v>
      </c>
    </row>
    <row r="123" spans="1:2">
      <c r="A123" s="3" t="s">
        <v>293</v>
      </c>
      <c r="B123" s="4" t="s">
        <v>294</v>
      </c>
    </row>
    <row r="124" spans="1:2">
      <c r="A124" s="3" t="s">
        <v>295</v>
      </c>
      <c r="B124" s="4" t="s">
        <v>296</v>
      </c>
    </row>
    <row r="125" spans="1:2">
      <c r="A125" s="3" t="s">
        <v>297</v>
      </c>
      <c r="B125" s="4" t="s">
        <v>298</v>
      </c>
    </row>
    <row r="126" spans="1:2">
      <c r="A126" s="3" t="s">
        <v>299</v>
      </c>
      <c r="B126" s="4" t="s">
        <v>300</v>
      </c>
    </row>
    <row r="127" spans="1:2">
      <c r="A127" s="3" t="s">
        <v>301</v>
      </c>
      <c r="B127" s="4" t="s">
        <v>302</v>
      </c>
    </row>
    <row r="128" spans="1:2">
      <c r="A128" s="3" t="s">
        <v>303</v>
      </c>
      <c r="B128" s="4" t="s">
        <v>304</v>
      </c>
    </row>
    <row r="129" spans="1:2">
      <c r="A129" s="3" t="s">
        <v>305</v>
      </c>
      <c r="B129" s="4" t="s">
        <v>306</v>
      </c>
    </row>
    <row r="130" spans="1:2">
      <c r="A130" s="5" t="s">
        <v>307</v>
      </c>
      <c r="B130" s="6" t="s">
        <v>308</v>
      </c>
    </row>
    <row r="131" spans="1:2">
      <c r="A131" s="3" t="s">
        <v>309</v>
      </c>
      <c r="B131" s="4" t="s">
        <v>310</v>
      </c>
    </row>
    <row r="132" spans="1:2">
      <c r="A132" s="3" t="s">
        <v>311</v>
      </c>
      <c r="B132" s="4" t="s">
        <v>312</v>
      </c>
    </row>
    <row r="133" spans="1:2">
      <c r="A133" s="3" t="s">
        <v>313</v>
      </c>
      <c r="B133" s="4" t="s">
        <v>314</v>
      </c>
    </row>
    <row r="134" spans="1:2">
      <c r="A134" s="3" t="s">
        <v>315</v>
      </c>
      <c r="B134" s="4" t="s">
        <v>316</v>
      </c>
    </row>
    <row r="135" spans="1:2">
      <c r="A135" s="3" t="s">
        <v>317</v>
      </c>
      <c r="B135" s="4" t="s">
        <v>318</v>
      </c>
    </row>
    <row r="136" spans="1:2">
      <c r="A136" s="3" t="s">
        <v>319</v>
      </c>
      <c r="B136" s="4" t="s">
        <v>320</v>
      </c>
    </row>
    <row r="137" spans="1:2">
      <c r="A137" s="3" t="s">
        <v>321</v>
      </c>
      <c r="B137" s="4" t="s">
        <v>322</v>
      </c>
    </row>
    <row r="138" spans="1:2">
      <c r="A138" s="3" t="s">
        <v>323</v>
      </c>
      <c r="B138" s="4" t="s">
        <v>324</v>
      </c>
    </row>
    <row r="139" spans="1:2">
      <c r="A139" s="3" t="s">
        <v>325</v>
      </c>
      <c r="B139" s="4" t="s">
        <v>326</v>
      </c>
    </row>
    <row r="140" spans="1:2">
      <c r="A140" s="3" t="s">
        <v>327</v>
      </c>
      <c r="B140" s="4" t="s">
        <v>328</v>
      </c>
    </row>
    <row r="141" spans="1:2">
      <c r="A141" s="3" t="s">
        <v>329</v>
      </c>
      <c r="B141" s="4" t="s">
        <v>330</v>
      </c>
    </row>
    <row r="142" spans="1:2">
      <c r="A142" s="3" t="s">
        <v>331</v>
      </c>
      <c r="B142" s="4" t="s">
        <v>332</v>
      </c>
    </row>
    <row r="143" spans="1:2">
      <c r="A143" s="3" t="s">
        <v>333</v>
      </c>
      <c r="B143" s="4" t="s">
        <v>334</v>
      </c>
    </row>
    <row r="144" spans="1:2">
      <c r="A144" s="3" t="s">
        <v>335</v>
      </c>
      <c r="B144" s="4" t="s">
        <v>336</v>
      </c>
    </row>
    <row r="145" spans="1:2">
      <c r="A145" s="3" t="s">
        <v>337</v>
      </c>
      <c r="B145" s="4" t="s">
        <v>338</v>
      </c>
    </row>
    <row r="146" spans="1:2">
      <c r="A146" s="3" t="s">
        <v>339</v>
      </c>
      <c r="B146" s="4" t="s">
        <v>340</v>
      </c>
    </row>
    <row r="147" spans="1:2">
      <c r="A147" s="3" t="s">
        <v>341</v>
      </c>
      <c r="B147" s="4" t="s">
        <v>342</v>
      </c>
    </row>
    <row r="148" spans="1:2">
      <c r="A148" s="3" t="s">
        <v>343</v>
      </c>
      <c r="B148" s="4" t="s">
        <v>344</v>
      </c>
    </row>
    <row r="149" spans="1:2">
      <c r="A149" s="3" t="s">
        <v>345</v>
      </c>
      <c r="B149" s="4" t="s">
        <v>346</v>
      </c>
    </row>
    <row r="150" spans="1:2">
      <c r="A150" s="3" t="s">
        <v>347</v>
      </c>
      <c r="B150" s="4" t="s">
        <v>348</v>
      </c>
    </row>
    <row r="151" spans="1:2">
      <c r="A151" s="3" t="s">
        <v>349</v>
      </c>
      <c r="B151" s="4" t="s">
        <v>350</v>
      </c>
    </row>
    <row r="152" spans="1:2">
      <c r="A152" s="3" t="s">
        <v>351</v>
      </c>
      <c r="B152" s="4" t="s">
        <v>352</v>
      </c>
    </row>
    <row r="153" spans="1:2">
      <c r="A153" s="3" t="s">
        <v>353</v>
      </c>
      <c r="B153" s="4" t="s">
        <v>354</v>
      </c>
    </row>
    <row r="154" spans="1:2">
      <c r="A154" s="3" t="s">
        <v>355</v>
      </c>
      <c r="B154" s="4" t="s">
        <v>356</v>
      </c>
    </row>
    <row r="155" spans="1:2">
      <c r="A155" s="3" t="s">
        <v>357</v>
      </c>
      <c r="B155" s="4" t="s">
        <v>358</v>
      </c>
    </row>
    <row r="156" spans="1:2">
      <c r="A156" s="3" t="s">
        <v>359</v>
      </c>
      <c r="B156" s="4" t="s">
        <v>360</v>
      </c>
    </row>
    <row r="157" spans="1:2">
      <c r="A157" s="3" t="s">
        <v>361</v>
      </c>
      <c r="B157" s="4" t="s">
        <v>362</v>
      </c>
    </row>
    <row r="158" spans="1:2">
      <c r="A158" s="3" t="s">
        <v>363</v>
      </c>
      <c r="B158" s="4" t="s">
        <v>364</v>
      </c>
    </row>
    <row r="159" spans="1:2">
      <c r="A159" s="3" t="s">
        <v>365</v>
      </c>
      <c r="B159" s="4" t="s">
        <v>366</v>
      </c>
    </row>
    <row r="160" spans="1:2">
      <c r="A160" s="3" t="s">
        <v>367</v>
      </c>
      <c r="B160" s="4" t="s">
        <v>368</v>
      </c>
    </row>
    <row r="161" spans="1:2">
      <c r="A161" s="3" t="s">
        <v>369</v>
      </c>
      <c r="B161" s="4" t="s">
        <v>370</v>
      </c>
    </row>
    <row r="162" spans="1:2">
      <c r="A162" s="3" t="s">
        <v>371</v>
      </c>
      <c r="B162" s="4" t="s">
        <v>372</v>
      </c>
    </row>
    <row r="163" spans="1:2">
      <c r="A163" s="3" t="s">
        <v>373</v>
      </c>
      <c r="B163" s="4" t="s">
        <v>374</v>
      </c>
    </row>
    <row r="164" spans="1:2">
      <c r="A164" s="3" t="s">
        <v>375</v>
      </c>
      <c r="B164" s="4" t="s">
        <v>376</v>
      </c>
    </row>
    <row r="165" spans="1:2">
      <c r="A165" s="3" t="s">
        <v>377</v>
      </c>
      <c r="B165" s="4" t="s">
        <v>378</v>
      </c>
    </row>
    <row r="166" spans="1:2">
      <c r="A166" s="3" t="s">
        <v>379</v>
      </c>
      <c r="B166" s="4" t="s">
        <v>380</v>
      </c>
    </row>
    <row r="167" spans="1:2">
      <c r="A167" s="3" t="s">
        <v>381</v>
      </c>
      <c r="B167" s="4" t="s">
        <v>382</v>
      </c>
    </row>
    <row r="168" spans="1:2">
      <c r="A168" s="3" t="s">
        <v>383</v>
      </c>
      <c r="B168" s="4" t="s">
        <v>384</v>
      </c>
    </row>
    <row r="169" spans="1:2">
      <c r="A169" s="7" t="s">
        <v>385</v>
      </c>
      <c r="B169" s="8" t="s">
        <v>386</v>
      </c>
    </row>
    <row r="170" spans="1:2">
      <c r="A170" s="9" t="s">
        <v>387</v>
      </c>
      <c r="B170" s="10" t="s">
        <v>388</v>
      </c>
    </row>
    <row r="171" spans="1:2">
      <c r="A171" s="3" t="s">
        <v>389</v>
      </c>
      <c r="B171" s="4" t="s">
        <v>390</v>
      </c>
    </row>
    <row r="172" spans="1:2">
      <c r="A172" s="3" t="s">
        <v>391</v>
      </c>
      <c r="B172" s="4" t="s">
        <v>392</v>
      </c>
    </row>
    <row r="173" spans="1:2">
      <c r="A173" s="3" t="s">
        <v>393</v>
      </c>
      <c r="B173" s="4" t="s">
        <v>394</v>
      </c>
    </row>
    <row r="174" spans="1:2">
      <c r="A174" s="3" t="s">
        <v>395</v>
      </c>
      <c r="B174" s="4" t="s">
        <v>396</v>
      </c>
    </row>
    <row r="175" ht="23" spans="1:2">
      <c r="A175" s="3" t="s">
        <v>397</v>
      </c>
      <c r="B175" s="4" t="s">
        <v>398</v>
      </c>
    </row>
    <row r="176" spans="1:2">
      <c r="A176" s="3" t="s">
        <v>399</v>
      </c>
      <c r="B176" s="4" t="s">
        <v>400</v>
      </c>
    </row>
    <row r="177" spans="1:2">
      <c r="A177" s="3" t="s">
        <v>401</v>
      </c>
      <c r="B177" s="4" t="s">
        <v>402</v>
      </c>
    </row>
    <row r="178" spans="1:2">
      <c r="A178" s="3" t="s">
        <v>403</v>
      </c>
      <c r="B178" s="4" t="s">
        <v>404</v>
      </c>
    </row>
    <row r="179" spans="1:2">
      <c r="A179" s="3" t="s">
        <v>405</v>
      </c>
      <c r="B179" s="4" t="s">
        <v>406</v>
      </c>
    </row>
  </sheetData>
  <pageMargins left="0.7" right="0.7" top="0.75" bottom="0.75" header="0.3" footer="0.3"/>
  <pageSetup paperSize="9" orientation="portrait" horizontalDpi="600" vertic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Central Bank of the U.A.E.</Company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BRF 36 CAP MKET BORR </vt:lpstr>
      <vt:lpstr>CURRENCIES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feby.imthias</dc:creator>
  <cp:lastModifiedBy>user</cp:lastModifiedBy>
  <dcterms:created xsi:type="dcterms:W3CDTF">2013-04-23T05:38:44Z</dcterms:created>
  <cp:lastPrinted>2015-01-13T09:45:24Z</cp:lastPrinted>
  <dcterms:modified xsi:type="dcterms:W3CDTF">2024-02-22T05:56:41Z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03142EAFB0F64D83915F6737A4BBBD13_13</vt:lpwstr>
  </property>
  <property fmtid="{D5CDD505-2E9C-101B-9397-08002B2CF9AE}" pid="3" name="KSOProductBuildVer">
    <vt:lpwstr>1033-12.2.0.13431</vt:lpwstr>
  </property>
</Properties>
</file>