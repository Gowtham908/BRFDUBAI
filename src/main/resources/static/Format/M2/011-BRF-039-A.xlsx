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39" sheetId="1" r:id="rId1"/>
    <sheet name="Drop_Down" sheetId="2" r:id="rId2"/>
  </sheets>
  <definedNames>
    <definedName name="CODE">Drop_Down!$A$3:$A$261</definedName>
    <definedName name="COMPANYCODE">Drop_Down!$D$8:$D$11</definedName>
    <definedName name="COUNTRIES">Drop_Down!$B$3:$B$261</definedName>
    <definedName name="CREDITRATING">Drop_Down!$M$3:$M$24</definedName>
    <definedName name="CREDITRATINGTYPE">Drop_Down!$E$12:$E$13</definedName>
    <definedName name="CREDITRATINGTYPECODE">Drop_Down!$D$15:$D$16</definedName>
    <definedName name="CREDITREP">Drop_Down!$P$3:$P$24</definedName>
    <definedName name="CURRENCY">Drop_Down!$K$3:$K$171</definedName>
    <definedName name="CURRENCYCODE">Drop_Down!$J$3:$J$171</definedName>
    <definedName name="ECONOMICSECTOR">Drop_Down!$H$2:$H$115</definedName>
    <definedName name="ECONOMICSECTORCODE">Drop_Down!$G$2:$G$115</definedName>
    <definedName name="GT1From">'BRF 39'!$A$9</definedName>
    <definedName name="GT1To">'BRF 39'!$A$11</definedName>
    <definedName name="_xlnm.Print_Area" localSheetId="0">'BRF 39'!$B$2:$W$16</definedName>
    <definedName name="RANGED7">'BRF 39'!$D$8</definedName>
    <definedName name="RESCODE">Drop_Down!$D$2:$D$3</definedName>
    <definedName name="RESIDENT">Drop_Down!$E$2:$E$3</definedName>
    <definedName name="SINGLE">Drop_Down!$E$7:$E$9</definedName>
    <definedName name="SINGLECODE">Drop_Down!$D$7:$D$9</definedName>
  </definedNames>
  <calcPr calcId="144525"/>
</workbook>
</file>

<file path=xl/sharedStrings.xml><?xml version="1.0" encoding="utf-8"?>
<sst xmlns="http://schemas.openxmlformats.org/spreadsheetml/2006/main" count="1249" uniqueCount="1188">
  <si>
    <t>LR</t>
  </si>
  <si>
    <t>CT1</t>
  </si>
  <si>
    <t>CT2</t>
  </si>
  <si>
    <t>CT3</t>
  </si>
  <si>
    <t>CT4</t>
  </si>
  <si>
    <t>BANKING AND MONETARY STATISTICS- LE BORROWERS (WITH AND WITHOUT CREDIT RISK MITIGATION) EQUAL TO OR ABOVE 10% OF BANK'S TIER 1 CAPITAL - BRF 39 (AED 000)</t>
  </si>
  <si>
    <t>Template ID:</t>
  </si>
  <si>
    <t>3-39-3-4</t>
  </si>
  <si>
    <t xml:space="preserve">Name of Bank : </t>
  </si>
  <si>
    <t>Bank of Baroda</t>
  </si>
  <si>
    <t>Quarter End:</t>
  </si>
  <si>
    <t xml:space="preserve">Tier 1 Capital (as per CAR return):        </t>
  </si>
  <si>
    <t>BR</t>
  </si>
  <si>
    <t>Name of the Borrower</t>
  </si>
  <si>
    <t>CIN / GLEI</t>
  </si>
  <si>
    <t>Borrower Type
Specify as "S" for Single or "G" for Group or "C" for Group Company or "I" for Self Sustainable Group Companies</t>
  </si>
  <si>
    <t>Group Name (Incase the borrower belong to a group)</t>
  </si>
  <si>
    <t>Residency Status
Specify as 
"R for Resident" or 
"NR for Non Resident"</t>
  </si>
  <si>
    <t>Country Incorporated</t>
  </si>
  <si>
    <t>Credit Rating of the Borrower</t>
  </si>
  <si>
    <t>Credit Rating Type</t>
  </si>
  <si>
    <t>Economic Sectors</t>
  </si>
  <si>
    <t>Currency</t>
  </si>
  <si>
    <t>Funded O/S (Excl. Debt Securities and equities) without the effects of Credit Risk Mitigation</t>
  </si>
  <si>
    <t>Credit Risk Mitigation after hair cut</t>
  </si>
  <si>
    <t xml:space="preserve">Debt securities </t>
  </si>
  <si>
    <t>Equities</t>
  </si>
  <si>
    <t>Unfunded O/S</t>
  </si>
  <si>
    <t>CCF equivalent of unfunded O/s</t>
  </si>
  <si>
    <t>CCF equivalent of committed unused funded and unfunded limits</t>
  </si>
  <si>
    <t>Total exposures (CCF based) without the effects of Credit Risk Mitigation</t>
  </si>
  <si>
    <t>Total exposures (CCF based) net of Credit Risk Mitigation after hair cut</t>
  </si>
  <si>
    <t>As % of Tier 1 Capital without the effects of Credit Risk Mitigation</t>
  </si>
  <si>
    <t>As % of Tier 1 Capital net of Credit Risk Mitigation after hair cut</t>
  </si>
  <si>
    <t>B1</t>
  </si>
  <si>
    <t>NA</t>
  </si>
  <si>
    <t>GT</t>
  </si>
  <si>
    <t>Total</t>
  </si>
  <si>
    <t>Note: 1.Reporting should include single entities and groups where total exposures as above are in excess of defined threshold limits before applying credit risk mitigation technique</t>
  </si>
  <si>
    <t>2.  In case exposure to a group where more than one entity is involved, report all the entities.</t>
  </si>
  <si>
    <t>3.  Only those exposures should be reported which exceed the threshold limit on net basis, i.e. after deducting interest in suspense, specific provisions and value adjustment.</t>
  </si>
  <si>
    <t>4. Report Credit Risk Mitigation Technique as specified in Article (7)  and Article (8) of Large Exposure Circular 3494/2023</t>
  </si>
  <si>
    <t>FORM NO: BSD/BRF 39 -LARGE EXP/ AUG23</t>
  </si>
  <si>
    <t>Specify as R for Resident or NR for Non Resident</t>
  </si>
  <si>
    <t>Economic Sector</t>
  </si>
  <si>
    <t>Code</t>
  </si>
  <si>
    <t>Country Name</t>
  </si>
  <si>
    <t>R</t>
  </si>
  <si>
    <t>Resident</t>
  </si>
  <si>
    <t>AG01</t>
  </si>
  <si>
    <t>Agriculture and allied activities - Cultivation of crops</t>
  </si>
  <si>
    <t>S&amp;P</t>
  </si>
  <si>
    <t>Moody’s</t>
  </si>
  <si>
    <t>Fitch</t>
  </si>
  <si>
    <t>Rating for reporting</t>
  </si>
  <si>
    <t>AD</t>
  </si>
  <si>
    <t>Andorra</t>
  </si>
  <si>
    <t>NR</t>
  </si>
  <si>
    <t>Non Resident</t>
  </si>
  <si>
    <t>AG02</t>
  </si>
  <si>
    <t>Agriculture and allied activities - Poultry farming</t>
  </si>
  <si>
    <t>AED</t>
  </si>
  <si>
    <t>UAE Dirham</t>
  </si>
  <si>
    <t>AAA</t>
  </si>
  <si>
    <t>Aaa</t>
  </si>
  <si>
    <t>AE</t>
  </si>
  <si>
    <t>United Arab Emirates</t>
  </si>
  <si>
    <t>AG03</t>
  </si>
  <si>
    <t>Agriculture and allied activities - Fishing</t>
  </si>
  <si>
    <t>AFN</t>
  </si>
  <si>
    <t>Afghani</t>
  </si>
  <si>
    <t>AA+</t>
  </si>
  <si>
    <t>Aa1</t>
  </si>
  <si>
    <t>AF</t>
  </si>
  <si>
    <t>Afghanistan</t>
  </si>
  <si>
    <t>AG04</t>
  </si>
  <si>
    <t>Agriculture and allied activities - Others</t>
  </si>
  <si>
    <t>ALL</t>
  </si>
  <si>
    <t>Lek</t>
  </si>
  <si>
    <t>AA</t>
  </si>
  <si>
    <t>Aa2</t>
  </si>
  <si>
    <t>AG</t>
  </si>
  <si>
    <t>Antigua and Barbuda</t>
  </si>
  <si>
    <t>Specify as "S" for Single or "G" for Group</t>
  </si>
  <si>
    <t>MQ01</t>
  </si>
  <si>
    <t>Mining and quarrying - Extraction of crude petroleum</t>
  </si>
  <si>
    <t>AMD</t>
  </si>
  <si>
    <t>Armenian Dram</t>
  </si>
  <si>
    <t>AA-</t>
  </si>
  <si>
    <t>Aa3</t>
  </si>
  <si>
    <t>AI</t>
  </si>
  <si>
    <t>Anguilla</t>
  </si>
  <si>
    <t>Description</t>
  </si>
  <si>
    <t>MQ02</t>
  </si>
  <si>
    <t>Mining and quarrying - Extraction of natural gas</t>
  </si>
  <si>
    <t>ANG</t>
  </si>
  <si>
    <t>Netherlands Antillean Guilder</t>
  </si>
  <si>
    <t>A+</t>
  </si>
  <si>
    <t>A1</t>
  </si>
  <si>
    <t>AL</t>
  </si>
  <si>
    <t>Albania</t>
  </si>
  <si>
    <t>S</t>
  </si>
  <si>
    <t>Single</t>
  </si>
  <si>
    <t>MQ03</t>
  </si>
  <si>
    <t>Mining and quarrying - Others</t>
  </si>
  <si>
    <t>AOA</t>
  </si>
  <si>
    <t>Kwanza</t>
  </si>
  <si>
    <t>A</t>
  </si>
  <si>
    <t>A2</t>
  </si>
  <si>
    <t>AM</t>
  </si>
  <si>
    <t>Armenia</t>
  </si>
  <si>
    <t>G</t>
  </si>
  <si>
    <t>Group</t>
  </si>
  <si>
    <t>MF01</t>
  </si>
  <si>
    <t>Manufacturing - Food products</t>
  </si>
  <si>
    <t>ARS</t>
  </si>
  <si>
    <t>Argentine Peso</t>
  </si>
  <si>
    <t>A-</t>
  </si>
  <si>
    <t>A3</t>
  </si>
  <si>
    <t>AO</t>
  </si>
  <si>
    <t>Angola</t>
  </si>
  <si>
    <t>C</t>
  </si>
  <si>
    <t>Group Company</t>
  </si>
  <si>
    <t>MF02</t>
  </si>
  <si>
    <t>Manufacturing - Beverages &amp; tobacco</t>
  </si>
  <si>
    <t>AUD</t>
  </si>
  <si>
    <t>Australian Dollar</t>
  </si>
  <si>
    <t>BBB+</t>
  </si>
  <si>
    <t>Baa1</t>
  </si>
  <si>
    <t>AQ</t>
  </si>
  <si>
    <t>Antarctica</t>
  </si>
  <si>
    <t>I</t>
  </si>
  <si>
    <t>Self Sustainable Group Company</t>
  </si>
  <si>
    <t>MF03</t>
  </si>
  <si>
    <t>Manufacturing - Textile, leather, footwear and clothing</t>
  </si>
  <si>
    <t>AWG</t>
  </si>
  <si>
    <t>Aruban Florin</t>
  </si>
  <si>
    <t>BBB</t>
  </si>
  <si>
    <t>Baa2</t>
  </si>
  <si>
    <t>AR</t>
  </si>
  <si>
    <t>Argentina</t>
  </si>
  <si>
    <t>MF04</t>
  </si>
  <si>
    <t>Manufacturing - wearing apparel</t>
  </si>
  <si>
    <t>AZN</t>
  </si>
  <si>
    <t>Azerbaijan Manat</t>
  </si>
  <si>
    <t>BBB-</t>
  </si>
  <si>
    <t>Baa3</t>
  </si>
  <si>
    <t>AS</t>
  </si>
  <si>
    <t>American Samoa</t>
  </si>
  <si>
    <t>MF05</t>
  </si>
  <si>
    <t>Manufacturing - wood &amp; other wood products</t>
  </si>
  <si>
    <t>BAM</t>
  </si>
  <si>
    <t>Convertible Mark</t>
  </si>
  <si>
    <t>BB+</t>
  </si>
  <si>
    <t>Ba1</t>
  </si>
  <si>
    <t>AT</t>
  </si>
  <si>
    <t>Austria</t>
  </si>
  <si>
    <t>MF06</t>
  </si>
  <si>
    <t>Manufacturing - furniture</t>
  </si>
  <si>
    <t>BBD</t>
  </si>
  <si>
    <t>Barbados Dollar</t>
  </si>
  <si>
    <t>BB</t>
  </si>
  <si>
    <t>Ba2</t>
  </si>
  <si>
    <t>AU</t>
  </si>
  <si>
    <t>Australia</t>
  </si>
  <si>
    <t>Internal</t>
  </si>
  <si>
    <t>Internal Rating</t>
  </si>
  <si>
    <t>MF07</t>
  </si>
  <si>
    <t>Manufacturing - paper &amp; paper products</t>
  </si>
  <si>
    <t>BDT</t>
  </si>
  <si>
    <t>Taka</t>
  </si>
  <si>
    <t>BB-</t>
  </si>
  <si>
    <t>Ba3</t>
  </si>
  <si>
    <t>AW</t>
  </si>
  <si>
    <t>Aruba</t>
  </si>
  <si>
    <t>External</t>
  </si>
  <si>
    <t>External Rating</t>
  </si>
  <si>
    <t>MF08</t>
  </si>
  <si>
    <t>Printing and reproduction of recorded media</t>
  </si>
  <si>
    <t>BGN</t>
  </si>
  <si>
    <t>Bulgarian Lev</t>
  </si>
  <si>
    <t>B+</t>
  </si>
  <si>
    <t>AX</t>
  </si>
  <si>
    <t>Aland Islands+C3</t>
  </si>
  <si>
    <t>MF09</t>
  </si>
  <si>
    <t>Chemical &amp; chemical products except petroleum - Manufacture of basic industrial chemical except fertilizers</t>
  </si>
  <si>
    <t>BHD</t>
  </si>
  <si>
    <t>Bahraini Dinar</t>
  </si>
  <si>
    <t>B</t>
  </si>
  <si>
    <t>B2</t>
  </si>
  <si>
    <t>AZ</t>
  </si>
  <si>
    <t>Azerbaijan</t>
  </si>
  <si>
    <t>MF10</t>
  </si>
  <si>
    <t>Chemical &amp; chemical products except petroleum - Fertilizers and pesticides</t>
  </si>
  <si>
    <t>BIF</t>
  </si>
  <si>
    <t>Burundi Franc</t>
  </si>
  <si>
    <t>B-</t>
  </si>
  <si>
    <t>B3</t>
  </si>
  <si>
    <t>BA</t>
  </si>
  <si>
    <t>Bosnia and Herzegovina</t>
  </si>
  <si>
    <t>MF11</t>
  </si>
  <si>
    <t>Chemical &amp; chemical products except petroleum - Paints, varnishes and lacquers</t>
  </si>
  <si>
    <t>BMD</t>
  </si>
  <si>
    <t>Bermudian Dollar</t>
  </si>
  <si>
    <t>CCC+</t>
  </si>
  <si>
    <t>Caa1</t>
  </si>
  <si>
    <t>Barbados</t>
  </si>
  <si>
    <t>MF12</t>
  </si>
  <si>
    <t>Chemical &amp; chemical products except petroleum - Drugs and medicines</t>
  </si>
  <si>
    <t>BND</t>
  </si>
  <si>
    <t>Brunei Dollar</t>
  </si>
  <si>
    <t>CCC</t>
  </si>
  <si>
    <t>Caa2</t>
  </si>
  <si>
    <t>BD</t>
  </si>
  <si>
    <t>Bangladesh</t>
  </si>
  <si>
    <t>MF13</t>
  </si>
  <si>
    <t>Chemical &amp; chemical products except petroleum - Soap, cleaning preparations, perfumes, cosmetics etc</t>
  </si>
  <si>
    <t>BOB</t>
  </si>
  <si>
    <t>Boliviano</t>
  </si>
  <si>
    <t>CCC-</t>
  </si>
  <si>
    <t>Caa3</t>
  </si>
  <si>
    <t>BE</t>
  </si>
  <si>
    <t>Belgium</t>
  </si>
  <si>
    <t>MF15</t>
  </si>
  <si>
    <t>Chemical &amp; chemical products except petroleum - Other chemical products not classified elsewhere</t>
  </si>
  <si>
    <t>BOV</t>
  </si>
  <si>
    <t>Mvdol</t>
  </si>
  <si>
    <t>CC</t>
  </si>
  <si>
    <t>Ca</t>
  </si>
  <si>
    <t>BF</t>
  </si>
  <si>
    <t>Burkina Faso</t>
  </si>
  <si>
    <t>MF16</t>
  </si>
  <si>
    <t>Petroleum refining and petroleum products - Petroleum refinery</t>
  </si>
  <si>
    <t>BRL</t>
  </si>
  <si>
    <t>Brazilian Real</t>
  </si>
  <si>
    <t>BG</t>
  </si>
  <si>
    <t>Bulgaria</t>
  </si>
  <si>
    <t>MF17</t>
  </si>
  <si>
    <t>Petroleum refining and petroleum products - Manufacture of miscellaneous products of petroleum</t>
  </si>
  <si>
    <t>BSD</t>
  </si>
  <si>
    <t>Bahamian Dollar</t>
  </si>
  <si>
    <t>D</t>
  </si>
  <si>
    <t>-</t>
  </si>
  <si>
    <t>BH</t>
  </si>
  <si>
    <t>Bahrain</t>
  </si>
  <si>
    <t>MF18</t>
  </si>
  <si>
    <t>Petroleum refining and petroleum products - Any other petroleum product not included elsewhere</t>
  </si>
  <si>
    <t>BTN</t>
  </si>
  <si>
    <t>Ngultrum</t>
  </si>
  <si>
    <t>BI</t>
  </si>
  <si>
    <t>Burundi</t>
  </si>
  <si>
    <t>MF19</t>
  </si>
  <si>
    <t>Basic metal industry - Iron and steel basic industries</t>
  </si>
  <si>
    <t>BWP</t>
  </si>
  <si>
    <t>Pula</t>
  </si>
  <si>
    <t>BJ</t>
  </si>
  <si>
    <t>Benin</t>
  </si>
  <si>
    <t>MF20</t>
  </si>
  <si>
    <t>Basic metal industry - Non-ferrous metal basic industries</t>
  </si>
  <si>
    <t>BYN</t>
  </si>
  <si>
    <t>Belarusian Ruble</t>
  </si>
  <si>
    <t>BL</t>
  </si>
  <si>
    <t>Saint Barthélemy</t>
  </si>
  <si>
    <t>MF21</t>
  </si>
  <si>
    <t>Basic metal industry - Casting of metals</t>
  </si>
  <si>
    <t>BZD</t>
  </si>
  <si>
    <t>Belize Dollar</t>
  </si>
  <si>
    <t>BM</t>
  </si>
  <si>
    <t>Bermuda</t>
  </si>
  <si>
    <t>MF22</t>
  </si>
  <si>
    <t>Manufacturing of rubber and plastics products</t>
  </si>
  <si>
    <t>CAD</t>
  </si>
  <si>
    <t>Canadian Dollar</t>
  </si>
  <si>
    <t>BN</t>
  </si>
  <si>
    <t>Brunei Darussalam</t>
  </si>
  <si>
    <t>MF23</t>
  </si>
  <si>
    <t>Manufacturing of fabricated metal products, except machinery and equipment</t>
  </si>
  <si>
    <t>CDF</t>
  </si>
  <si>
    <t>Congolese Franc</t>
  </si>
  <si>
    <t>BO</t>
  </si>
  <si>
    <t>Bolivia, Plurinational State of</t>
  </si>
  <si>
    <t>MF24</t>
  </si>
  <si>
    <t>Manufacturing of pharmaceuticals, medical chemical and botanical products</t>
  </si>
  <si>
    <t>CHE</t>
  </si>
  <si>
    <t>WIR Euro</t>
  </si>
  <si>
    <t>BQ</t>
  </si>
  <si>
    <t>Bonaire, Sint Eustatius and Saba</t>
  </si>
  <si>
    <t>MF25</t>
  </si>
  <si>
    <t>Manufacturing of computers, electronic and optical products</t>
  </si>
  <si>
    <t>CHF</t>
  </si>
  <si>
    <t>Swiss Franc</t>
  </si>
  <si>
    <t>Brazil</t>
  </si>
  <si>
    <t>MF26</t>
  </si>
  <si>
    <t>Manufacturing of electrical equipment</t>
  </si>
  <si>
    <t>CHW</t>
  </si>
  <si>
    <t>WIR Franc</t>
  </si>
  <si>
    <t>BS</t>
  </si>
  <si>
    <t>Bahamas</t>
  </si>
  <si>
    <t>MF27</t>
  </si>
  <si>
    <t>Manufacturing of machinery and equipment</t>
  </si>
  <si>
    <t>CLF</t>
  </si>
  <si>
    <t>Unidad de Fomento</t>
  </si>
  <si>
    <t>BT</t>
  </si>
  <si>
    <t>Bhutan</t>
  </si>
  <si>
    <t>MF28</t>
  </si>
  <si>
    <t>Manufacturing of motor vehicles, trailers and semi-trailers</t>
  </si>
  <si>
    <t>CLP</t>
  </si>
  <si>
    <t>Chilean Peso</t>
  </si>
  <si>
    <t>BV</t>
  </si>
  <si>
    <t>Bouvet Island</t>
  </si>
  <si>
    <t>MF29</t>
  </si>
  <si>
    <t>Manufacturing of other transport equipment</t>
  </si>
  <si>
    <t>CNY</t>
  </si>
  <si>
    <t>Yuan Renminbi</t>
  </si>
  <si>
    <t>BW</t>
  </si>
  <si>
    <t>Botswana</t>
  </si>
  <si>
    <t>MF30</t>
  </si>
  <si>
    <t>Manufacturing of other manufacturing (jewellery, musical instrument, sports, toys etc.)</t>
  </si>
  <si>
    <t>COP</t>
  </si>
  <si>
    <t>Colombian Peso</t>
  </si>
  <si>
    <t>BY</t>
  </si>
  <si>
    <t>Belarus</t>
  </si>
  <si>
    <t>MF31</t>
  </si>
  <si>
    <t>Manufacturing - Repair and installation of machinery and equipment</t>
  </si>
  <si>
    <t>COU</t>
  </si>
  <si>
    <t>Unidad de Valor Real</t>
  </si>
  <si>
    <t>BZ</t>
  </si>
  <si>
    <t>Belize</t>
  </si>
  <si>
    <t>MF32</t>
  </si>
  <si>
    <t>Manufacturing of other non-metallic mineral products - Cement, lime and plaster manufacturing</t>
  </si>
  <si>
    <t>CRC</t>
  </si>
  <si>
    <t>Costa Rican Colon</t>
  </si>
  <si>
    <t>CA</t>
  </si>
  <si>
    <t>Canada</t>
  </si>
  <si>
    <t>MF33</t>
  </si>
  <si>
    <t>Manufacturing of other non-metallic mineral products - Tiles and other structural clay products</t>
  </si>
  <si>
    <t>CUC</t>
  </si>
  <si>
    <t>Peso Convertible</t>
  </si>
  <si>
    <t>Cocos (Keeling) Islands</t>
  </si>
  <si>
    <t>MF34</t>
  </si>
  <si>
    <t>Manufacturing of other non-metallic mineral products - Glass and glass products</t>
  </si>
  <si>
    <t>CUP</t>
  </si>
  <si>
    <t>Cuban Peso</t>
  </si>
  <si>
    <t>CD</t>
  </si>
  <si>
    <t>Congo, the Democratic Republic of the</t>
  </si>
  <si>
    <t>MF35</t>
  </si>
  <si>
    <t>Other manufacturing non-metallic mineral product not shown elsewhere</t>
  </si>
  <si>
    <t>CVE</t>
  </si>
  <si>
    <t>Cabo Verde Escudo</t>
  </si>
  <si>
    <t>CF</t>
  </si>
  <si>
    <t>Central African Republic</t>
  </si>
  <si>
    <t>ES01</t>
  </si>
  <si>
    <t>Electricity, gas &amp; air-conditioning supply - Electric power generation, transmission and distribution</t>
  </si>
  <si>
    <t>CZK</t>
  </si>
  <si>
    <t>Czech Koruna</t>
  </si>
  <si>
    <t>CG</t>
  </si>
  <si>
    <t>Congo</t>
  </si>
  <si>
    <t>ES02</t>
  </si>
  <si>
    <t>Electricity, gas &amp; air-conditioning supply - Industrial and consumer gas, CNG</t>
  </si>
  <si>
    <t>DJF</t>
  </si>
  <si>
    <t>Djibouti Franc</t>
  </si>
  <si>
    <t>CH</t>
  </si>
  <si>
    <t>Switzerland</t>
  </si>
  <si>
    <t>ES03</t>
  </si>
  <si>
    <t>Electricity, gas &amp; air-conditioning supply – Air-conditioning and steam supply</t>
  </si>
  <si>
    <t>DKK</t>
  </si>
  <si>
    <t>Danish Krone</t>
  </si>
  <si>
    <t>CI</t>
  </si>
  <si>
    <t>Côte d'Ivoire</t>
  </si>
  <si>
    <t>WS01</t>
  </si>
  <si>
    <t>Water supply; sewerage, waste management and remediation activities -Water collection, treatment and supply</t>
  </si>
  <si>
    <t>DOP</t>
  </si>
  <si>
    <t>Dominican Peso</t>
  </si>
  <si>
    <t>CK</t>
  </si>
  <si>
    <t>Cook Islands</t>
  </si>
  <si>
    <t>WS02</t>
  </si>
  <si>
    <t>Water supply; sewerage, waste management and remediation activities -Sewerage</t>
  </si>
  <si>
    <t>DZD</t>
  </si>
  <si>
    <t>Algerian Dinar</t>
  </si>
  <si>
    <t>CL</t>
  </si>
  <si>
    <t>Chile</t>
  </si>
  <si>
    <t>WS03</t>
  </si>
  <si>
    <t>Water supply; sewerage, waste management and remediation activities -Waste collection, treatment and disposal activities; materials recovery</t>
  </si>
  <si>
    <t>EGP</t>
  </si>
  <si>
    <t>Egyptian Pound</t>
  </si>
  <si>
    <t>CM</t>
  </si>
  <si>
    <t>Cameroon</t>
  </si>
  <si>
    <t>WS04</t>
  </si>
  <si>
    <t>Water supply; sewerage, waste management and remediation activities -Remediation activities and other waste management services</t>
  </si>
  <si>
    <t>ERN</t>
  </si>
  <si>
    <t>Nakfa</t>
  </si>
  <si>
    <t>CN</t>
  </si>
  <si>
    <t>China</t>
  </si>
  <si>
    <t>CR01</t>
  </si>
  <si>
    <t>Construction and real estate - Construction of buildings</t>
  </si>
  <si>
    <t>ETB</t>
  </si>
  <si>
    <t>Ethiopian Birr</t>
  </si>
  <si>
    <t>CO</t>
  </si>
  <si>
    <t>Colombia</t>
  </si>
  <si>
    <t>CR02</t>
  </si>
  <si>
    <t>Construction and real estate - Civil engineering</t>
  </si>
  <si>
    <t>EUR</t>
  </si>
  <si>
    <t>Euro</t>
  </si>
  <si>
    <t>CR</t>
  </si>
  <si>
    <t>Costa Rica</t>
  </si>
  <si>
    <t>CR03</t>
  </si>
  <si>
    <t>Construction and real estate - Specialized construction activities</t>
  </si>
  <si>
    <t>FJD</t>
  </si>
  <si>
    <t>Fiji Dollar</t>
  </si>
  <si>
    <t>CU</t>
  </si>
  <si>
    <t>Cuba</t>
  </si>
  <si>
    <t>CR04</t>
  </si>
  <si>
    <t>Construction and real estate - Real estate activities with own or leased property</t>
  </si>
  <si>
    <t>FKP</t>
  </si>
  <si>
    <t>Falkland Islands Pound</t>
  </si>
  <si>
    <t>CV</t>
  </si>
  <si>
    <t>Cape Verde</t>
  </si>
  <si>
    <t>CR05</t>
  </si>
  <si>
    <t>Construction and real estate - Real estate activities on a free or contract basis</t>
  </si>
  <si>
    <t>GBP</t>
  </si>
  <si>
    <t>Pound Sterling</t>
  </si>
  <si>
    <t>CW</t>
  </si>
  <si>
    <t>Curaçao</t>
  </si>
  <si>
    <t>WR01</t>
  </si>
  <si>
    <t>Wholesale and retail trade; repair of motor vehicles and motorcycles - Sale of motor vehicles, parts and accessories</t>
  </si>
  <si>
    <t>GEL</t>
  </si>
  <si>
    <t>Lari</t>
  </si>
  <si>
    <t>CX</t>
  </si>
  <si>
    <t>Christmas Island</t>
  </si>
  <si>
    <t>WR02</t>
  </si>
  <si>
    <t>Wholesale and retail trade; repair of motor vehicles and motorcycles – Sale, maintenance and repair of motor vehicles, parts and accessories</t>
  </si>
  <si>
    <t>GHS</t>
  </si>
  <si>
    <t>Ghana Cedi</t>
  </si>
  <si>
    <t>CY</t>
  </si>
  <si>
    <t>Cyprus</t>
  </si>
  <si>
    <t>WR03</t>
  </si>
  <si>
    <t>Wholesale and retail trade; repair of motor vehicles and motorcycles – Wholesale of construction materials, hardware, plumbing and heating equipment and supplies</t>
  </si>
  <si>
    <t>GIP</t>
  </si>
  <si>
    <t>Gibraltar Pound</t>
  </si>
  <si>
    <t>CZ</t>
  </si>
  <si>
    <t>Czech Republic</t>
  </si>
  <si>
    <t>WR04</t>
  </si>
  <si>
    <t>Wholesale and retail trade; repair of motor vehicles and motorcycles – Textiles, clothing and leather products</t>
  </si>
  <si>
    <t>GMD</t>
  </si>
  <si>
    <t>Dalasi</t>
  </si>
  <si>
    <t>DE</t>
  </si>
  <si>
    <t>Germany</t>
  </si>
  <si>
    <t>WR05</t>
  </si>
  <si>
    <t>Wholesale and retail trade; repair of motor vehicles and motorcycles – Wholesale of machinery, equipment and supplies</t>
  </si>
  <si>
    <t>GNF</t>
  </si>
  <si>
    <t>Guinean Franc</t>
  </si>
  <si>
    <t>DJ</t>
  </si>
  <si>
    <t>Djibouti</t>
  </si>
  <si>
    <t>WR06</t>
  </si>
  <si>
    <t>Wholesale and retail trade; repair of motor vehicles and motorcycles – wholesale of food, beverages and tobacco</t>
  </si>
  <si>
    <t>GTQ</t>
  </si>
  <si>
    <t>Quetzal</t>
  </si>
  <si>
    <t>DK</t>
  </si>
  <si>
    <t>Denmark</t>
  </si>
  <si>
    <t>WR07</t>
  </si>
  <si>
    <t>Wholesale and retail trade; repair of motor vehicles and motorcycles – wholesale of solid, liquid and gaseous fuels and related products</t>
  </si>
  <si>
    <t>GYD</t>
  </si>
  <si>
    <t>Guyana Dollar</t>
  </si>
  <si>
    <t>DM</t>
  </si>
  <si>
    <t>Dominica</t>
  </si>
  <si>
    <t>WR08</t>
  </si>
  <si>
    <t>Wholesale and retail trade; repair of motor vehicles and motorcycles – wholesales of metals and metal ores</t>
  </si>
  <si>
    <t>HKD</t>
  </si>
  <si>
    <t>Hong Kong Dollar</t>
  </si>
  <si>
    <t>DO</t>
  </si>
  <si>
    <t>Dominican Republic</t>
  </si>
  <si>
    <t>WR09</t>
  </si>
  <si>
    <t>Wholesale and retail trade; repair of motor vehicles and motorcycles – wholesale of wasted and scrap and other products</t>
  </si>
  <si>
    <t>HNL</t>
  </si>
  <si>
    <t>Lempira</t>
  </si>
  <si>
    <t>DZ</t>
  </si>
  <si>
    <t>Algeria</t>
  </si>
  <si>
    <t>WR10</t>
  </si>
  <si>
    <t>Wholesale and retail trade; repair of motor vehicles and motorcycles – wholesale of agricultural raw materials and live animals</t>
  </si>
  <si>
    <t>HRK</t>
  </si>
  <si>
    <t>Kuna</t>
  </si>
  <si>
    <t>EC</t>
  </si>
  <si>
    <t>Ecuador</t>
  </si>
  <si>
    <t>WR11</t>
  </si>
  <si>
    <t>Wholesale and retail trade; repair of motor vehicles and motorcycles – non-specialised wholesale trade</t>
  </si>
  <si>
    <t>HTG</t>
  </si>
  <si>
    <t>Gourde</t>
  </si>
  <si>
    <t>EE</t>
  </si>
  <si>
    <t>Estonia</t>
  </si>
  <si>
    <t>WR12</t>
  </si>
  <si>
    <t>Wholesale and retail trade; repair of motor vehicles and motorcycles – Retail sale in non-specialised stores</t>
  </si>
  <si>
    <t>HUF</t>
  </si>
  <si>
    <t>Forint</t>
  </si>
  <si>
    <t>EG</t>
  </si>
  <si>
    <t>Egypt</t>
  </si>
  <si>
    <t>WR13</t>
  </si>
  <si>
    <t>Wholesale and retail trade; repair of motor vehicles and motorcycles – Retail sale of food, beverages and tobacco in specialized stores</t>
  </si>
  <si>
    <t>IDR</t>
  </si>
  <si>
    <t>Rupiah</t>
  </si>
  <si>
    <t>EH</t>
  </si>
  <si>
    <t>Western Sahara</t>
  </si>
  <si>
    <t>WR14</t>
  </si>
  <si>
    <t>Wholesale and retail trade; repair of motor vehicles and motorcycles – Retail sale of information and communication equipment in specialized stores</t>
  </si>
  <si>
    <t>ILS</t>
  </si>
  <si>
    <t>New Israeli Sheqel</t>
  </si>
  <si>
    <t>ER</t>
  </si>
  <si>
    <t>Eritrea</t>
  </si>
  <si>
    <t>WR15</t>
  </si>
  <si>
    <t>Wholesale and retail trade; repair of motor vehicles and motorcycles – Retail sale of cultural and recreation goods in specialized stores</t>
  </si>
  <si>
    <t>INR</t>
  </si>
  <si>
    <t>Indian Rupee</t>
  </si>
  <si>
    <t>ES</t>
  </si>
  <si>
    <t>Spain</t>
  </si>
  <si>
    <t>WR16</t>
  </si>
  <si>
    <t>Wholesale and retail trade; repair of motor vehicles and motorcycles – Retail sale of other household equipment in specialized stores</t>
  </si>
  <si>
    <t>IQD</t>
  </si>
  <si>
    <t>Iraqi Dinar</t>
  </si>
  <si>
    <t>ET</t>
  </si>
  <si>
    <t>Ethiopia</t>
  </si>
  <si>
    <t>WR17</t>
  </si>
  <si>
    <t>Wholesale and retail trade; repair of motor vehicles and motorcycles – Retail sale via stalls and markets other goods in specialized stores</t>
  </si>
  <si>
    <t>IRR</t>
  </si>
  <si>
    <t>Iranian Rial</t>
  </si>
  <si>
    <t>FI</t>
  </si>
  <si>
    <t>Finland</t>
  </si>
  <si>
    <t>WR18</t>
  </si>
  <si>
    <t>Wholesale and retail trade; repair of motor vehicles and motorcycles – Retail sale of other goods in specialized stores</t>
  </si>
  <si>
    <t>ISK</t>
  </si>
  <si>
    <t>Iceland Krona</t>
  </si>
  <si>
    <t>FJ</t>
  </si>
  <si>
    <t>Fiji</t>
  </si>
  <si>
    <t>TS01</t>
  </si>
  <si>
    <t>Transportation and storage - Land transport and transport via pipelines</t>
  </si>
  <si>
    <t>JMD</t>
  </si>
  <si>
    <t>Jamaican Dollar</t>
  </si>
  <si>
    <t>FK</t>
  </si>
  <si>
    <t>Falkland Islands (Malvinas)</t>
  </si>
  <si>
    <t>TS02</t>
  </si>
  <si>
    <t>Transportation and storage - Taxies, buses, railways and other land transport</t>
  </si>
  <si>
    <t>JOD</t>
  </si>
  <si>
    <t>Jordanian Dinar</t>
  </si>
  <si>
    <t>FM</t>
  </si>
  <si>
    <t>Micronesia, Federated States of</t>
  </si>
  <si>
    <t>TS03</t>
  </si>
  <si>
    <t>Transportation and storage - Transport via pipelines</t>
  </si>
  <si>
    <t>JPY</t>
  </si>
  <si>
    <t>Yen</t>
  </si>
  <si>
    <t>FO</t>
  </si>
  <si>
    <t>Faroe Islands</t>
  </si>
  <si>
    <t>TS04</t>
  </si>
  <si>
    <t>Transportation and storage - Water Transport</t>
  </si>
  <si>
    <t>KES</t>
  </si>
  <si>
    <t>Kenyan Shilling</t>
  </si>
  <si>
    <t>FR</t>
  </si>
  <si>
    <t>France</t>
  </si>
  <si>
    <t>TS05</t>
  </si>
  <si>
    <t>Transportation and storage - Air lines and air transport</t>
  </si>
  <si>
    <t>KGS</t>
  </si>
  <si>
    <t>Som</t>
  </si>
  <si>
    <t>GA</t>
  </si>
  <si>
    <t>Gabon</t>
  </si>
  <si>
    <t>TS06</t>
  </si>
  <si>
    <t>Transportation and storage - Warehousing and support activities for transportation</t>
  </si>
  <si>
    <t>KHR</t>
  </si>
  <si>
    <t>Riel</t>
  </si>
  <si>
    <t>GB</t>
  </si>
  <si>
    <t>United Kingdom</t>
  </si>
  <si>
    <t>TS07</t>
  </si>
  <si>
    <t>Transportation and storage - Postal and courier activities</t>
  </si>
  <si>
    <t>KMF</t>
  </si>
  <si>
    <t>Comorian Franc</t>
  </si>
  <si>
    <t>GD</t>
  </si>
  <si>
    <t>Grenada</t>
  </si>
  <si>
    <t>HS01</t>
  </si>
  <si>
    <t>Hospitality - Accommodation</t>
  </si>
  <si>
    <t>KPW</t>
  </si>
  <si>
    <t>North Korean Won</t>
  </si>
  <si>
    <t>GE</t>
  </si>
  <si>
    <t>Georgia</t>
  </si>
  <si>
    <t>HS02</t>
  </si>
  <si>
    <t>Hospitality - Food and beverage service activities</t>
  </si>
  <si>
    <t>KRW</t>
  </si>
  <si>
    <t>Won</t>
  </si>
  <si>
    <t>GF</t>
  </si>
  <si>
    <t>French Guiana</t>
  </si>
  <si>
    <t>IC01</t>
  </si>
  <si>
    <t>Information and communication - Publishing activities</t>
  </si>
  <si>
    <t>KWD</t>
  </si>
  <si>
    <t>Kuwaiti Dinar</t>
  </si>
  <si>
    <t>GG</t>
  </si>
  <si>
    <t>Guernsey</t>
  </si>
  <si>
    <t>IC02</t>
  </si>
  <si>
    <t>Information and communication - Motion picture, video and television programme production, sound recording</t>
  </si>
  <si>
    <t>KYD</t>
  </si>
  <si>
    <t>Cayman Islands Dollar</t>
  </si>
  <si>
    <t>GH</t>
  </si>
  <si>
    <t>Ghana</t>
  </si>
  <si>
    <t>IC03</t>
  </si>
  <si>
    <t>and music publishing activities</t>
  </si>
  <si>
    <t>KZT</t>
  </si>
  <si>
    <t>Tenge</t>
  </si>
  <si>
    <t>GI</t>
  </si>
  <si>
    <t>Gibraltar</t>
  </si>
  <si>
    <t>IC04</t>
  </si>
  <si>
    <t>Information and communication - Programming and broadcasting activities</t>
  </si>
  <si>
    <t>LAK</t>
  </si>
  <si>
    <t>Lao Kip</t>
  </si>
  <si>
    <t>GL</t>
  </si>
  <si>
    <t>Greenland</t>
  </si>
  <si>
    <t>IC05</t>
  </si>
  <si>
    <t>Information and communication - Telecommunications</t>
  </si>
  <si>
    <t>LBP</t>
  </si>
  <si>
    <t>Lebanese Pound</t>
  </si>
  <si>
    <t>GM</t>
  </si>
  <si>
    <t>Gambia</t>
  </si>
  <si>
    <t>IC06</t>
  </si>
  <si>
    <t>Information and communication - Computer programming, consultancy and related activities</t>
  </si>
  <si>
    <t>LKR</t>
  </si>
  <si>
    <t>Sri Lanka Rupee</t>
  </si>
  <si>
    <t>GN</t>
  </si>
  <si>
    <t>Guinea</t>
  </si>
  <si>
    <t>IC07</t>
  </si>
  <si>
    <t>Information and communication - Information service activities</t>
  </si>
  <si>
    <t>LRD</t>
  </si>
  <si>
    <t>Liberian Dollar</t>
  </si>
  <si>
    <t>GP</t>
  </si>
  <si>
    <t>Guadeloupe</t>
  </si>
  <si>
    <t>FI01</t>
  </si>
  <si>
    <t>Financial and Insurance activities - Financial service activities, except insurance and pension funding - Central Banking</t>
  </si>
  <si>
    <t>LSL</t>
  </si>
  <si>
    <t>Loti</t>
  </si>
  <si>
    <t>GQ</t>
  </si>
  <si>
    <t>Equatorial Guinea</t>
  </si>
  <si>
    <t>FI02</t>
  </si>
  <si>
    <t>Financial and Insurance activities - Financial service activities, except insurance and pension funding - Commercial banks</t>
  </si>
  <si>
    <t>LYD</t>
  </si>
  <si>
    <t>Libyan Dinar</t>
  </si>
  <si>
    <t>GR</t>
  </si>
  <si>
    <t>Greece</t>
  </si>
  <si>
    <t>FI03</t>
  </si>
  <si>
    <t>Financial and Insurance activities - Financial service activities, except insurance and pension funding - Real Estate Finance companies</t>
  </si>
  <si>
    <t>MAD</t>
  </si>
  <si>
    <t>Moroccan Dirham</t>
  </si>
  <si>
    <t>GS</t>
  </si>
  <si>
    <t>South Georgia and the South Sandwich Islands</t>
  </si>
  <si>
    <t>FI04</t>
  </si>
  <si>
    <t>Financial and Insurance activities - Financial service activities, except insurance and pension funding - Non Real Estate Finance Companies</t>
  </si>
  <si>
    <t>MDL</t>
  </si>
  <si>
    <t>Moldovan Leu</t>
  </si>
  <si>
    <t>Guatemala</t>
  </si>
  <si>
    <t>FI05</t>
  </si>
  <si>
    <t>Financial and Insurance activities - Financial service activities, except insurance and pension funding - Investment Companies</t>
  </si>
  <si>
    <t>MGA</t>
  </si>
  <si>
    <t>Malagasy Ariary</t>
  </si>
  <si>
    <t>GU</t>
  </si>
  <si>
    <t>Guam</t>
  </si>
  <si>
    <t>FI06</t>
  </si>
  <si>
    <t>Financial and Insurance activities - Financial service activities, except insurance and pension funding - Brokerage Companies</t>
  </si>
  <si>
    <t>MKD</t>
  </si>
  <si>
    <t>Denar</t>
  </si>
  <si>
    <t>GW</t>
  </si>
  <si>
    <t>Guinea-Bissau</t>
  </si>
  <si>
    <t>FI07</t>
  </si>
  <si>
    <t>Financial and Insurance activities - Financial service activities, except insurance and pension funding - Activities of holding companies</t>
  </si>
  <si>
    <t>MMK</t>
  </si>
  <si>
    <t>Kyat</t>
  </si>
  <si>
    <t>GY</t>
  </si>
  <si>
    <t>Guyana</t>
  </si>
  <si>
    <t>FI08</t>
  </si>
  <si>
    <t>Financial and Insurance activities - Financial service activities, except insurance and pension funding - Trusts, funds and similar financial entities</t>
  </si>
  <si>
    <t>MNT</t>
  </si>
  <si>
    <t>Tugrik</t>
  </si>
  <si>
    <t>HK</t>
  </si>
  <si>
    <t>Hong Kong</t>
  </si>
  <si>
    <t>FI09</t>
  </si>
  <si>
    <t>Financial and Insurance activities - Financial service activities, except insurance and pension funding - Financial leasing</t>
  </si>
  <si>
    <t>MOP</t>
  </si>
  <si>
    <t>Pataca</t>
  </si>
  <si>
    <t>HM</t>
  </si>
  <si>
    <t>Heard Island and McDonald Islands</t>
  </si>
  <si>
    <t>FI10</t>
  </si>
  <si>
    <t>Financial and Insurance activities - Others financial activities, such as insurance &amp; pension funding - Insurance, reinsurance and pension funding</t>
  </si>
  <si>
    <t>MRU</t>
  </si>
  <si>
    <t>Ouguiya</t>
  </si>
  <si>
    <t>HN</t>
  </si>
  <si>
    <t>Honduras</t>
  </si>
  <si>
    <t>FI11</t>
  </si>
  <si>
    <t>Financial and Insurance activities - Others financial activities, such as insurance &amp; pension funding – Activities auxiliary to financial service and insurance activities</t>
  </si>
  <si>
    <t>MUR</t>
  </si>
  <si>
    <t>Mauritius Rupee</t>
  </si>
  <si>
    <t>HR</t>
  </si>
  <si>
    <t>Croatia</t>
  </si>
  <si>
    <t>PT01</t>
  </si>
  <si>
    <t>Professional, scientific and technical activities</t>
  </si>
  <si>
    <t>MVR</t>
  </si>
  <si>
    <t>Rufiyaa</t>
  </si>
  <si>
    <t>HT</t>
  </si>
  <si>
    <t>Haiti</t>
  </si>
  <si>
    <t>AS01</t>
  </si>
  <si>
    <t>Administrative and support service activities</t>
  </si>
  <si>
    <t>MWK</t>
  </si>
  <si>
    <t>Malawi Kwacha</t>
  </si>
  <si>
    <t>HU</t>
  </si>
  <si>
    <t>Hungary</t>
  </si>
  <si>
    <t>PA01</t>
  </si>
  <si>
    <t>Public administration and defence and social security</t>
  </si>
  <si>
    <t>MYR</t>
  </si>
  <si>
    <t>Malaysian Ringgit</t>
  </si>
  <si>
    <t>ID</t>
  </si>
  <si>
    <t>Indonesia</t>
  </si>
  <si>
    <t>ED01</t>
  </si>
  <si>
    <t>Education</t>
  </si>
  <si>
    <t>MXN</t>
  </si>
  <si>
    <t>Mexican Peso</t>
  </si>
  <si>
    <t>IE</t>
  </si>
  <si>
    <t>Ireland</t>
  </si>
  <si>
    <t>HH01</t>
  </si>
  <si>
    <t>Human health and social work activities</t>
  </si>
  <si>
    <t>MXV</t>
  </si>
  <si>
    <t>Mexican Unidad de Inversion (UDI)</t>
  </si>
  <si>
    <t>IL</t>
  </si>
  <si>
    <t>Israel</t>
  </si>
  <si>
    <t>AR01</t>
  </si>
  <si>
    <t>Arts, entertainment and recreation</t>
  </si>
  <si>
    <t>MZN</t>
  </si>
  <si>
    <t>Mozambique Metical</t>
  </si>
  <si>
    <t>IM</t>
  </si>
  <si>
    <t>Isle of Man</t>
  </si>
  <si>
    <t>OS01</t>
  </si>
  <si>
    <t>Other service activities</t>
  </si>
  <si>
    <t>NAD</t>
  </si>
  <si>
    <t>Namibia Dollar</t>
  </si>
  <si>
    <t>IN</t>
  </si>
  <si>
    <t>India</t>
  </si>
  <si>
    <t>AE01</t>
  </si>
  <si>
    <t>Activities of extraterritorial organisations and bodies (supranational)</t>
  </si>
  <si>
    <t>NGN</t>
  </si>
  <si>
    <t>Naira</t>
  </si>
  <si>
    <t>IO</t>
  </si>
  <si>
    <t>British Indian Ocean Territory</t>
  </si>
  <si>
    <t>GV01</t>
  </si>
  <si>
    <t>Federal Government</t>
  </si>
  <si>
    <t>NIO</t>
  </si>
  <si>
    <t>Cordoba Oro</t>
  </si>
  <si>
    <t>IQ</t>
  </si>
  <si>
    <t>Iraq</t>
  </si>
  <si>
    <t>GV02</t>
  </si>
  <si>
    <t>Emirate Government</t>
  </si>
  <si>
    <t>NOK</t>
  </si>
  <si>
    <t>Norwegian Krone</t>
  </si>
  <si>
    <t>IR</t>
  </si>
  <si>
    <t>Iran, Islamic Republic of</t>
  </si>
  <si>
    <t>GV03</t>
  </si>
  <si>
    <t>Foreign Government</t>
  </si>
  <si>
    <t>NPR</t>
  </si>
  <si>
    <t>Nepalese Rupee</t>
  </si>
  <si>
    <t>IS</t>
  </si>
  <si>
    <t>Iceland</t>
  </si>
  <si>
    <t>IL01</t>
  </si>
  <si>
    <t>Individual loans for consumption - Personal instalment loans, Overdrafts &amp; Car Loan</t>
  </si>
  <si>
    <t>NZD</t>
  </si>
  <si>
    <t>New Zealand Dollar</t>
  </si>
  <si>
    <t>IT</t>
  </si>
  <si>
    <t>Italy</t>
  </si>
  <si>
    <t>IL02</t>
  </si>
  <si>
    <t>Individual loans for consumption  - Credit Cards</t>
  </si>
  <si>
    <t>OMR</t>
  </si>
  <si>
    <t>Rial Omani</t>
  </si>
  <si>
    <t>JE</t>
  </si>
  <si>
    <t>Jersey</t>
  </si>
  <si>
    <t>IL03</t>
  </si>
  <si>
    <t>Individual loans for consumption - Housing Loans</t>
  </si>
  <si>
    <t>PAB</t>
  </si>
  <si>
    <t>Balboa</t>
  </si>
  <si>
    <t>JM</t>
  </si>
  <si>
    <t>Jamaica</t>
  </si>
  <si>
    <t>IB01</t>
  </si>
  <si>
    <t>Individual loans for business – Term loans and overdraft</t>
  </si>
  <si>
    <t>PEN</t>
  </si>
  <si>
    <t>Sol</t>
  </si>
  <si>
    <t>JO</t>
  </si>
  <si>
    <t>Jordan</t>
  </si>
  <si>
    <t>IB02</t>
  </si>
  <si>
    <t>Individual loans for business – loans against shares or other investments</t>
  </si>
  <si>
    <t>PGK</t>
  </si>
  <si>
    <t>Kina</t>
  </si>
  <si>
    <t>JP</t>
  </si>
  <si>
    <t>Japan</t>
  </si>
  <si>
    <t>PHP</t>
  </si>
  <si>
    <t>Philippine Peso</t>
  </si>
  <si>
    <t>KE</t>
  </si>
  <si>
    <t>Kenya</t>
  </si>
  <si>
    <t>PKR</t>
  </si>
  <si>
    <t>Pakistan Rupee</t>
  </si>
  <si>
    <t>KG</t>
  </si>
  <si>
    <t>Kyrgyzstan</t>
  </si>
  <si>
    <t>PLN</t>
  </si>
  <si>
    <t>Zloty</t>
  </si>
  <si>
    <t>KH</t>
  </si>
  <si>
    <t>Cambodia</t>
  </si>
  <si>
    <t>PYG</t>
  </si>
  <si>
    <t>Guarani</t>
  </si>
  <si>
    <t>KI</t>
  </si>
  <si>
    <t>Kiribati</t>
  </si>
  <si>
    <t>QAR</t>
  </si>
  <si>
    <t>Qatari Rial</t>
  </si>
  <si>
    <t>KM</t>
  </si>
  <si>
    <t>Comoros</t>
  </si>
  <si>
    <t>RON</t>
  </si>
  <si>
    <t>Romanian Leu</t>
  </si>
  <si>
    <t>KN</t>
  </si>
  <si>
    <t>Saint Kitts and Nevis</t>
  </si>
  <si>
    <t>RSD</t>
  </si>
  <si>
    <t>Serbian Dinar</t>
  </si>
  <si>
    <t>KP</t>
  </si>
  <si>
    <t>Korea, Democratic People's Republic of</t>
  </si>
  <si>
    <t>RUB</t>
  </si>
  <si>
    <t>Russian Ruble</t>
  </si>
  <si>
    <t>KR</t>
  </si>
  <si>
    <t>Korea, Republic of</t>
  </si>
  <si>
    <t>RWF</t>
  </si>
  <si>
    <t>Rwanda Franc</t>
  </si>
  <si>
    <t>KW</t>
  </si>
  <si>
    <t>Kuwait</t>
  </si>
  <si>
    <t>SAR</t>
  </si>
  <si>
    <t>Saudi Riyal</t>
  </si>
  <si>
    <t>KY</t>
  </si>
  <si>
    <t>Cayman Islands</t>
  </si>
  <si>
    <t>SBD</t>
  </si>
  <si>
    <t>Solomon Islands Dollar</t>
  </si>
  <si>
    <t>KZ</t>
  </si>
  <si>
    <t>Kazakhstan</t>
  </si>
  <si>
    <t>SCR</t>
  </si>
  <si>
    <t>Seychelles Rupee</t>
  </si>
  <si>
    <t>LA</t>
  </si>
  <si>
    <t>Lao People's Democratic Republic</t>
  </si>
  <si>
    <t>SDG</t>
  </si>
  <si>
    <t>Sudanese Pound</t>
  </si>
  <si>
    <t>LB</t>
  </si>
  <si>
    <t>Lebanon</t>
  </si>
  <si>
    <t>SEK</t>
  </si>
  <si>
    <t>Swedish Krona</t>
  </si>
  <si>
    <t>LC</t>
  </si>
  <si>
    <t>Saint Lucia</t>
  </si>
  <si>
    <t>SGD</t>
  </si>
  <si>
    <t>Singapore Dollar</t>
  </si>
  <si>
    <t>LI</t>
  </si>
  <si>
    <t>Liechtenstein</t>
  </si>
  <si>
    <t>SHP</t>
  </si>
  <si>
    <t>Saint Helena Pound</t>
  </si>
  <si>
    <t>LK</t>
  </si>
  <si>
    <t>Sri Lanka</t>
  </si>
  <si>
    <t>SLL</t>
  </si>
  <si>
    <t>Leone</t>
  </si>
  <si>
    <t>Liberia</t>
  </si>
  <si>
    <t>SOS</t>
  </si>
  <si>
    <t>Somali Shilling</t>
  </si>
  <si>
    <t>LS</t>
  </si>
  <si>
    <t>Lesotho</t>
  </si>
  <si>
    <t>SRD</t>
  </si>
  <si>
    <t>Surinam Dollar</t>
  </si>
  <si>
    <t>LT</t>
  </si>
  <si>
    <t>Lithuania</t>
  </si>
  <si>
    <t>SSP</t>
  </si>
  <si>
    <t>South Sudanese Pound</t>
  </si>
  <si>
    <t>LU</t>
  </si>
  <si>
    <t>Luxembourg</t>
  </si>
  <si>
    <t>STN</t>
  </si>
  <si>
    <t>Dobra</t>
  </si>
  <si>
    <t>LV</t>
  </si>
  <si>
    <t>Latvia</t>
  </si>
  <si>
    <t>SVC</t>
  </si>
  <si>
    <t>El Salvador Colon</t>
  </si>
  <si>
    <t>LY</t>
  </si>
  <si>
    <t>Libya</t>
  </si>
  <si>
    <t>SYP</t>
  </si>
  <si>
    <t>Syrian Pound</t>
  </si>
  <si>
    <t>MA</t>
  </si>
  <si>
    <t>Morocco</t>
  </si>
  <si>
    <t>SZL</t>
  </si>
  <si>
    <t>Lilangeni</t>
  </si>
  <si>
    <t>MC</t>
  </si>
  <si>
    <t>Monaco</t>
  </si>
  <si>
    <t>THB</t>
  </si>
  <si>
    <t>Baht</t>
  </si>
  <si>
    <t>MD</t>
  </si>
  <si>
    <t>Moldova, Republic of</t>
  </si>
  <si>
    <t>TJS</t>
  </si>
  <si>
    <t>Somoni</t>
  </si>
  <si>
    <t>ME</t>
  </si>
  <si>
    <t>Montenegro</t>
  </si>
  <si>
    <t>TMT</t>
  </si>
  <si>
    <t>Turkmenistan New Manat</t>
  </si>
  <si>
    <t>MF</t>
  </si>
  <si>
    <t>Saint Martin (French part)</t>
  </si>
  <si>
    <t>TND</t>
  </si>
  <si>
    <t>Tunisian Dinar</t>
  </si>
  <si>
    <t>MG</t>
  </si>
  <si>
    <t>Madagascar</t>
  </si>
  <si>
    <t>TOP</t>
  </si>
  <si>
    <t>Pa’anga</t>
  </si>
  <si>
    <t>MH</t>
  </si>
  <si>
    <t>Marshall Islands</t>
  </si>
  <si>
    <t>TRY</t>
  </si>
  <si>
    <t>Turkish Lira</t>
  </si>
  <si>
    <t>MK</t>
  </si>
  <si>
    <t>Macedonia, the former Yugoslav Republic of</t>
  </si>
  <si>
    <t>TTD</t>
  </si>
  <si>
    <t>Trinidad and Tobago Dollar</t>
  </si>
  <si>
    <t>ML</t>
  </si>
  <si>
    <t>Mali</t>
  </si>
  <si>
    <t>TWD</t>
  </si>
  <si>
    <t>New Taiwan Dollar</t>
  </si>
  <si>
    <t>MM</t>
  </si>
  <si>
    <t>Myanmar</t>
  </si>
  <si>
    <t>TZS</t>
  </si>
  <si>
    <t>Tanzanian Shilling</t>
  </si>
  <si>
    <t>MN</t>
  </si>
  <si>
    <t>Mongolia</t>
  </si>
  <si>
    <t>UAH</t>
  </si>
  <si>
    <t>Hryvnia</t>
  </si>
  <si>
    <t>MO</t>
  </si>
  <si>
    <t>Macao</t>
  </si>
  <si>
    <t>UGX</t>
  </si>
  <si>
    <t>Uganda Shilling</t>
  </si>
  <si>
    <t>MP</t>
  </si>
  <si>
    <t>Northern Mariana Islands</t>
  </si>
  <si>
    <t>USD</t>
  </si>
  <si>
    <t>US Dollar</t>
  </si>
  <si>
    <t>MQ</t>
  </si>
  <si>
    <t>Martinique</t>
  </si>
  <si>
    <t>USN</t>
  </si>
  <si>
    <t>US Dollar (Next day)</t>
  </si>
  <si>
    <t>MR</t>
  </si>
  <si>
    <t>Mauritania</t>
  </si>
  <si>
    <t>UYI</t>
  </si>
  <si>
    <t>Uruguay Peso en Unidades Indexadas (UI)</t>
  </si>
  <si>
    <t>MS</t>
  </si>
  <si>
    <t>Montserrat</t>
  </si>
  <si>
    <t>UYU</t>
  </si>
  <si>
    <t>Peso Uruguayo</t>
  </si>
  <si>
    <t>MT</t>
  </si>
  <si>
    <t>Malta</t>
  </si>
  <si>
    <t>UYW</t>
  </si>
  <si>
    <t>Unidad Previsional</t>
  </si>
  <si>
    <t>MU</t>
  </si>
  <si>
    <t>Mauritius</t>
  </si>
  <si>
    <t>UZS</t>
  </si>
  <si>
    <t>Uzbekistan Sum</t>
  </si>
  <si>
    <t>MV</t>
  </si>
  <si>
    <t>Maldives</t>
  </si>
  <si>
    <t>VES</t>
  </si>
  <si>
    <t>Bol?var Soberano</t>
  </si>
  <si>
    <t>MW</t>
  </si>
  <si>
    <t>Malawi</t>
  </si>
  <si>
    <t>VND</t>
  </si>
  <si>
    <t>Dong</t>
  </si>
  <si>
    <t>MX</t>
  </si>
  <si>
    <t>Mexico</t>
  </si>
  <si>
    <t>VUV</t>
  </si>
  <si>
    <t>Vatu</t>
  </si>
  <si>
    <t>MY</t>
  </si>
  <si>
    <t>Malaysia</t>
  </si>
  <si>
    <t>WST</t>
  </si>
  <si>
    <t>Tala</t>
  </si>
  <si>
    <t>MZ</t>
  </si>
  <si>
    <t>Mozambique</t>
  </si>
  <si>
    <t>XAF</t>
  </si>
  <si>
    <t>CFA Franc BEAC</t>
  </si>
  <si>
    <t>NB</t>
  </si>
  <si>
    <t>Namibia</t>
  </si>
  <si>
    <t>XCD</t>
  </si>
  <si>
    <t>East Caribbean Dollar</t>
  </si>
  <si>
    <t>NC</t>
  </si>
  <si>
    <t>New Caledonia</t>
  </si>
  <si>
    <t>XDR</t>
  </si>
  <si>
    <t>SDR (Special Drawing Right)</t>
  </si>
  <si>
    <t>NE</t>
  </si>
  <si>
    <t>Niger</t>
  </si>
  <si>
    <t>XOF</t>
  </si>
  <si>
    <t>CFA Franc BCEAO</t>
  </si>
  <si>
    <t>NF</t>
  </si>
  <si>
    <t>Norfolk Island</t>
  </si>
  <si>
    <t>XPF</t>
  </si>
  <si>
    <t>CFP Franc</t>
  </si>
  <si>
    <t>NG</t>
  </si>
  <si>
    <t>Nigeria</t>
  </si>
  <si>
    <t>XSU</t>
  </si>
  <si>
    <t>Sucre</t>
  </si>
  <si>
    <t>NI</t>
  </si>
  <si>
    <t>Nicaragua</t>
  </si>
  <si>
    <t>XUA</t>
  </si>
  <si>
    <t>ADB Unit of Account</t>
  </si>
  <si>
    <t>NL</t>
  </si>
  <si>
    <t>Netherlands</t>
  </si>
  <si>
    <t>YER</t>
  </si>
  <si>
    <t>Yemeni Rial</t>
  </si>
  <si>
    <t>NO</t>
  </si>
  <si>
    <t>Norway</t>
  </si>
  <si>
    <t>ZAR</t>
  </si>
  <si>
    <t>Rand</t>
  </si>
  <si>
    <t>NP</t>
  </si>
  <si>
    <t>Nepal</t>
  </si>
  <si>
    <t>ZMW</t>
  </si>
  <si>
    <t>Zambian Kwacha</t>
  </si>
  <si>
    <t>Nauru</t>
  </si>
  <si>
    <t>ZWL</t>
  </si>
  <si>
    <t>Zimbabwe Dollar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</si>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</sst>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</numFmts>
  <fonts count="33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0"/>
      <color rgb="FF000000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b/>
      <sz val="8"/>
      <color theme="0"/>
      <name val="Calibri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b/>
      <sz val="8"/>
      <color theme="0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0" fillId="8" borderId="1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2" fillId="9" borderId="20" applyNumberFormat="0" applyAlignment="0" applyProtection="0"/>
    <xf numFmtId="0" fontId="23" fillId="10" borderId="21" applyNumberFormat="0" applyAlignment="0" applyProtection="0"/>
    <xf numFmtId="0" fontId="24" fillId="10" borderId="20" applyNumberFormat="0" applyAlignment="0" applyProtection="0"/>
    <xf numFmtId="0" fontId="25" fillId="11" borderId="22" applyNumberFormat="0" applyAlignment="0" applyProtection="0"/>
    <xf numFmtId="0" fontId="26" fillId="0" borderId="23" applyNumberFormat="0" applyFill="0" applyAlignment="0" applyProtection="0"/>
    <xf numFmtId="0" fontId="27" fillId="0" borderId="24" applyNumberFormat="0" applyFill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30" fillId="14" borderId="0" applyNumberFormat="0" applyBorder="0" applyAlignment="0" applyProtection="0"/>
    <xf numFmtId="0" fontId="5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5" fillId="38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</cellStyleXfs>
  <cellXfs count="8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Protection="1"/>
    <xf numFmtId="0" fontId="0" fillId="0" borderId="0" xfId="0" applyProtection="1"/>
    <xf numFmtId="0" fontId="6" fillId="0" borderId="0" xfId="0" applyFont="1" applyFill="1" applyBorder="1"/>
    <xf numFmtId="0" fontId="7" fillId="4" borderId="1" xfId="51" applyFont="1" applyFill="1" applyBorder="1" applyAlignment="1" applyProtection="1">
      <alignment horizontal="center" vertical="center"/>
    </xf>
    <xf numFmtId="0" fontId="7" fillId="4" borderId="4" xfId="51" applyFont="1" applyFill="1" applyBorder="1" applyAlignment="1" applyProtection="1">
      <alignment horizontal="center" vertical="center"/>
    </xf>
    <xf numFmtId="0" fontId="8" fillId="5" borderId="3" xfId="49" applyFont="1" applyFill="1" applyBorder="1" applyAlignment="1" applyProtection="1"/>
    <xf numFmtId="15" fontId="9" fillId="0" borderId="1" xfId="50" applyNumberFormat="1" applyFont="1" applyFill="1" applyBorder="1" applyAlignment="1" applyProtection="1">
      <alignment horizontal="center"/>
    </xf>
    <xf numFmtId="15" fontId="9" fillId="0" borderId="2" xfId="50" applyNumberFormat="1" applyFont="1" applyFill="1" applyBorder="1" applyAlignment="1" applyProtection="1">
      <alignment horizontal="center"/>
    </xf>
    <xf numFmtId="15" fontId="9" fillId="0" borderId="5" xfId="50" applyNumberFormat="1" applyFont="1" applyFill="1" applyBorder="1" applyAlignment="1" applyProtection="1">
      <alignment horizontal="left"/>
    </xf>
    <xf numFmtId="15" fontId="9" fillId="0" borderId="6" xfId="50" applyNumberFormat="1" applyFont="1" applyFill="1" applyBorder="1" applyAlignment="1" applyProtection="1">
      <alignment horizontal="left"/>
    </xf>
    <xf numFmtId="15" fontId="9" fillId="0" borderId="6" xfId="50" applyNumberFormat="1" applyFont="1" applyFill="1" applyBorder="1" applyAlignment="1" applyProtection="1">
      <alignment horizontal="center"/>
    </xf>
    <xf numFmtId="15" fontId="9" fillId="5" borderId="3" xfId="50" applyNumberFormat="1" applyFont="1" applyFill="1" applyBorder="1" applyAlignment="1" applyProtection="1">
      <alignment horizontal="left"/>
    </xf>
    <xf numFmtId="15" fontId="9" fillId="0" borderId="7" xfId="50" applyNumberFormat="1" applyFont="1" applyFill="1" applyBorder="1" applyAlignment="1" applyProtection="1">
      <alignment horizontal="left"/>
    </xf>
    <xf numFmtId="15" fontId="9" fillId="0" borderId="0" xfId="50" applyNumberFormat="1" applyFont="1" applyFill="1" applyBorder="1" applyAlignment="1" applyProtection="1">
      <alignment horizontal="left"/>
    </xf>
    <xf numFmtId="15" fontId="9" fillId="0" borderId="0" xfId="50" applyNumberFormat="1" applyFont="1" applyFill="1" applyBorder="1" applyAlignment="1" applyProtection="1">
      <alignment horizontal="center"/>
    </xf>
    <xf numFmtId="0" fontId="9" fillId="5" borderId="3" xfId="50" applyFont="1" applyFill="1" applyBorder="1" applyProtection="1"/>
    <xf numFmtId="15" fontId="9" fillId="0" borderId="8" xfId="50" applyNumberFormat="1" applyFont="1" applyFill="1" applyBorder="1" applyAlignment="1" applyProtection="1">
      <alignment horizontal="center"/>
    </xf>
    <xf numFmtId="15" fontId="9" fillId="0" borderId="9" xfId="50" applyNumberFormat="1" applyFont="1" applyFill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10" fillId="0" borderId="3" xfId="51" applyFont="1" applyBorder="1" applyProtection="1">
      <alignment vertical="center"/>
    </xf>
    <xf numFmtId="0" fontId="0" fillId="0" borderId="1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9" fillId="3" borderId="3" xfId="51" applyFont="1" applyFill="1" applyBorder="1" applyAlignment="1" applyProtection="1"/>
    <xf numFmtId="0" fontId="9" fillId="6" borderId="3" xfId="51" applyFont="1" applyFill="1" applyBorder="1" applyAlignment="1" applyProtection="1">
      <alignment horizontal="left" vertical="center"/>
    </xf>
    <xf numFmtId="0" fontId="9" fillId="6" borderId="3" xfId="51" applyFont="1" applyFill="1" applyBorder="1" applyAlignment="1" applyProtection="1">
      <alignment vertical="top" wrapText="1"/>
      <protection locked="0"/>
    </xf>
    <xf numFmtId="0" fontId="9" fillId="3" borderId="3" xfId="51" applyFont="1" applyFill="1" applyBorder="1" applyAlignment="1" applyProtection="1">
      <alignment horizontal="left" vertical="center"/>
    </xf>
    <xf numFmtId="0" fontId="11" fillId="3" borderId="0" xfId="51" applyFont="1" applyFill="1" applyProtection="1">
      <alignment vertical="center"/>
    </xf>
    <xf numFmtId="176" fontId="9" fillId="3" borderId="3" xfId="1" applyNumberFormat="1" applyFont="1" applyFill="1" applyBorder="1" applyAlignment="1" applyProtection="1">
      <alignment vertical="top" wrapText="1"/>
    </xf>
    <xf numFmtId="0" fontId="9" fillId="3" borderId="3" xfId="51" applyFont="1" applyFill="1" applyBorder="1" applyAlignment="1" applyProtection="1">
      <alignment horizontal="center" vertical="center"/>
    </xf>
    <xf numFmtId="0" fontId="9" fillId="3" borderId="3" xfId="51" applyFont="1" applyFill="1" applyBorder="1" applyAlignment="1" applyProtection="1">
      <alignment horizontal="center" vertical="center" wrapText="1"/>
    </xf>
    <xf numFmtId="0" fontId="9" fillId="7" borderId="3" xfId="51" applyFont="1" applyFill="1" applyBorder="1" applyAlignment="1" applyProtection="1">
      <alignment horizontal="center" vertical="center" wrapText="1"/>
    </xf>
    <xf numFmtId="0" fontId="9" fillId="4" borderId="3" xfId="51" applyFont="1" applyFill="1" applyBorder="1" applyAlignment="1" applyProtection="1">
      <alignment horizontal="center" vertical="center" wrapText="1"/>
    </xf>
    <xf numFmtId="0" fontId="12" fillId="0" borderId="0" xfId="51" applyFont="1">
      <alignment vertical="center"/>
    </xf>
    <xf numFmtId="0" fontId="11" fillId="0" borderId="3" xfId="51" applyFont="1" applyFill="1" applyBorder="1" applyAlignment="1" applyProtection="1">
      <alignment horizontal="center" vertical="center"/>
    </xf>
    <xf numFmtId="0" fontId="11" fillId="0" borderId="3" xfId="51" applyFont="1" applyBorder="1" applyProtection="1">
      <alignment vertical="center"/>
      <protection locked="0"/>
    </xf>
    <xf numFmtId="0" fontId="11" fillId="6" borderId="3" xfId="51" applyFont="1" applyFill="1" applyBorder="1" applyProtection="1">
      <alignment vertical="center"/>
      <protection locked="0"/>
    </xf>
    <xf numFmtId="0" fontId="6" fillId="0" borderId="0" xfId="0" applyFont="1" applyFill="1" applyBorder="1" applyProtection="1"/>
    <xf numFmtId="0" fontId="13" fillId="3" borderId="3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 applyProtection="1">
      <alignment horizontal="left" vertical="center"/>
    </xf>
    <xf numFmtId="0" fontId="11" fillId="6" borderId="10" xfId="51" applyFont="1" applyFill="1" applyBorder="1" applyAlignment="1" applyProtection="1">
      <alignment horizontal="center" vertical="center"/>
    </xf>
    <xf numFmtId="3" fontId="11" fillId="4" borderId="1" xfId="0" applyNumberFormat="1" applyFont="1" applyFill="1" applyBorder="1" applyAlignment="1" applyProtection="1">
      <alignment horizontal="left" vertical="center"/>
    </xf>
    <xf numFmtId="3" fontId="11" fillId="4" borderId="4" xfId="0" applyNumberFormat="1" applyFont="1" applyFill="1" applyBorder="1" applyAlignment="1" applyProtection="1">
      <alignment horizontal="left" vertical="center"/>
    </xf>
    <xf numFmtId="0" fontId="11" fillId="6" borderId="11" xfId="51" applyFont="1" applyFill="1" applyBorder="1" applyAlignment="1" applyProtection="1">
      <alignment horizontal="center" vertical="center"/>
    </xf>
    <xf numFmtId="3" fontId="11" fillId="0" borderId="1" xfId="0" applyNumberFormat="1" applyFont="1" applyFill="1" applyBorder="1" applyAlignment="1" applyProtection="1">
      <alignment horizontal="left" vertical="center" wrapText="1"/>
    </xf>
    <xf numFmtId="3" fontId="11" fillId="0" borderId="4" xfId="0" applyNumberFormat="1" applyFont="1" applyFill="1" applyBorder="1" applyAlignment="1" applyProtection="1">
      <alignment horizontal="left" vertical="center" wrapText="1"/>
    </xf>
    <xf numFmtId="3" fontId="11" fillId="4" borderId="1" xfId="0" applyNumberFormat="1" applyFont="1" applyFill="1" applyBorder="1" applyAlignment="1" applyProtection="1">
      <alignment horizontal="left" vertical="center" wrapText="1"/>
    </xf>
    <xf numFmtId="3" fontId="11" fillId="4" borderId="4" xfId="0" applyNumberFormat="1" applyFont="1" applyFill="1" applyBorder="1" applyAlignment="1" applyProtection="1">
      <alignment horizontal="left" vertical="center" wrapText="1"/>
    </xf>
    <xf numFmtId="0" fontId="11" fillId="6" borderId="12" xfId="51" applyFont="1" applyFill="1" applyBorder="1" applyAlignment="1" applyProtection="1">
      <alignment horizontal="center" vertical="center"/>
    </xf>
    <xf numFmtId="0" fontId="11" fillId="0" borderId="3" xfId="51" applyFont="1" applyFill="1" applyBorder="1" applyProtection="1">
      <alignment vertical="center"/>
    </xf>
    <xf numFmtId="0" fontId="11" fillId="0" borderId="1" xfId="51" applyFont="1" applyFill="1" applyBorder="1" applyAlignment="1" applyProtection="1">
      <alignment horizontal="center" vertical="center"/>
    </xf>
    <xf numFmtId="0" fontId="11" fillId="0" borderId="4" xfId="51" applyFont="1" applyFill="1" applyBorder="1" applyAlignment="1" applyProtection="1">
      <alignment horizontal="center" vertical="center"/>
    </xf>
    <xf numFmtId="0" fontId="9" fillId="3" borderId="3" xfId="51" applyFont="1" applyFill="1" applyBorder="1" applyAlignment="1" applyProtection="1">
      <alignment vertical="top" wrapText="1"/>
    </xf>
    <xf numFmtId="3" fontId="11" fillId="0" borderId="3" xfId="1" applyNumberFormat="1" applyFont="1" applyBorder="1" applyAlignment="1" applyProtection="1">
      <alignment vertical="center"/>
      <protection locked="0"/>
    </xf>
    <xf numFmtId="3" fontId="11" fillId="4" borderId="3" xfId="1" applyNumberFormat="1" applyFont="1" applyFill="1" applyBorder="1" applyAlignment="1" applyProtection="1">
      <alignment vertical="center"/>
    </xf>
    <xf numFmtId="0" fontId="7" fillId="4" borderId="2" xfId="51" applyFont="1" applyFill="1" applyBorder="1" applyAlignment="1" applyProtection="1">
      <alignment horizontal="center" vertical="center"/>
    </xf>
    <xf numFmtId="15" fontId="9" fillId="0" borderId="13" xfId="50" applyNumberFormat="1" applyFont="1" applyFill="1" applyBorder="1" applyAlignment="1" applyProtection="1">
      <alignment horizontal="center"/>
    </xf>
    <xf numFmtId="15" fontId="9" fillId="0" borderId="14" xfId="50" applyNumberFormat="1" applyFont="1" applyFill="1" applyBorder="1" applyAlignment="1" applyProtection="1">
      <alignment horizontal="center"/>
    </xf>
    <xf numFmtId="15" fontId="9" fillId="0" borderId="15" xfId="50" applyNumberFormat="1" applyFont="1" applyFill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3" fontId="11" fillId="3" borderId="3" xfId="1" applyNumberFormat="1" applyFont="1" applyFill="1" applyBorder="1" applyAlignment="1" applyProtection="1">
      <alignment vertical="center"/>
    </xf>
    <xf numFmtId="10" fontId="11" fillId="3" borderId="3" xfId="51" applyNumberFormat="1" applyFont="1" applyFill="1" applyBorder="1" applyProtection="1">
      <alignment vertical="center"/>
    </xf>
    <xf numFmtId="3" fontId="11" fillId="4" borderId="2" xfId="0" applyNumberFormat="1" applyFont="1" applyFill="1" applyBorder="1" applyAlignment="1" applyProtection="1">
      <alignment horizontal="left" vertical="center"/>
    </xf>
    <xf numFmtId="3" fontId="11" fillId="0" borderId="2" xfId="0" applyNumberFormat="1" applyFont="1" applyFill="1" applyBorder="1" applyAlignment="1" applyProtection="1">
      <alignment horizontal="left" vertical="center" wrapText="1"/>
    </xf>
    <xf numFmtId="3" fontId="11" fillId="4" borderId="2" xfId="0" applyNumberFormat="1" applyFont="1" applyFill="1" applyBorder="1" applyAlignment="1" applyProtection="1">
      <alignment horizontal="left" vertical="center" wrapText="1"/>
    </xf>
    <xf numFmtId="0" fontId="11" fillId="0" borderId="2" xfId="51" applyFont="1" applyFill="1" applyBorder="1" applyAlignment="1" applyProtection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</cellStyles>
  <tableStyles count="0" defaultTableStyle="TableStyleMedium2" defaultPivotStyle="PivotStyleLight16"/>
  <colors>
    <mruColors>
      <color rgb="00DBDBDB"/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287020</xdr:colOff>
          <xdr:row>2</xdr:row>
          <xdr:rowOff>167640</xdr:rowOff>
        </xdr:from>
        <xdr:to>
          <xdr:col>11</xdr:col>
          <xdr:colOff>465455</xdr:colOff>
          <xdr:row>4</xdr:row>
          <xdr:rowOff>129540</xdr:rowOff>
        </xdr:to>
        <xdr:sp macro="[0]!InsertRowb39">
          <xdr:nvSpPr>
            <xdr:cNvPr id="1042" name="Butto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8717280" y="535940"/>
              <a:ext cx="1964055" cy="3302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520700</xdr:colOff>
          <xdr:row>3</xdr:row>
          <xdr:rowOff>0</xdr:rowOff>
        </xdr:from>
        <xdr:to>
          <xdr:col>14</xdr:col>
          <xdr:colOff>100965</xdr:colOff>
          <xdr:row>4</xdr:row>
          <xdr:rowOff>129540</xdr:rowOff>
        </xdr:to>
        <xdr:sp macro="[0]!DeleteRow39">
          <xdr:nvSpPr>
            <xdr:cNvPr id="1043" name="Butto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0736580" y="552450"/>
              <a:ext cx="2258695" cy="31369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W16"/>
  <sheetViews>
    <sheetView showGridLines="0" tabSelected="1" zoomScale="90" zoomScaleNormal="90" zoomScaleSheetLayoutView="60" topLeftCell="A4" workbookViewId="0">
      <selection activeCell="H10" sqref="H10"/>
    </sheetView>
  </sheetViews>
  <sheetFormatPr defaultColWidth="0" defaultRowHeight="14.5"/>
  <cols>
    <col min="1" max="1" width="3.21818181818182" style="15" customWidth="1"/>
    <col min="2" max="2" width="11.4454545454545" style="16" customWidth="1"/>
    <col min="3" max="3" width="29.3363636363636" style="16" customWidth="1"/>
    <col min="4" max="23" width="12.7818181818182" style="16" customWidth="1"/>
    <col min="24" max="24" width="9.10909090909091" style="16" customWidth="1"/>
    <col min="25" max="16384" width="0" style="16" hidden="1"/>
  </cols>
  <sheetData>
    <row r="1" s="15" customFormat="1" spans="1:23">
      <c r="A1" s="17" t="s">
        <v>0</v>
      </c>
      <c r="T1" s="15" t="s">
        <v>1</v>
      </c>
      <c r="U1" s="15" t="s">
        <v>2</v>
      </c>
      <c r="V1" s="15" t="s">
        <v>3</v>
      </c>
      <c r="W1" s="15" t="s">
        <v>4</v>
      </c>
    </row>
    <row r="2" spans="1:23">
      <c r="A2" s="17" t="s">
        <v>0</v>
      </c>
      <c r="B2" s="18" t="s">
        <v>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70"/>
    </row>
    <row r="3" spans="1:23">
      <c r="A3" s="17" t="s">
        <v>0</v>
      </c>
      <c r="B3" s="20" t="s">
        <v>6</v>
      </c>
      <c r="C3" s="21" t="s">
        <v>7</v>
      </c>
      <c r="D3" s="22"/>
      <c r="E3" s="23"/>
      <c r="F3" s="24"/>
      <c r="G3" s="24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71"/>
    </row>
    <row r="4" spans="1:23">
      <c r="A4" s="17" t="s">
        <v>0</v>
      </c>
      <c r="B4" s="26" t="s">
        <v>8</v>
      </c>
      <c r="C4" s="21" t="s">
        <v>9</v>
      </c>
      <c r="D4" s="22"/>
      <c r="E4" s="27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72"/>
    </row>
    <row r="5" spans="1:23">
      <c r="A5" s="17" t="s">
        <v>0</v>
      </c>
      <c r="B5" s="30" t="s">
        <v>10</v>
      </c>
      <c r="C5" s="21"/>
      <c r="D5" s="22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73"/>
    </row>
    <row r="6" spans="1:23">
      <c r="A6" s="17" t="s">
        <v>0</v>
      </c>
      <c r="B6" s="33"/>
      <c r="C6" s="33"/>
      <c r="D6" s="34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73"/>
    </row>
    <row r="7" spans="1:23">
      <c r="A7" s="17" t="s">
        <v>0</v>
      </c>
      <c r="B7" s="35"/>
      <c r="C7" s="36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74"/>
    </row>
    <row r="8" spans="1:23">
      <c r="A8" s="17" t="s">
        <v>0</v>
      </c>
      <c r="B8" s="38"/>
      <c r="C8" s="39" t="s">
        <v>11</v>
      </c>
      <c r="D8" s="40">
        <v>0</v>
      </c>
      <c r="E8" s="41"/>
      <c r="F8" s="42"/>
      <c r="G8" s="42"/>
      <c r="H8" s="43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</row>
    <row r="9" ht="142.5" customHeight="1" spans="1:23">
      <c r="A9" s="17" t="s">
        <v>12</v>
      </c>
      <c r="B9" s="44"/>
      <c r="C9" s="45" t="s">
        <v>13</v>
      </c>
      <c r="D9" s="46" t="s">
        <v>14</v>
      </c>
      <c r="E9" s="47" t="s">
        <v>15</v>
      </c>
      <c r="F9" s="46" t="s">
        <v>16</v>
      </c>
      <c r="G9" s="47" t="s">
        <v>17</v>
      </c>
      <c r="H9" s="46" t="s">
        <v>18</v>
      </c>
      <c r="I9" s="46" t="s">
        <v>19</v>
      </c>
      <c r="J9" s="46" t="s">
        <v>20</v>
      </c>
      <c r="K9" s="46" t="s">
        <v>21</v>
      </c>
      <c r="L9" s="46" t="s">
        <v>22</v>
      </c>
      <c r="M9" s="47" t="s">
        <v>23</v>
      </c>
      <c r="N9" s="47" t="s">
        <v>24</v>
      </c>
      <c r="O9" s="46" t="s">
        <v>25</v>
      </c>
      <c r="P9" s="46" t="s">
        <v>26</v>
      </c>
      <c r="Q9" s="46" t="s">
        <v>27</v>
      </c>
      <c r="R9" s="46" t="s">
        <v>28</v>
      </c>
      <c r="S9" s="46" t="s">
        <v>29</v>
      </c>
      <c r="T9" s="47" t="s">
        <v>30</v>
      </c>
      <c r="U9" s="47" t="s">
        <v>31</v>
      </c>
      <c r="V9" s="47" t="s">
        <v>32</v>
      </c>
      <c r="W9" s="47" t="s">
        <v>33</v>
      </c>
    </row>
    <row r="10" spans="1:23">
      <c r="A10" s="48" t="s">
        <v>34</v>
      </c>
      <c r="B10" s="49">
        <v>1</v>
      </c>
      <c r="C10" s="50" t="s">
        <v>35</v>
      </c>
      <c r="D10" s="50" t="s">
        <v>35</v>
      </c>
      <c r="E10" s="50" t="s">
        <v>35</v>
      </c>
      <c r="F10" s="50" t="s">
        <v>35</v>
      </c>
      <c r="G10" s="51" t="s">
        <v>35</v>
      </c>
      <c r="H10" s="51" t="s">
        <v>35</v>
      </c>
      <c r="I10" s="50" t="s">
        <v>35</v>
      </c>
      <c r="J10" s="51" t="s">
        <v>35</v>
      </c>
      <c r="K10" s="50" t="s">
        <v>35</v>
      </c>
      <c r="L10" s="51" t="s">
        <v>35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75">
        <f>M10+O10+P10+R10+S10</f>
        <v>0</v>
      </c>
      <c r="U10" s="75">
        <f>M10-N10+O10+P10+R10+S10</f>
        <v>0</v>
      </c>
      <c r="V10" s="76">
        <f>IF(D8=0,0,+T10/D8)</f>
        <v>0</v>
      </c>
      <c r="W10" s="76">
        <f>IF(D8=0,0,+U10/D8)</f>
        <v>0</v>
      </c>
    </row>
    <row r="11" spans="1:23">
      <c r="A11" s="52" t="s">
        <v>36</v>
      </c>
      <c r="B11" s="53"/>
      <c r="C11" s="54" t="s">
        <v>37</v>
      </c>
      <c r="D11" s="54"/>
      <c r="E11" s="54"/>
      <c r="F11" s="54"/>
      <c r="G11" s="53"/>
      <c r="H11" s="53"/>
      <c r="I11" s="53"/>
      <c r="J11" s="53"/>
      <c r="K11" s="53"/>
      <c r="L11" s="53"/>
      <c r="M11" s="69">
        <f>SUM(SUMIFS(M10:M50000,$E$10:$E$50000,{"s","g"}))</f>
        <v>0</v>
      </c>
      <c r="N11" s="69">
        <f>SUM(SUMIFS(N10:N50000,$E$10:$E$50000,{"s","g"}))</f>
        <v>0</v>
      </c>
      <c r="O11" s="69">
        <f>SUM(SUMIFS(O10:O50000,$E$10:$E$50000,{"s","g"}))</f>
        <v>0</v>
      </c>
      <c r="P11" s="69">
        <f>SUM(SUMIFS(P10:P50000,$E$10:$E$50000,{"s","g"}))</f>
        <v>0</v>
      </c>
      <c r="Q11" s="69">
        <f>SUM(SUMIFS(Q10:Q50000,$E$10:$E$50000,{"s","g"}))</f>
        <v>0</v>
      </c>
      <c r="R11" s="69">
        <f>SUM(SUMIFS(R10:R50000,$E$10:$E$50000,{"s","g"}))</f>
        <v>0</v>
      </c>
      <c r="S11" s="69">
        <f>SUM(SUMIFS(S10:S50000,$E$10:$E$50000,{"s","g"}))</f>
        <v>0</v>
      </c>
      <c r="T11" s="75">
        <f>M11+O11+P11+R11+S11</f>
        <v>0</v>
      </c>
      <c r="U11" s="75">
        <f>M11-N11+O11+P11+R11+S11</f>
        <v>0</v>
      </c>
      <c r="V11" s="76">
        <f>IF(D8=0,0,+T11/D8)</f>
        <v>0</v>
      </c>
      <c r="W11" s="76">
        <f>IF(D8=0,0,+U11/D8)</f>
        <v>0</v>
      </c>
    </row>
    <row r="12" spans="1:23">
      <c r="A12" s="17" t="s">
        <v>0</v>
      </c>
      <c r="B12" s="55"/>
      <c r="C12" s="56" t="s">
        <v>38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77"/>
    </row>
    <row r="13" ht="14.4" customHeight="1" spans="1:23">
      <c r="A13" s="17" t="s">
        <v>0</v>
      </c>
      <c r="B13" s="58"/>
      <c r="C13" s="59" t="s">
        <v>39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78"/>
    </row>
    <row r="14" ht="14.4" customHeight="1" spans="1:23">
      <c r="A14" s="17" t="s">
        <v>0</v>
      </c>
      <c r="B14" s="58"/>
      <c r="C14" s="61" t="s">
        <v>40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79"/>
    </row>
    <row r="15" ht="14.4" customHeight="1" spans="1:23">
      <c r="A15" s="17" t="s">
        <v>0</v>
      </c>
      <c r="B15" s="58"/>
      <c r="C15" s="61" t="s">
        <v>41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79"/>
    </row>
    <row r="16" spans="1:23">
      <c r="A16" s="17" t="s">
        <v>0</v>
      </c>
      <c r="B16" s="63"/>
      <c r="C16" s="64" t="s">
        <v>42</v>
      </c>
      <c r="D16" s="65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80"/>
    </row>
  </sheetData>
  <sheetProtection password="DE1B" sheet="1" objects="1" scenarios="1"/>
  <mergeCells count="9">
    <mergeCell ref="B2:W2"/>
    <mergeCell ref="B6:C6"/>
    <mergeCell ref="B7:W7"/>
    <mergeCell ref="C12:W12"/>
    <mergeCell ref="C13:W13"/>
    <mergeCell ref="C14:W14"/>
    <mergeCell ref="C15:W15"/>
    <mergeCell ref="B12:B16"/>
    <mergeCell ref="I3:W5"/>
  </mergeCells>
  <dataValidations count="10">
    <dataValidation type="whole" operator="greaterThanOrEqual" allowBlank="1" showInputMessage="1" showErrorMessage="1" error="Please input a valid data!" sqref="D8 H8:L8">
      <formula1>0</formula1>
    </dataValidation>
    <dataValidation type="textLength" operator="lessThan" allowBlank="1" showInputMessage="1" showErrorMessage="1" error="Data Length is too long!" sqref="C10:D10 F10">
      <formula1>500</formula1>
    </dataValidation>
    <dataValidation type="list" allowBlank="1" showInputMessage="1" showErrorMessage="1" error="Data Length is too long!" sqref="E10">
      <formula1>COMPANYCODE</formula1>
    </dataValidation>
    <dataValidation type="list" allowBlank="1" showInputMessage="1" showErrorMessage="1" error="Data Length is too long!" sqref="G10">
      <formula1>RESCODE</formula1>
    </dataValidation>
    <dataValidation type="list" allowBlank="1" showInputMessage="1" showErrorMessage="1" error="Data Length is too long!" sqref="H10">
      <formula1>COUNTRIES</formula1>
    </dataValidation>
    <dataValidation type="list" allowBlank="1" showInputMessage="1" showErrorMessage="1" error="Data Length is too long!" sqref="I10">
      <formula1>CREDITREP</formula1>
    </dataValidation>
    <dataValidation type="list" allowBlank="1" showInputMessage="1" showErrorMessage="1" error="Data Length is too long!" sqref="J10">
      <formula1>CREDITRATINGTYPECODE</formula1>
    </dataValidation>
    <dataValidation type="list" allowBlank="1" showInputMessage="1" showErrorMessage="1" error="Data Length is too long!" sqref="K10">
      <formula1>ECONOMICSECTORCODE</formula1>
    </dataValidation>
    <dataValidation type="list" allowBlank="1" showInputMessage="1" showErrorMessage="1" error="Data Length is too long!" sqref="L10">
      <formula1>CURRENCYCODE</formula1>
    </dataValidation>
    <dataValidation type="whole" operator="greaterThanOrEqual" allowBlank="1" showInputMessage="1" showErrorMessage="1" sqref="M10:S10">
      <formula1>0</formula1>
    </dataValidation>
  </dataValidations>
  <pageMargins left="0.7" right="0.7" top="0.75" bottom="0.75" header="0.3" footer="0.3"/>
  <pageSetup paperSize="9" scale="44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name="Button 18" r:id="rId3">
              <controlPr print="0" defaultSize="0">
                <anchor moveWithCells="1" sizeWithCells="1">
                  <from>
                    <xdr:col>9</xdr:col>
                    <xdr:colOff>287020</xdr:colOff>
                    <xdr:row>2</xdr:row>
                    <xdr:rowOff>167640</xdr:rowOff>
                  </from>
                  <to>
                    <xdr:col>11</xdr:col>
                    <xdr:colOff>465455</xdr:colOff>
                    <xdr:row>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name="Button 19" r:id="rId4">
              <controlPr print="0" defaultSize="0">
                <anchor moveWithCells="1" sizeWithCells="1">
                  <from>
                    <xdr:col>11</xdr:col>
                    <xdr:colOff>520700</xdr:colOff>
                    <xdr:row>3</xdr:row>
                    <xdr:rowOff>0</xdr:rowOff>
                  </from>
                  <to>
                    <xdr:col>14</xdr:col>
                    <xdr:colOff>100965</xdr:colOff>
                    <xdr:row>4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261"/>
  <sheetViews>
    <sheetView showGridLines="0" zoomScaleSheetLayoutView="60" topLeftCell="G1" workbookViewId="0">
      <selection activeCell="N12" sqref="N12"/>
    </sheetView>
  </sheetViews>
  <sheetFormatPr defaultColWidth="8.72727272727273" defaultRowHeight="13"/>
  <cols>
    <col min="1" max="1" width="7.55454545454545" style="1" customWidth="1"/>
    <col min="2" max="2" width="45.6636363636364" style="1"/>
    <col min="3" max="3" width="4" style="1" customWidth="1"/>
    <col min="4" max="4" width="28.5545454545455" style="1" customWidth="1"/>
    <col min="5" max="5" width="23.8909090909091" style="1" customWidth="1"/>
    <col min="6" max="7" width="8.89090909090909" style="1"/>
    <col min="8" max="8" width="46.6636363636364" style="1" customWidth="1"/>
    <col min="9" max="10" width="8.89090909090909" style="1"/>
    <col min="11" max="11" width="46.6636363636364" style="1" customWidth="1"/>
    <col min="12" max="13" width="8.89090909090909" style="1"/>
    <col min="14" max="14" width="46.6636363636364" style="1" customWidth="1"/>
    <col min="15" max="15" width="8.89090909090909" style="1"/>
    <col min="16" max="16" width="22.1090909090909" style="1" customWidth="1"/>
    <col min="17" max="16384" width="8.89090909090909" style="1"/>
  </cols>
  <sheetData>
    <row r="1" spans="1:16">
      <c r="A1" s="2" t="s">
        <v>18</v>
      </c>
      <c r="B1" s="3"/>
      <c r="D1" s="2" t="s">
        <v>43</v>
      </c>
      <c r="E1" s="3"/>
      <c r="G1" s="4" t="s">
        <v>44</v>
      </c>
      <c r="H1" s="4"/>
      <c r="J1" s="12" t="s">
        <v>22</v>
      </c>
      <c r="K1" s="12"/>
      <c r="M1" s="12" t="s">
        <v>19</v>
      </c>
      <c r="N1" s="12"/>
      <c r="O1" s="12"/>
      <c r="P1" s="12"/>
    </row>
    <row r="2" spans="1:16">
      <c r="A2" s="5" t="s">
        <v>45</v>
      </c>
      <c r="B2" s="5" t="s">
        <v>46</v>
      </c>
      <c r="D2" s="6" t="s">
        <v>47</v>
      </c>
      <c r="E2" s="6" t="s">
        <v>48</v>
      </c>
      <c r="G2" s="6" t="s">
        <v>49</v>
      </c>
      <c r="H2" s="7" t="s">
        <v>50</v>
      </c>
      <c r="J2" s="13" t="s">
        <v>45</v>
      </c>
      <c r="K2" s="13" t="s">
        <v>22</v>
      </c>
      <c r="M2" s="5" t="s">
        <v>51</v>
      </c>
      <c r="N2" s="5" t="s">
        <v>52</v>
      </c>
      <c r="O2" s="5" t="s">
        <v>53</v>
      </c>
      <c r="P2" s="5" t="s">
        <v>54</v>
      </c>
    </row>
    <row r="3" spans="1:16">
      <c r="A3" s="6" t="s">
        <v>55</v>
      </c>
      <c r="B3" s="6" t="s">
        <v>56</v>
      </c>
      <c r="D3" s="6" t="s">
        <v>57</v>
      </c>
      <c r="E3" s="6" t="s">
        <v>58</v>
      </c>
      <c r="G3" s="6" t="s">
        <v>59</v>
      </c>
      <c r="H3" s="7" t="s">
        <v>60</v>
      </c>
      <c r="J3" s="6" t="s">
        <v>61</v>
      </c>
      <c r="K3" s="6" t="s">
        <v>62</v>
      </c>
      <c r="M3" s="6" t="s">
        <v>63</v>
      </c>
      <c r="N3" s="6" t="s">
        <v>64</v>
      </c>
      <c r="O3" s="6" t="s">
        <v>63</v>
      </c>
      <c r="P3" s="6">
        <v>1</v>
      </c>
    </row>
    <row r="4" spans="1:16">
      <c r="A4" s="6" t="s">
        <v>65</v>
      </c>
      <c r="B4" s="6" t="s">
        <v>66</v>
      </c>
      <c r="G4" s="6" t="s">
        <v>67</v>
      </c>
      <c r="H4" s="7" t="s">
        <v>68</v>
      </c>
      <c r="J4" s="6" t="s">
        <v>69</v>
      </c>
      <c r="K4" s="6" t="s">
        <v>70</v>
      </c>
      <c r="M4" s="6" t="s">
        <v>71</v>
      </c>
      <c r="N4" s="6" t="s">
        <v>72</v>
      </c>
      <c r="O4" s="6" t="s">
        <v>71</v>
      </c>
      <c r="P4" s="6">
        <v>2</v>
      </c>
    </row>
    <row r="5" spans="1:16">
      <c r="A5" s="6" t="s">
        <v>73</v>
      </c>
      <c r="B5" s="6" t="s">
        <v>74</v>
      </c>
      <c r="G5" s="6" t="s">
        <v>75</v>
      </c>
      <c r="H5" s="7" t="s">
        <v>76</v>
      </c>
      <c r="J5" s="6" t="s">
        <v>77</v>
      </c>
      <c r="K5" s="6" t="s">
        <v>78</v>
      </c>
      <c r="M5" s="6" t="s">
        <v>79</v>
      </c>
      <c r="N5" s="6" t="s">
        <v>80</v>
      </c>
      <c r="O5" s="6" t="s">
        <v>79</v>
      </c>
      <c r="P5" s="6">
        <v>3</v>
      </c>
    </row>
    <row r="6" spans="1:16">
      <c r="A6" s="6" t="s">
        <v>81</v>
      </c>
      <c r="B6" s="6" t="s">
        <v>82</v>
      </c>
      <c r="D6" s="8" t="s">
        <v>83</v>
      </c>
      <c r="E6" s="9"/>
      <c r="G6" s="6" t="s">
        <v>84</v>
      </c>
      <c r="H6" s="7" t="s">
        <v>85</v>
      </c>
      <c r="J6" s="6" t="s">
        <v>86</v>
      </c>
      <c r="K6" s="6" t="s">
        <v>87</v>
      </c>
      <c r="M6" s="6" t="s">
        <v>88</v>
      </c>
      <c r="N6" s="6" t="s">
        <v>89</v>
      </c>
      <c r="O6" s="6" t="s">
        <v>88</v>
      </c>
      <c r="P6" s="6">
        <v>4</v>
      </c>
    </row>
    <row r="7" spans="1:16">
      <c r="A7" s="6" t="s">
        <v>90</v>
      </c>
      <c r="B7" s="6" t="s">
        <v>91</v>
      </c>
      <c r="D7" s="5" t="s">
        <v>45</v>
      </c>
      <c r="E7" s="5" t="s">
        <v>92</v>
      </c>
      <c r="G7" s="6" t="s">
        <v>93</v>
      </c>
      <c r="H7" s="7" t="s">
        <v>94</v>
      </c>
      <c r="J7" s="6" t="s">
        <v>95</v>
      </c>
      <c r="K7" s="6" t="s">
        <v>96</v>
      </c>
      <c r="M7" s="6" t="s">
        <v>97</v>
      </c>
      <c r="N7" s="6" t="s">
        <v>98</v>
      </c>
      <c r="O7" s="6" t="s">
        <v>97</v>
      </c>
      <c r="P7" s="6">
        <v>5</v>
      </c>
    </row>
    <row r="8" spans="1:16">
      <c r="A8" s="6" t="s">
        <v>99</v>
      </c>
      <c r="B8" s="6" t="s">
        <v>100</v>
      </c>
      <c r="D8" s="6" t="s">
        <v>101</v>
      </c>
      <c r="E8" s="6" t="s">
        <v>102</v>
      </c>
      <c r="G8" s="6" t="s">
        <v>103</v>
      </c>
      <c r="H8" s="7" t="s">
        <v>104</v>
      </c>
      <c r="J8" s="6" t="s">
        <v>105</v>
      </c>
      <c r="K8" s="6" t="s">
        <v>106</v>
      </c>
      <c r="M8" s="6" t="s">
        <v>107</v>
      </c>
      <c r="N8" s="6" t="s">
        <v>108</v>
      </c>
      <c r="O8" s="6" t="s">
        <v>107</v>
      </c>
      <c r="P8" s="6">
        <v>6</v>
      </c>
    </row>
    <row r="9" spans="1:16">
      <c r="A9" s="6" t="s">
        <v>109</v>
      </c>
      <c r="B9" s="6" t="s">
        <v>110</v>
      </c>
      <c r="D9" s="6" t="s">
        <v>111</v>
      </c>
      <c r="E9" s="6" t="s">
        <v>112</v>
      </c>
      <c r="G9" s="6" t="s">
        <v>113</v>
      </c>
      <c r="H9" s="7" t="s">
        <v>114</v>
      </c>
      <c r="J9" s="6" t="s">
        <v>115</v>
      </c>
      <c r="K9" s="6" t="s">
        <v>116</v>
      </c>
      <c r="M9" s="6" t="s">
        <v>117</v>
      </c>
      <c r="N9" s="6" t="s">
        <v>118</v>
      </c>
      <c r="O9" s="6" t="s">
        <v>117</v>
      </c>
      <c r="P9" s="6">
        <v>7</v>
      </c>
    </row>
    <row r="10" spans="1:16">
      <c r="A10" s="6" t="s">
        <v>119</v>
      </c>
      <c r="B10" s="6" t="s">
        <v>120</v>
      </c>
      <c r="D10" s="6" t="s">
        <v>121</v>
      </c>
      <c r="E10" s="6" t="s">
        <v>122</v>
      </c>
      <c r="G10" s="6" t="s">
        <v>123</v>
      </c>
      <c r="H10" s="7" t="s">
        <v>124</v>
      </c>
      <c r="J10" s="6" t="s">
        <v>125</v>
      </c>
      <c r="K10" s="6" t="s">
        <v>126</v>
      </c>
      <c r="M10" s="6" t="s">
        <v>127</v>
      </c>
      <c r="N10" s="6" t="s">
        <v>128</v>
      </c>
      <c r="O10" s="6" t="s">
        <v>127</v>
      </c>
      <c r="P10" s="6">
        <v>8</v>
      </c>
    </row>
    <row r="11" ht="25" spans="1:16">
      <c r="A11" s="6" t="s">
        <v>129</v>
      </c>
      <c r="B11" s="6" t="s">
        <v>130</v>
      </c>
      <c r="D11" s="10" t="s">
        <v>131</v>
      </c>
      <c r="E11" s="11" t="s">
        <v>132</v>
      </c>
      <c r="G11" s="6" t="s">
        <v>133</v>
      </c>
      <c r="H11" s="7" t="s">
        <v>134</v>
      </c>
      <c r="J11" s="6" t="s">
        <v>135</v>
      </c>
      <c r="K11" s="6" t="s">
        <v>136</v>
      </c>
      <c r="M11" s="6" t="s">
        <v>137</v>
      </c>
      <c r="N11" s="6" t="s">
        <v>138</v>
      </c>
      <c r="O11" s="6" t="s">
        <v>137</v>
      </c>
      <c r="P11" s="6">
        <v>9</v>
      </c>
    </row>
    <row r="12" spans="1:16">
      <c r="A12" s="6" t="s">
        <v>139</v>
      </c>
      <c r="B12" s="6" t="s">
        <v>140</v>
      </c>
      <c r="G12" s="6" t="s">
        <v>141</v>
      </c>
      <c r="H12" s="7" t="s">
        <v>142</v>
      </c>
      <c r="J12" s="6" t="s">
        <v>143</v>
      </c>
      <c r="K12" s="6" t="s">
        <v>144</v>
      </c>
      <c r="M12" s="6" t="s">
        <v>145</v>
      </c>
      <c r="N12" s="14" t="s">
        <v>146</v>
      </c>
      <c r="O12" s="6" t="s">
        <v>145</v>
      </c>
      <c r="P12" s="6">
        <v>10</v>
      </c>
    </row>
    <row r="13" spans="1:16">
      <c r="A13" s="6" t="s">
        <v>147</v>
      </c>
      <c r="B13" s="6" t="s">
        <v>148</v>
      </c>
      <c r="D13" s="2" t="s">
        <v>20</v>
      </c>
      <c r="E13" s="3"/>
      <c r="G13" s="6" t="s">
        <v>149</v>
      </c>
      <c r="H13" s="7" t="s">
        <v>150</v>
      </c>
      <c r="J13" s="6" t="s">
        <v>151</v>
      </c>
      <c r="K13" s="6" t="s">
        <v>152</v>
      </c>
      <c r="M13" s="6" t="s">
        <v>153</v>
      </c>
      <c r="N13" s="6" t="s">
        <v>154</v>
      </c>
      <c r="O13" s="6" t="s">
        <v>153</v>
      </c>
      <c r="P13" s="6">
        <v>11</v>
      </c>
    </row>
    <row r="14" spans="1:16">
      <c r="A14" s="6" t="s">
        <v>155</v>
      </c>
      <c r="B14" s="6" t="s">
        <v>156</v>
      </c>
      <c r="D14" s="5" t="s">
        <v>45</v>
      </c>
      <c r="E14" s="5" t="s">
        <v>92</v>
      </c>
      <c r="G14" s="6" t="s">
        <v>157</v>
      </c>
      <c r="H14" s="7" t="s">
        <v>158</v>
      </c>
      <c r="J14" s="6" t="s">
        <v>159</v>
      </c>
      <c r="K14" s="6" t="s">
        <v>160</v>
      </c>
      <c r="M14" s="6" t="s">
        <v>161</v>
      </c>
      <c r="N14" s="6" t="s">
        <v>162</v>
      </c>
      <c r="O14" s="6" t="s">
        <v>161</v>
      </c>
      <c r="P14" s="6">
        <v>12</v>
      </c>
    </row>
    <row r="15" spans="1:16">
      <c r="A15" s="6" t="s">
        <v>163</v>
      </c>
      <c r="B15" s="6" t="s">
        <v>164</v>
      </c>
      <c r="D15" s="6" t="s">
        <v>165</v>
      </c>
      <c r="E15" s="6" t="s">
        <v>166</v>
      </c>
      <c r="G15" s="6" t="s">
        <v>167</v>
      </c>
      <c r="H15" s="7" t="s">
        <v>168</v>
      </c>
      <c r="J15" s="6" t="s">
        <v>169</v>
      </c>
      <c r="K15" s="6" t="s">
        <v>170</v>
      </c>
      <c r="M15" s="6" t="s">
        <v>171</v>
      </c>
      <c r="N15" s="6" t="s">
        <v>172</v>
      </c>
      <c r="O15" s="6" t="s">
        <v>171</v>
      </c>
      <c r="P15" s="6">
        <v>13</v>
      </c>
    </row>
    <row r="16" spans="1:16">
      <c r="A16" s="6" t="s">
        <v>173</v>
      </c>
      <c r="B16" s="6" t="s">
        <v>174</v>
      </c>
      <c r="D16" s="6" t="s">
        <v>175</v>
      </c>
      <c r="E16" s="6" t="s">
        <v>176</v>
      </c>
      <c r="G16" s="6" t="s">
        <v>177</v>
      </c>
      <c r="H16" s="7" t="s">
        <v>178</v>
      </c>
      <c r="J16" s="6" t="s">
        <v>179</v>
      </c>
      <c r="K16" s="6" t="s">
        <v>180</v>
      </c>
      <c r="M16" s="6" t="s">
        <v>181</v>
      </c>
      <c r="N16" s="6" t="s">
        <v>34</v>
      </c>
      <c r="O16" s="6" t="s">
        <v>181</v>
      </c>
      <c r="P16" s="6">
        <v>14</v>
      </c>
    </row>
    <row r="17" ht="25" spans="1:16">
      <c r="A17" s="6" t="s">
        <v>182</v>
      </c>
      <c r="B17" s="6" t="s">
        <v>183</v>
      </c>
      <c r="G17" s="6" t="s">
        <v>184</v>
      </c>
      <c r="H17" s="7" t="s">
        <v>185</v>
      </c>
      <c r="J17" s="6" t="s">
        <v>186</v>
      </c>
      <c r="K17" s="6" t="s">
        <v>187</v>
      </c>
      <c r="M17" s="6" t="s">
        <v>188</v>
      </c>
      <c r="N17" s="6" t="s">
        <v>189</v>
      </c>
      <c r="O17" s="6" t="s">
        <v>188</v>
      </c>
      <c r="P17" s="6">
        <v>15</v>
      </c>
    </row>
    <row r="18" ht="25" spans="1:16">
      <c r="A18" s="6" t="s">
        <v>190</v>
      </c>
      <c r="B18" s="6" t="s">
        <v>191</v>
      </c>
      <c r="G18" s="6" t="s">
        <v>192</v>
      </c>
      <c r="H18" s="7" t="s">
        <v>193</v>
      </c>
      <c r="J18" s="6" t="s">
        <v>194</v>
      </c>
      <c r="K18" s="6" t="s">
        <v>195</v>
      </c>
      <c r="M18" s="6" t="s">
        <v>196</v>
      </c>
      <c r="N18" s="6" t="s">
        <v>197</v>
      </c>
      <c r="O18" s="6" t="s">
        <v>196</v>
      </c>
      <c r="P18" s="6">
        <v>16</v>
      </c>
    </row>
    <row r="19" ht="25" spans="1:16">
      <c r="A19" s="6" t="s">
        <v>198</v>
      </c>
      <c r="B19" s="6" t="s">
        <v>199</v>
      </c>
      <c r="G19" s="6" t="s">
        <v>200</v>
      </c>
      <c r="H19" s="7" t="s">
        <v>201</v>
      </c>
      <c r="J19" s="6" t="s">
        <v>202</v>
      </c>
      <c r="K19" s="6" t="s">
        <v>203</v>
      </c>
      <c r="M19" s="6" t="s">
        <v>204</v>
      </c>
      <c r="N19" s="6" t="s">
        <v>205</v>
      </c>
      <c r="O19" s="6" t="s">
        <v>204</v>
      </c>
      <c r="P19" s="6">
        <v>17</v>
      </c>
    </row>
    <row r="20" ht="25" spans="1:16">
      <c r="A20" s="6" t="s">
        <v>161</v>
      </c>
      <c r="B20" s="6" t="s">
        <v>206</v>
      </c>
      <c r="G20" s="6" t="s">
        <v>207</v>
      </c>
      <c r="H20" s="7" t="s">
        <v>208</v>
      </c>
      <c r="J20" s="6" t="s">
        <v>209</v>
      </c>
      <c r="K20" s="6" t="s">
        <v>210</v>
      </c>
      <c r="M20" s="6" t="s">
        <v>211</v>
      </c>
      <c r="N20" s="6" t="s">
        <v>212</v>
      </c>
      <c r="O20" s="6" t="s">
        <v>211</v>
      </c>
      <c r="P20" s="6">
        <v>18</v>
      </c>
    </row>
    <row r="21" ht="25" spans="1:16">
      <c r="A21" s="6" t="s">
        <v>213</v>
      </c>
      <c r="B21" s="6" t="s">
        <v>214</v>
      </c>
      <c r="G21" s="6" t="s">
        <v>215</v>
      </c>
      <c r="H21" s="7" t="s">
        <v>216</v>
      </c>
      <c r="J21" s="6" t="s">
        <v>217</v>
      </c>
      <c r="K21" s="6" t="s">
        <v>218</v>
      </c>
      <c r="M21" s="6" t="s">
        <v>219</v>
      </c>
      <c r="N21" s="6" t="s">
        <v>220</v>
      </c>
      <c r="O21" s="6" t="s">
        <v>219</v>
      </c>
      <c r="P21" s="6">
        <v>19</v>
      </c>
    </row>
    <row r="22" ht="25" spans="1:16">
      <c r="A22" s="6" t="s">
        <v>221</v>
      </c>
      <c r="B22" s="6" t="s">
        <v>222</v>
      </c>
      <c r="G22" s="6" t="s">
        <v>223</v>
      </c>
      <c r="H22" s="7" t="s">
        <v>224</v>
      </c>
      <c r="J22" s="6" t="s">
        <v>225</v>
      </c>
      <c r="K22" s="6" t="s">
        <v>226</v>
      </c>
      <c r="M22" s="6" t="s">
        <v>227</v>
      </c>
      <c r="N22" s="6" t="s">
        <v>228</v>
      </c>
      <c r="O22" s="6" t="s">
        <v>227</v>
      </c>
      <c r="P22" s="6">
        <v>20</v>
      </c>
    </row>
    <row r="23" ht="25" spans="1:16">
      <c r="A23" s="6" t="s">
        <v>229</v>
      </c>
      <c r="B23" s="6" t="s">
        <v>230</v>
      </c>
      <c r="G23" s="6" t="s">
        <v>231</v>
      </c>
      <c r="H23" s="7" t="s">
        <v>232</v>
      </c>
      <c r="J23" s="6" t="s">
        <v>233</v>
      </c>
      <c r="K23" s="6" t="s">
        <v>234</v>
      </c>
      <c r="M23" s="6" t="s">
        <v>121</v>
      </c>
      <c r="N23" s="6" t="s">
        <v>121</v>
      </c>
      <c r="O23" s="6" t="s">
        <v>121</v>
      </c>
      <c r="P23" s="6">
        <v>21</v>
      </c>
    </row>
    <row r="24" ht="25" spans="1:16">
      <c r="A24" s="6" t="s">
        <v>235</v>
      </c>
      <c r="B24" s="6" t="s">
        <v>236</v>
      </c>
      <c r="G24" s="6" t="s">
        <v>237</v>
      </c>
      <c r="H24" s="7" t="s">
        <v>238</v>
      </c>
      <c r="J24" s="6" t="s">
        <v>239</v>
      </c>
      <c r="K24" s="6" t="s">
        <v>240</v>
      </c>
      <c r="M24" s="6" t="s">
        <v>241</v>
      </c>
      <c r="N24" s="6" t="s">
        <v>242</v>
      </c>
      <c r="O24" s="6" t="s">
        <v>241</v>
      </c>
      <c r="P24" s="6">
        <v>22</v>
      </c>
    </row>
    <row r="25" ht="25" spans="1:11">
      <c r="A25" s="6" t="s">
        <v>243</v>
      </c>
      <c r="B25" s="6" t="s">
        <v>244</v>
      </c>
      <c r="G25" s="6" t="s">
        <v>245</v>
      </c>
      <c r="H25" s="7" t="s">
        <v>246</v>
      </c>
      <c r="J25" s="6" t="s">
        <v>247</v>
      </c>
      <c r="K25" s="6" t="s">
        <v>248</v>
      </c>
    </row>
    <row r="26" spans="1:11">
      <c r="A26" s="6" t="s">
        <v>249</v>
      </c>
      <c r="B26" s="6" t="s">
        <v>250</v>
      </c>
      <c r="G26" s="6" t="s">
        <v>251</v>
      </c>
      <c r="H26" s="7" t="s">
        <v>252</v>
      </c>
      <c r="J26" s="6" t="s">
        <v>253</v>
      </c>
      <c r="K26" s="6" t="s">
        <v>254</v>
      </c>
    </row>
    <row r="27" spans="1:11">
      <c r="A27" s="6" t="s">
        <v>255</v>
      </c>
      <c r="B27" s="6" t="s">
        <v>256</v>
      </c>
      <c r="G27" s="6" t="s">
        <v>257</v>
      </c>
      <c r="H27" s="7" t="s">
        <v>258</v>
      </c>
      <c r="J27" s="6" t="s">
        <v>259</v>
      </c>
      <c r="K27" s="6" t="s">
        <v>260</v>
      </c>
    </row>
    <row r="28" spans="1:11">
      <c r="A28" s="6" t="s">
        <v>261</v>
      </c>
      <c r="B28" s="6" t="s">
        <v>262</v>
      </c>
      <c r="G28" s="6" t="s">
        <v>263</v>
      </c>
      <c r="H28" s="7" t="s">
        <v>264</v>
      </c>
      <c r="J28" s="6" t="s">
        <v>265</v>
      </c>
      <c r="K28" s="6" t="s">
        <v>266</v>
      </c>
    </row>
    <row r="29" spans="1:11">
      <c r="A29" s="6" t="s">
        <v>267</v>
      </c>
      <c r="B29" s="6" t="s">
        <v>268</v>
      </c>
      <c r="G29" s="6" t="s">
        <v>269</v>
      </c>
      <c r="H29" s="7" t="s">
        <v>270</v>
      </c>
      <c r="J29" s="6" t="s">
        <v>271</v>
      </c>
      <c r="K29" s="6" t="s">
        <v>272</v>
      </c>
    </row>
    <row r="30" ht="25" spans="1:11">
      <c r="A30" s="6" t="s">
        <v>273</v>
      </c>
      <c r="B30" s="6" t="s">
        <v>274</v>
      </c>
      <c r="G30" s="6" t="s">
        <v>275</v>
      </c>
      <c r="H30" s="7" t="s">
        <v>276</v>
      </c>
      <c r="J30" s="6" t="s">
        <v>277</v>
      </c>
      <c r="K30" s="6" t="s">
        <v>278</v>
      </c>
    </row>
    <row r="31" ht="25" spans="1:11">
      <c r="A31" s="6" t="s">
        <v>279</v>
      </c>
      <c r="B31" s="6" t="s">
        <v>280</v>
      </c>
      <c r="G31" s="6" t="s">
        <v>281</v>
      </c>
      <c r="H31" s="7" t="s">
        <v>282</v>
      </c>
      <c r="J31" s="6" t="s">
        <v>283</v>
      </c>
      <c r="K31" s="6" t="s">
        <v>284</v>
      </c>
    </row>
    <row r="32" ht="25" spans="1:11">
      <c r="A32" s="6" t="s">
        <v>285</v>
      </c>
      <c r="B32" s="6" t="s">
        <v>286</v>
      </c>
      <c r="G32" s="6" t="s">
        <v>287</v>
      </c>
      <c r="H32" s="7" t="s">
        <v>288</v>
      </c>
      <c r="J32" s="6" t="s">
        <v>289</v>
      </c>
      <c r="K32" s="6" t="s">
        <v>290</v>
      </c>
    </row>
    <row r="33" spans="1:11">
      <c r="A33" s="6" t="s">
        <v>12</v>
      </c>
      <c r="B33" s="6" t="s">
        <v>291</v>
      </c>
      <c r="G33" s="6" t="s">
        <v>292</v>
      </c>
      <c r="H33" s="7" t="s">
        <v>293</v>
      </c>
      <c r="J33" s="6" t="s">
        <v>294</v>
      </c>
      <c r="K33" s="6" t="s">
        <v>295</v>
      </c>
    </row>
    <row r="34" spans="1:11">
      <c r="A34" s="6" t="s">
        <v>296</v>
      </c>
      <c r="B34" s="6" t="s">
        <v>297</v>
      </c>
      <c r="G34" s="6" t="s">
        <v>298</v>
      </c>
      <c r="H34" s="7" t="s">
        <v>299</v>
      </c>
      <c r="J34" s="6" t="s">
        <v>300</v>
      </c>
      <c r="K34" s="6" t="s">
        <v>301</v>
      </c>
    </row>
    <row r="35" spans="1:11">
      <c r="A35" s="6" t="s">
        <v>302</v>
      </c>
      <c r="B35" s="6" t="s">
        <v>303</v>
      </c>
      <c r="G35" s="6" t="s">
        <v>304</v>
      </c>
      <c r="H35" s="7" t="s">
        <v>305</v>
      </c>
      <c r="J35" s="6" t="s">
        <v>306</v>
      </c>
      <c r="K35" s="6" t="s">
        <v>307</v>
      </c>
    </row>
    <row r="36" spans="1:11">
      <c r="A36" s="6" t="s">
        <v>308</v>
      </c>
      <c r="B36" s="6" t="s">
        <v>309</v>
      </c>
      <c r="G36" s="6" t="s">
        <v>310</v>
      </c>
      <c r="H36" s="7" t="s">
        <v>311</v>
      </c>
      <c r="J36" s="6" t="s">
        <v>312</v>
      </c>
      <c r="K36" s="6" t="s">
        <v>313</v>
      </c>
    </row>
    <row r="37" ht="25" spans="1:11">
      <c r="A37" s="6" t="s">
        <v>314</v>
      </c>
      <c r="B37" s="6" t="s">
        <v>315</v>
      </c>
      <c r="G37" s="6" t="s">
        <v>316</v>
      </c>
      <c r="H37" s="7" t="s">
        <v>317</v>
      </c>
      <c r="J37" s="6" t="s">
        <v>318</v>
      </c>
      <c r="K37" s="6" t="s">
        <v>319</v>
      </c>
    </row>
    <row r="38" ht="25" spans="1:11">
      <c r="A38" s="6" t="s">
        <v>320</v>
      </c>
      <c r="B38" s="6" t="s">
        <v>321</v>
      </c>
      <c r="G38" s="6" t="s">
        <v>322</v>
      </c>
      <c r="H38" s="7" t="s">
        <v>323</v>
      </c>
      <c r="J38" s="6" t="s">
        <v>324</v>
      </c>
      <c r="K38" s="6" t="s">
        <v>325</v>
      </c>
    </row>
    <row r="39" ht="25" spans="1:11">
      <c r="A39" s="6" t="s">
        <v>326</v>
      </c>
      <c r="B39" s="6" t="s">
        <v>327</v>
      </c>
      <c r="G39" s="6" t="s">
        <v>328</v>
      </c>
      <c r="H39" s="7" t="s">
        <v>329</v>
      </c>
      <c r="J39" s="6" t="s">
        <v>330</v>
      </c>
      <c r="K39" s="6" t="s">
        <v>331</v>
      </c>
    </row>
    <row r="40" ht="25" spans="1:11">
      <c r="A40" s="6" t="s">
        <v>332</v>
      </c>
      <c r="B40" s="6" t="s">
        <v>333</v>
      </c>
      <c r="G40" s="6" t="s">
        <v>334</v>
      </c>
      <c r="H40" s="7" t="s">
        <v>335</v>
      </c>
      <c r="J40" s="6" t="s">
        <v>336</v>
      </c>
      <c r="K40" s="6" t="s">
        <v>337</v>
      </c>
    </row>
    <row r="41" ht="25" spans="1:11">
      <c r="A41" s="6" t="s">
        <v>227</v>
      </c>
      <c r="B41" s="6" t="s">
        <v>338</v>
      </c>
      <c r="G41" s="6" t="s">
        <v>339</v>
      </c>
      <c r="H41" s="7" t="s">
        <v>340</v>
      </c>
      <c r="J41" s="6" t="s">
        <v>341</v>
      </c>
      <c r="K41" s="6" t="s">
        <v>342</v>
      </c>
    </row>
    <row r="42" ht="25" spans="1:11">
      <c r="A42" s="6" t="s">
        <v>343</v>
      </c>
      <c r="B42" s="6" t="s">
        <v>344</v>
      </c>
      <c r="G42" s="6" t="s">
        <v>345</v>
      </c>
      <c r="H42" s="7" t="s">
        <v>346</v>
      </c>
      <c r="J42" s="6" t="s">
        <v>347</v>
      </c>
      <c r="K42" s="6" t="s">
        <v>348</v>
      </c>
    </row>
    <row r="43" ht="25" spans="1:11">
      <c r="A43" s="6" t="s">
        <v>349</v>
      </c>
      <c r="B43" s="6" t="s">
        <v>350</v>
      </c>
      <c r="G43" s="6" t="s">
        <v>351</v>
      </c>
      <c r="H43" s="7" t="s">
        <v>352</v>
      </c>
      <c r="J43" s="6" t="s">
        <v>353</v>
      </c>
      <c r="K43" s="6" t="s">
        <v>354</v>
      </c>
    </row>
    <row r="44" ht="25" spans="1:11">
      <c r="A44" s="6" t="s">
        <v>355</v>
      </c>
      <c r="B44" s="6" t="s">
        <v>356</v>
      </c>
      <c r="G44" s="6" t="s">
        <v>357</v>
      </c>
      <c r="H44" s="7" t="s">
        <v>358</v>
      </c>
      <c r="J44" s="6" t="s">
        <v>359</v>
      </c>
      <c r="K44" s="6" t="s">
        <v>360</v>
      </c>
    </row>
    <row r="45" ht="25" spans="1:11">
      <c r="A45" s="6" t="s">
        <v>361</v>
      </c>
      <c r="B45" s="6" t="s">
        <v>362</v>
      </c>
      <c r="G45" s="6" t="s">
        <v>363</v>
      </c>
      <c r="H45" s="7" t="s">
        <v>364</v>
      </c>
      <c r="J45" s="6" t="s">
        <v>365</v>
      </c>
      <c r="K45" s="6" t="s">
        <v>366</v>
      </c>
    </row>
    <row r="46" ht="37.5" spans="1:11">
      <c r="A46" s="6" t="s">
        <v>367</v>
      </c>
      <c r="B46" s="6" t="s">
        <v>368</v>
      </c>
      <c r="G46" s="6" t="s">
        <v>369</v>
      </c>
      <c r="H46" s="7" t="s">
        <v>370</v>
      </c>
      <c r="J46" s="6" t="s">
        <v>371</v>
      </c>
      <c r="K46" s="6" t="s">
        <v>372</v>
      </c>
    </row>
    <row r="47" ht="25" spans="1:11">
      <c r="A47" s="6" t="s">
        <v>373</v>
      </c>
      <c r="B47" s="6" t="s">
        <v>374</v>
      </c>
      <c r="G47" s="6" t="s">
        <v>375</v>
      </c>
      <c r="H47" s="7" t="s">
        <v>376</v>
      </c>
      <c r="J47" s="6" t="s">
        <v>377</v>
      </c>
      <c r="K47" s="6" t="s">
        <v>378</v>
      </c>
    </row>
    <row r="48" ht="37.5" spans="1:11">
      <c r="A48" s="6" t="s">
        <v>379</v>
      </c>
      <c r="B48" s="6" t="s">
        <v>380</v>
      </c>
      <c r="G48" s="6" t="s">
        <v>381</v>
      </c>
      <c r="H48" s="7" t="s">
        <v>382</v>
      </c>
      <c r="J48" s="6" t="s">
        <v>383</v>
      </c>
      <c r="K48" s="6" t="s">
        <v>384</v>
      </c>
    </row>
    <row r="49" ht="37.5" spans="1:11">
      <c r="A49" s="6" t="s">
        <v>385</v>
      </c>
      <c r="B49" s="6" t="s">
        <v>386</v>
      </c>
      <c r="G49" s="6" t="s">
        <v>387</v>
      </c>
      <c r="H49" s="7" t="s">
        <v>388</v>
      </c>
      <c r="J49" s="6" t="s">
        <v>389</v>
      </c>
      <c r="K49" s="6" t="s">
        <v>390</v>
      </c>
    </row>
    <row r="50" spans="1:11">
      <c r="A50" s="6" t="s">
        <v>391</v>
      </c>
      <c r="B50" s="6" t="s">
        <v>392</v>
      </c>
      <c r="G50" s="6" t="s">
        <v>393</v>
      </c>
      <c r="H50" s="7" t="s">
        <v>394</v>
      </c>
      <c r="J50" s="6" t="s">
        <v>395</v>
      </c>
      <c r="K50" s="6" t="s">
        <v>396</v>
      </c>
    </row>
    <row r="51" spans="1:11">
      <c r="A51" s="6" t="s">
        <v>397</v>
      </c>
      <c r="B51" s="6" t="s">
        <v>398</v>
      </c>
      <c r="G51" s="6" t="s">
        <v>399</v>
      </c>
      <c r="H51" s="7" t="s">
        <v>400</v>
      </c>
      <c r="J51" s="6" t="s">
        <v>401</v>
      </c>
      <c r="K51" s="6" t="s">
        <v>402</v>
      </c>
    </row>
    <row r="52" ht="25" spans="1:11">
      <c r="A52" s="6" t="s">
        <v>403</v>
      </c>
      <c r="B52" s="6" t="s">
        <v>404</v>
      </c>
      <c r="G52" s="6" t="s">
        <v>405</v>
      </c>
      <c r="H52" s="7" t="s">
        <v>406</v>
      </c>
      <c r="J52" s="6" t="s">
        <v>407</v>
      </c>
      <c r="K52" s="6" t="s">
        <v>408</v>
      </c>
    </row>
    <row r="53" ht="25" spans="1:11">
      <c r="A53" s="6" t="s">
        <v>409</v>
      </c>
      <c r="B53" s="6" t="s">
        <v>410</v>
      </c>
      <c r="G53" s="6" t="s">
        <v>411</v>
      </c>
      <c r="H53" s="7" t="s">
        <v>412</v>
      </c>
      <c r="J53" s="6" t="s">
        <v>413</v>
      </c>
      <c r="K53" s="6" t="s">
        <v>414</v>
      </c>
    </row>
    <row r="54" ht="25" spans="1:11">
      <c r="A54" s="6" t="s">
        <v>415</v>
      </c>
      <c r="B54" s="6" t="s">
        <v>416</v>
      </c>
      <c r="G54" s="6" t="s">
        <v>417</v>
      </c>
      <c r="H54" s="7" t="s">
        <v>418</v>
      </c>
      <c r="J54" s="6" t="s">
        <v>419</v>
      </c>
      <c r="K54" s="6" t="s">
        <v>420</v>
      </c>
    </row>
    <row r="55" ht="37.5" spans="1:11">
      <c r="A55" s="6" t="s">
        <v>421</v>
      </c>
      <c r="B55" s="6" t="s">
        <v>422</v>
      </c>
      <c r="G55" s="6" t="s">
        <v>423</v>
      </c>
      <c r="H55" s="7" t="s">
        <v>424</v>
      </c>
      <c r="J55" s="6" t="s">
        <v>425</v>
      </c>
      <c r="K55" s="6" t="s">
        <v>426</v>
      </c>
    </row>
    <row r="56" ht="37.5" spans="1:11">
      <c r="A56" s="6" t="s">
        <v>427</v>
      </c>
      <c r="B56" s="6" t="s">
        <v>428</v>
      </c>
      <c r="G56" s="6" t="s">
        <v>429</v>
      </c>
      <c r="H56" s="7" t="s">
        <v>430</v>
      </c>
      <c r="J56" s="6" t="s">
        <v>431</v>
      </c>
      <c r="K56" s="6" t="s">
        <v>432</v>
      </c>
    </row>
    <row r="57" ht="37.5" spans="1:11">
      <c r="A57" s="6" t="s">
        <v>433</v>
      </c>
      <c r="B57" s="6" t="s">
        <v>434</v>
      </c>
      <c r="G57" s="6" t="s">
        <v>435</v>
      </c>
      <c r="H57" s="7" t="s">
        <v>436</v>
      </c>
      <c r="J57" s="6" t="s">
        <v>437</v>
      </c>
      <c r="K57" s="6" t="s">
        <v>438</v>
      </c>
    </row>
    <row r="58" ht="25" spans="1:11">
      <c r="A58" s="6" t="s">
        <v>439</v>
      </c>
      <c r="B58" s="6" t="s">
        <v>440</v>
      </c>
      <c r="G58" s="6" t="s">
        <v>441</v>
      </c>
      <c r="H58" s="7" t="s">
        <v>442</v>
      </c>
      <c r="J58" s="6" t="s">
        <v>443</v>
      </c>
      <c r="K58" s="6" t="s">
        <v>444</v>
      </c>
    </row>
    <row r="59" ht="37.5" spans="1:11">
      <c r="A59" s="6" t="s">
        <v>445</v>
      </c>
      <c r="B59" s="6" t="s">
        <v>446</v>
      </c>
      <c r="G59" s="6" t="s">
        <v>447</v>
      </c>
      <c r="H59" s="7" t="s">
        <v>448</v>
      </c>
      <c r="J59" s="6" t="s">
        <v>449</v>
      </c>
      <c r="K59" s="6" t="s">
        <v>450</v>
      </c>
    </row>
    <row r="60" ht="25" spans="1:11">
      <c r="A60" s="6" t="s">
        <v>451</v>
      </c>
      <c r="B60" s="6" t="s">
        <v>452</v>
      </c>
      <c r="G60" s="6" t="s">
        <v>453</v>
      </c>
      <c r="H60" s="7" t="s">
        <v>454</v>
      </c>
      <c r="J60" s="6" t="s">
        <v>455</v>
      </c>
      <c r="K60" s="6" t="s">
        <v>456</v>
      </c>
    </row>
    <row r="61" ht="37.5" spans="1:11">
      <c r="A61" s="6" t="s">
        <v>457</v>
      </c>
      <c r="B61" s="6" t="s">
        <v>458</v>
      </c>
      <c r="G61" s="6" t="s">
        <v>459</v>
      </c>
      <c r="H61" s="7" t="s">
        <v>460</v>
      </c>
      <c r="J61" s="6" t="s">
        <v>461</v>
      </c>
      <c r="K61" s="6" t="s">
        <v>462</v>
      </c>
    </row>
    <row r="62" ht="25" spans="1:11">
      <c r="A62" s="6" t="s">
        <v>463</v>
      </c>
      <c r="B62" s="6" t="s">
        <v>464</v>
      </c>
      <c r="G62" s="6" t="s">
        <v>465</v>
      </c>
      <c r="H62" s="7" t="s">
        <v>466</v>
      </c>
      <c r="J62" s="6" t="s">
        <v>467</v>
      </c>
      <c r="K62" s="6" t="s">
        <v>468</v>
      </c>
    </row>
    <row r="63" ht="37.5" spans="1:11">
      <c r="A63" s="6" t="s">
        <v>469</v>
      </c>
      <c r="B63" s="6" t="s">
        <v>470</v>
      </c>
      <c r="G63" s="6" t="s">
        <v>471</v>
      </c>
      <c r="H63" s="7" t="s">
        <v>472</v>
      </c>
      <c r="J63" s="6" t="s">
        <v>473</v>
      </c>
      <c r="K63" s="6" t="s">
        <v>474</v>
      </c>
    </row>
    <row r="64" ht="37.5" spans="1:11">
      <c r="A64" s="6" t="s">
        <v>475</v>
      </c>
      <c r="B64" s="6" t="s">
        <v>476</v>
      </c>
      <c r="G64" s="6" t="s">
        <v>477</v>
      </c>
      <c r="H64" s="7" t="s">
        <v>478</v>
      </c>
      <c r="J64" s="6" t="s">
        <v>479</v>
      </c>
      <c r="K64" s="6" t="s">
        <v>480</v>
      </c>
    </row>
    <row r="65" ht="25" spans="1:11">
      <c r="A65" s="6" t="s">
        <v>481</v>
      </c>
      <c r="B65" s="6" t="s">
        <v>482</v>
      </c>
      <c r="G65" s="6" t="s">
        <v>483</v>
      </c>
      <c r="H65" s="7" t="s">
        <v>484</v>
      </c>
      <c r="J65" s="6" t="s">
        <v>485</v>
      </c>
      <c r="K65" s="6" t="s">
        <v>486</v>
      </c>
    </row>
    <row r="66" ht="25" spans="1:11">
      <c r="A66" s="6" t="s">
        <v>487</v>
      </c>
      <c r="B66" s="6" t="s">
        <v>488</v>
      </c>
      <c r="G66" s="6" t="s">
        <v>489</v>
      </c>
      <c r="H66" s="7" t="s">
        <v>490</v>
      </c>
      <c r="J66" s="6" t="s">
        <v>491</v>
      </c>
      <c r="K66" s="6" t="s">
        <v>492</v>
      </c>
    </row>
    <row r="67" ht="37.5" spans="1:11">
      <c r="A67" s="6" t="s">
        <v>493</v>
      </c>
      <c r="B67" s="6" t="s">
        <v>494</v>
      </c>
      <c r="G67" s="6" t="s">
        <v>495</v>
      </c>
      <c r="H67" s="7" t="s">
        <v>496</v>
      </c>
      <c r="J67" s="6" t="s">
        <v>497</v>
      </c>
      <c r="K67" s="6" t="s">
        <v>498</v>
      </c>
    </row>
    <row r="68" ht="37.5" spans="1:11">
      <c r="A68" s="6" t="s">
        <v>499</v>
      </c>
      <c r="B68" s="6" t="s">
        <v>500</v>
      </c>
      <c r="G68" s="6" t="s">
        <v>501</v>
      </c>
      <c r="H68" s="7" t="s">
        <v>502</v>
      </c>
      <c r="J68" s="6" t="s">
        <v>503</v>
      </c>
      <c r="K68" s="6" t="s">
        <v>504</v>
      </c>
    </row>
    <row r="69" ht="37.5" spans="1:11">
      <c r="A69" s="6" t="s">
        <v>505</v>
      </c>
      <c r="B69" s="6" t="s">
        <v>506</v>
      </c>
      <c r="G69" s="6" t="s">
        <v>507</v>
      </c>
      <c r="H69" s="7" t="s">
        <v>508</v>
      </c>
      <c r="J69" s="6" t="s">
        <v>509</v>
      </c>
      <c r="K69" s="6" t="s">
        <v>510</v>
      </c>
    </row>
    <row r="70" ht="37.5" spans="1:11">
      <c r="A70" s="6" t="s">
        <v>511</v>
      </c>
      <c r="B70" s="6" t="s">
        <v>512</v>
      </c>
      <c r="G70" s="6" t="s">
        <v>513</v>
      </c>
      <c r="H70" s="7" t="s">
        <v>514</v>
      </c>
      <c r="J70" s="6" t="s">
        <v>515</v>
      </c>
      <c r="K70" s="6" t="s">
        <v>516</v>
      </c>
    </row>
    <row r="71" ht="37.5" spans="1:11">
      <c r="A71" s="6" t="s">
        <v>517</v>
      </c>
      <c r="B71" s="6" t="s">
        <v>518</v>
      </c>
      <c r="G71" s="6" t="s">
        <v>519</v>
      </c>
      <c r="H71" s="7" t="s">
        <v>520</v>
      </c>
      <c r="J71" s="6" t="s">
        <v>521</v>
      </c>
      <c r="K71" s="6" t="s">
        <v>522</v>
      </c>
    </row>
    <row r="72" ht="37.5" spans="1:11">
      <c r="A72" s="6" t="s">
        <v>523</v>
      </c>
      <c r="B72" s="6" t="s">
        <v>524</v>
      </c>
      <c r="G72" s="6" t="s">
        <v>525</v>
      </c>
      <c r="H72" s="7" t="s">
        <v>526</v>
      </c>
      <c r="J72" s="6" t="s">
        <v>527</v>
      </c>
      <c r="K72" s="6" t="s">
        <v>528</v>
      </c>
    </row>
    <row r="73" ht="25" spans="1:11">
      <c r="A73" s="6" t="s">
        <v>529</v>
      </c>
      <c r="B73" s="6" t="s">
        <v>530</v>
      </c>
      <c r="G73" s="6" t="s">
        <v>531</v>
      </c>
      <c r="H73" s="7" t="s">
        <v>532</v>
      </c>
      <c r="J73" s="6" t="s">
        <v>533</v>
      </c>
      <c r="K73" s="6" t="s">
        <v>534</v>
      </c>
    </row>
    <row r="74" ht="25" spans="1:11">
      <c r="A74" s="6" t="s">
        <v>535</v>
      </c>
      <c r="B74" s="6" t="s">
        <v>536</v>
      </c>
      <c r="G74" s="6" t="s">
        <v>537</v>
      </c>
      <c r="H74" s="7" t="s">
        <v>538</v>
      </c>
      <c r="J74" s="6" t="s">
        <v>539</v>
      </c>
      <c r="K74" s="6" t="s">
        <v>540</v>
      </c>
    </row>
    <row r="75" spans="1:11">
      <c r="A75" s="6" t="s">
        <v>541</v>
      </c>
      <c r="B75" s="6" t="s">
        <v>542</v>
      </c>
      <c r="G75" s="6" t="s">
        <v>543</v>
      </c>
      <c r="H75" s="7" t="s">
        <v>544</v>
      </c>
      <c r="J75" s="6" t="s">
        <v>545</v>
      </c>
      <c r="K75" s="6" t="s">
        <v>546</v>
      </c>
    </row>
    <row r="76" spans="1:11">
      <c r="A76" s="6" t="s">
        <v>547</v>
      </c>
      <c r="B76" s="6" t="s">
        <v>548</v>
      </c>
      <c r="G76" s="6" t="s">
        <v>549</v>
      </c>
      <c r="H76" s="7" t="s">
        <v>550</v>
      </c>
      <c r="J76" s="6" t="s">
        <v>551</v>
      </c>
      <c r="K76" s="6" t="s">
        <v>552</v>
      </c>
    </row>
    <row r="77" spans="1:11">
      <c r="A77" s="6" t="s">
        <v>553</v>
      </c>
      <c r="B77" s="6" t="s">
        <v>554</v>
      </c>
      <c r="G77" s="6" t="s">
        <v>555</v>
      </c>
      <c r="H77" s="7" t="s">
        <v>556</v>
      </c>
      <c r="J77" s="6" t="s">
        <v>557</v>
      </c>
      <c r="K77" s="6" t="s">
        <v>558</v>
      </c>
    </row>
    <row r="78" ht="25" spans="1:11">
      <c r="A78" s="6" t="s">
        <v>559</v>
      </c>
      <c r="B78" s="6" t="s">
        <v>560</v>
      </c>
      <c r="G78" s="6" t="s">
        <v>561</v>
      </c>
      <c r="H78" s="7" t="s">
        <v>562</v>
      </c>
      <c r="J78" s="6" t="s">
        <v>563</v>
      </c>
      <c r="K78" s="6" t="s">
        <v>564</v>
      </c>
    </row>
    <row r="79" spans="1:11">
      <c r="A79" s="6" t="s">
        <v>565</v>
      </c>
      <c r="B79" s="6" t="s">
        <v>566</v>
      </c>
      <c r="G79" s="6" t="s">
        <v>567</v>
      </c>
      <c r="H79" s="7" t="s">
        <v>568</v>
      </c>
      <c r="J79" s="6" t="s">
        <v>569</v>
      </c>
      <c r="K79" s="6" t="s">
        <v>570</v>
      </c>
    </row>
    <row r="80" spans="1:11">
      <c r="A80" s="6" t="s">
        <v>571</v>
      </c>
      <c r="B80" s="6" t="s">
        <v>572</v>
      </c>
      <c r="G80" s="6" t="s">
        <v>573</v>
      </c>
      <c r="H80" s="7" t="s">
        <v>574</v>
      </c>
      <c r="J80" s="6" t="s">
        <v>575</v>
      </c>
      <c r="K80" s="6" t="s">
        <v>576</v>
      </c>
    </row>
    <row r="81" spans="1:11">
      <c r="A81" s="6" t="s">
        <v>577</v>
      </c>
      <c r="B81" s="6" t="s">
        <v>578</v>
      </c>
      <c r="G81" s="6" t="s">
        <v>579</v>
      </c>
      <c r="H81" s="7" t="s">
        <v>580</v>
      </c>
      <c r="J81" s="6" t="s">
        <v>581</v>
      </c>
      <c r="K81" s="6" t="s">
        <v>582</v>
      </c>
    </row>
    <row r="82" spans="1:11">
      <c r="A82" s="6" t="s">
        <v>583</v>
      </c>
      <c r="B82" s="6" t="s">
        <v>584</v>
      </c>
      <c r="G82" s="6" t="s">
        <v>585</v>
      </c>
      <c r="H82" s="7" t="s">
        <v>586</v>
      </c>
      <c r="J82" s="6" t="s">
        <v>587</v>
      </c>
      <c r="K82" s="6" t="s">
        <v>588</v>
      </c>
    </row>
    <row r="83" ht="25" spans="1:11">
      <c r="A83" s="6" t="s">
        <v>589</v>
      </c>
      <c r="B83" s="6" t="s">
        <v>590</v>
      </c>
      <c r="G83" s="6" t="s">
        <v>591</v>
      </c>
      <c r="H83" s="7" t="s">
        <v>592</v>
      </c>
      <c r="J83" s="6" t="s">
        <v>593</v>
      </c>
      <c r="K83" s="6" t="s">
        <v>594</v>
      </c>
    </row>
    <row r="84" spans="1:11">
      <c r="A84" s="6" t="s">
        <v>595</v>
      </c>
      <c r="B84" s="6" t="s">
        <v>596</v>
      </c>
      <c r="G84" s="6" t="s">
        <v>597</v>
      </c>
      <c r="H84" s="7" t="s">
        <v>598</v>
      </c>
      <c r="J84" s="6" t="s">
        <v>599</v>
      </c>
      <c r="K84" s="6" t="s">
        <v>600</v>
      </c>
    </row>
    <row r="85" ht="25" spans="1:11">
      <c r="A85" s="6" t="s">
        <v>601</v>
      </c>
      <c r="B85" s="6" t="s">
        <v>602</v>
      </c>
      <c r="G85" s="6" t="s">
        <v>603</v>
      </c>
      <c r="H85" s="7" t="s">
        <v>604</v>
      </c>
      <c r="J85" s="6" t="s">
        <v>605</v>
      </c>
      <c r="K85" s="6" t="s">
        <v>606</v>
      </c>
    </row>
    <row r="86" spans="1:11">
      <c r="A86" s="6" t="s">
        <v>607</v>
      </c>
      <c r="B86" s="6" t="s">
        <v>608</v>
      </c>
      <c r="G86" s="6" t="s">
        <v>609</v>
      </c>
      <c r="H86" s="7" t="s">
        <v>610</v>
      </c>
      <c r="J86" s="6" t="s">
        <v>611</v>
      </c>
      <c r="K86" s="6" t="s">
        <v>612</v>
      </c>
    </row>
    <row r="87" ht="25" spans="1:11">
      <c r="A87" s="6" t="s">
        <v>613</v>
      </c>
      <c r="B87" s="6" t="s">
        <v>614</v>
      </c>
      <c r="G87" s="6" t="s">
        <v>615</v>
      </c>
      <c r="H87" s="7" t="s">
        <v>616</v>
      </c>
      <c r="J87" s="6" t="s">
        <v>617</v>
      </c>
      <c r="K87" s="6" t="s">
        <v>618</v>
      </c>
    </row>
    <row r="88" ht="25" spans="1:11">
      <c r="A88" s="6" t="s">
        <v>619</v>
      </c>
      <c r="B88" s="6" t="s">
        <v>620</v>
      </c>
      <c r="G88" s="6" t="s">
        <v>621</v>
      </c>
      <c r="H88" s="7" t="s">
        <v>622</v>
      </c>
      <c r="J88" s="6" t="s">
        <v>623</v>
      </c>
      <c r="K88" s="6" t="s">
        <v>624</v>
      </c>
    </row>
    <row r="89" ht="37.5" spans="1:11">
      <c r="A89" s="6" t="s">
        <v>625</v>
      </c>
      <c r="B89" s="6" t="s">
        <v>626</v>
      </c>
      <c r="G89" s="6" t="s">
        <v>627</v>
      </c>
      <c r="H89" s="7" t="s">
        <v>628</v>
      </c>
      <c r="J89" s="6" t="s">
        <v>629</v>
      </c>
      <c r="K89" s="6" t="s">
        <v>630</v>
      </c>
    </row>
    <row r="90" ht="37.5" spans="1:11">
      <c r="A90" s="6" t="s">
        <v>631</v>
      </c>
      <c r="B90" s="6" t="s">
        <v>632</v>
      </c>
      <c r="G90" s="6" t="s">
        <v>633</v>
      </c>
      <c r="H90" s="7" t="s">
        <v>634</v>
      </c>
      <c r="J90" s="6" t="s">
        <v>635</v>
      </c>
      <c r="K90" s="6" t="s">
        <v>636</v>
      </c>
    </row>
    <row r="91" ht="37.5" spans="1:11">
      <c r="A91" s="6" t="s">
        <v>637</v>
      </c>
      <c r="B91" s="6" t="s">
        <v>638</v>
      </c>
      <c r="G91" s="6" t="s">
        <v>639</v>
      </c>
      <c r="H91" s="7" t="s">
        <v>640</v>
      </c>
      <c r="J91" s="6" t="s">
        <v>641</v>
      </c>
      <c r="K91" s="6" t="s">
        <v>642</v>
      </c>
    </row>
    <row r="92" ht="37.5" spans="1:11">
      <c r="A92" s="6" t="s">
        <v>643</v>
      </c>
      <c r="B92" s="6" t="s">
        <v>644</v>
      </c>
      <c r="G92" s="6" t="s">
        <v>645</v>
      </c>
      <c r="H92" s="7" t="s">
        <v>646</v>
      </c>
      <c r="J92" s="6" t="s">
        <v>647</v>
      </c>
      <c r="K92" s="6" t="s">
        <v>648</v>
      </c>
    </row>
    <row r="93" ht="37.5" spans="1:11">
      <c r="A93" s="6" t="s">
        <v>36</v>
      </c>
      <c r="B93" s="6" t="s">
        <v>649</v>
      </c>
      <c r="G93" s="6" t="s">
        <v>650</v>
      </c>
      <c r="H93" s="7" t="s">
        <v>651</v>
      </c>
      <c r="J93" s="6" t="s">
        <v>652</v>
      </c>
      <c r="K93" s="6" t="s">
        <v>653</v>
      </c>
    </row>
    <row r="94" ht="37.5" spans="1:11">
      <c r="A94" s="6" t="s">
        <v>654</v>
      </c>
      <c r="B94" s="6" t="s">
        <v>655</v>
      </c>
      <c r="G94" s="6" t="s">
        <v>656</v>
      </c>
      <c r="H94" s="7" t="s">
        <v>657</v>
      </c>
      <c r="J94" s="6" t="s">
        <v>658</v>
      </c>
      <c r="K94" s="6" t="s">
        <v>659</v>
      </c>
    </row>
    <row r="95" ht="37.5" spans="1:11">
      <c r="A95" s="6" t="s">
        <v>660</v>
      </c>
      <c r="B95" s="6" t="s">
        <v>661</v>
      </c>
      <c r="G95" s="6" t="s">
        <v>662</v>
      </c>
      <c r="H95" s="7" t="s">
        <v>663</v>
      </c>
      <c r="J95" s="6" t="s">
        <v>664</v>
      </c>
      <c r="K95" s="6" t="s">
        <v>665</v>
      </c>
    </row>
    <row r="96" ht="37.5" spans="1:11">
      <c r="A96" s="6" t="s">
        <v>666</v>
      </c>
      <c r="B96" s="6" t="s">
        <v>667</v>
      </c>
      <c r="G96" s="6" t="s">
        <v>668</v>
      </c>
      <c r="H96" s="7" t="s">
        <v>669</v>
      </c>
      <c r="J96" s="6" t="s">
        <v>670</v>
      </c>
      <c r="K96" s="6" t="s">
        <v>671</v>
      </c>
    </row>
    <row r="97" ht="37.5" spans="1:11">
      <c r="A97" s="6" t="s">
        <v>672</v>
      </c>
      <c r="B97" s="6" t="s">
        <v>673</v>
      </c>
      <c r="G97" s="6" t="s">
        <v>674</v>
      </c>
      <c r="H97" s="7" t="s">
        <v>675</v>
      </c>
      <c r="J97" s="6" t="s">
        <v>676</v>
      </c>
      <c r="K97" s="6" t="s">
        <v>677</v>
      </c>
    </row>
    <row r="98" ht="37.5" spans="1:11">
      <c r="A98" s="6" t="s">
        <v>678</v>
      </c>
      <c r="B98" s="6" t="s">
        <v>679</v>
      </c>
      <c r="G98" s="6" t="s">
        <v>680</v>
      </c>
      <c r="H98" s="7" t="s">
        <v>681</v>
      </c>
      <c r="J98" s="6" t="s">
        <v>682</v>
      </c>
      <c r="K98" s="6" t="s">
        <v>683</v>
      </c>
    </row>
    <row r="99" ht="37.5" spans="1:11">
      <c r="A99" s="6" t="s">
        <v>684</v>
      </c>
      <c r="B99" s="6" t="s">
        <v>685</v>
      </c>
      <c r="G99" s="6" t="s">
        <v>686</v>
      </c>
      <c r="H99" s="7" t="s">
        <v>687</v>
      </c>
      <c r="J99" s="6" t="s">
        <v>688</v>
      </c>
      <c r="K99" s="6" t="s">
        <v>689</v>
      </c>
    </row>
    <row r="100" spans="1:11">
      <c r="A100" s="6" t="s">
        <v>690</v>
      </c>
      <c r="B100" s="6" t="s">
        <v>691</v>
      </c>
      <c r="G100" s="6" t="s">
        <v>692</v>
      </c>
      <c r="H100" s="7" t="s">
        <v>693</v>
      </c>
      <c r="J100" s="6" t="s">
        <v>694</v>
      </c>
      <c r="K100" s="6" t="s">
        <v>695</v>
      </c>
    </row>
    <row r="101" spans="1:11">
      <c r="A101" s="6" t="s">
        <v>696</v>
      </c>
      <c r="B101" s="6" t="s">
        <v>697</v>
      </c>
      <c r="G101" s="6" t="s">
        <v>698</v>
      </c>
      <c r="H101" s="7" t="s">
        <v>699</v>
      </c>
      <c r="J101" s="6" t="s">
        <v>700</v>
      </c>
      <c r="K101" s="6" t="s">
        <v>701</v>
      </c>
    </row>
    <row r="102" spans="1:11">
      <c r="A102" s="6" t="s">
        <v>702</v>
      </c>
      <c r="B102" s="6" t="s">
        <v>703</v>
      </c>
      <c r="G102" s="6" t="s">
        <v>704</v>
      </c>
      <c r="H102" s="7" t="s">
        <v>705</v>
      </c>
      <c r="J102" s="6" t="s">
        <v>706</v>
      </c>
      <c r="K102" s="6" t="s">
        <v>707</v>
      </c>
    </row>
    <row r="103" spans="1:11">
      <c r="A103" s="6" t="s">
        <v>708</v>
      </c>
      <c r="B103" s="6" t="s">
        <v>709</v>
      </c>
      <c r="G103" s="6" t="s">
        <v>710</v>
      </c>
      <c r="H103" s="7" t="s">
        <v>711</v>
      </c>
      <c r="J103" s="6" t="s">
        <v>712</v>
      </c>
      <c r="K103" s="6" t="s">
        <v>713</v>
      </c>
    </row>
    <row r="104" spans="1:11">
      <c r="A104" s="6" t="s">
        <v>714</v>
      </c>
      <c r="B104" s="6" t="s">
        <v>715</v>
      </c>
      <c r="G104" s="6" t="s">
        <v>716</v>
      </c>
      <c r="H104" s="7" t="s">
        <v>717</v>
      </c>
      <c r="J104" s="6" t="s">
        <v>718</v>
      </c>
      <c r="K104" s="6" t="s">
        <v>719</v>
      </c>
    </row>
    <row r="105" spans="1:11">
      <c r="A105" s="6" t="s">
        <v>720</v>
      </c>
      <c r="B105" s="6" t="s">
        <v>721</v>
      </c>
      <c r="G105" s="6" t="s">
        <v>722</v>
      </c>
      <c r="H105" s="7" t="s">
        <v>723</v>
      </c>
      <c r="J105" s="6" t="s">
        <v>724</v>
      </c>
      <c r="K105" s="6" t="s">
        <v>725</v>
      </c>
    </row>
    <row r="106" spans="1:11">
      <c r="A106" s="6" t="s">
        <v>726</v>
      </c>
      <c r="B106" s="6" t="s">
        <v>727</v>
      </c>
      <c r="G106" s="6" t="s">
        <v>728</v>
      </c>
      <c r="H106" s="7" t="s">
        <v>729</v>
      </c>
      <c r="J106" s="6" t="s">
        <v>730</v>
      </c>
      <c r="K106" s="6" t="s">
        <v>731</v>
      </c>
    </row>
    <row r="107" ht="25" spans="1:11">
      <c r="A107" s="6" t="s">
        <v>732</v>
      </c>
      <c r="B107" s="6" t="s">
        <v>733</v>
      </c>
      <c r="G107" s="6" t="s">
        <v>734</v>
      </c>
      <c r="H107" s="7" t="s">
        <v>735</v>
      </c>
      <c r="J107" s="6" t="s">
        <v>736</v>
      </c>
      <c r="K107" s="6" t="s">
        <v>737</v>
      </c>
    </row>
    <row r="108" spans="1:11">
      <c r="A108" s="6" t="s">
        <v>738</v>
      </c>
      <c r="B108" s="6" t="s">
        <v>739</v>
      </c>
      <c r="G108" s="6" t="s">
        <v>740</v>
      </c>
      <c r="H108" s="7" t="s">
        <v>741</v>
      </c>
      <c r="J108" s="6" t="s">
        <v>742</v>
      </c>
      <c r="K108" s="6" t="s">
        <v>743</v>
      </c>
    </row>
    <row r="109" spans="1:11">
      <c r="A109" s="6" t="s">
        <v>744</v>
      </c>
      <c r="B109" s="6" t="s">
        <v>745</v>
      </c>
      <c r="G109" s="6" t="s">
        <v>746</v>
      </c>
      <c r="H109" s="7" t="s">
        <v>747</v>
      </c>
      <c r="J109" s="6" t="s">
        <v>748</v>
      </c>
      <c r="K109" s="6" t="s">
        <v>749</v>
      </c>
    </row>
    <row r="110" spans="1:11">
      <c r="A110" s="6" t="s">
        <v>750</v>
      </c>
      <c r="B110" s="6" t="s">
        <v>751</v>
      </c>
      <c r="G110" s="6" t="s">
        <v>752</v>
      </c>
      <c r="H110" s="7" t="s">
        <v>753</v>
      </c>
      <c r="J110" s="6" t="s">
        <v>754</v>
      </c>
      <c r="K110" s="6" t="s">
        <v>755</v>
      </c>
    </row>
    <row r="111" ht="25" spans="1:11">
      <c r="A111" s="6" t="s">
        <v>756</v>
      </c>
      <c r="B111" s="6" t="s">
        <v>757</v>
      </c>
      <c r="G111" s="6" t="s">
        <v>758</v>
      </c>
      <c r="H111" s="7" t="s">
        <v>759</v>
      </c>
      <c r="J111" s="6" t="s">
        <v>760</v>
      </c>
      <c r="K111" s="6" t="s">
        <v>761</v>
      </c>
    </row>
    <row r="112" spans="1:11">
      <c r="A112" s="6" t="s">
        <v>762</v>
      </c>
      <c r="B112" s="6" t="s">
        <v>763</v>
      </c>
      <c r="G112" s="6" t="s">
        <v>764</v>
      </c>
      <c r="H112" s="7" t="s">
        <v>765</v>
      </c>
      <c r="J112" s="6" t="s">
        <v>766</v>
      </c>
      <c r="K112" s="6" t="s">
        <v>767</v>
      </c>
    </row>
    <row r="113" spans="1:11">
      <c r="A113" s="6" t="s">
        <v>768</v>
      </c>
      <c r="B113" s="6" t="s">
        <v>769</v>
      </c>
      <c r="G113" s="6" t="s">
        <v>770</v>
      </c>
      <c r="H113" s="7" t="s">
        <v>771</v>
      </c>
      <c r="J113" s="6" t="s">
        <v>772</v>
      </c>
      <c r="K113" s="6" t="s">
        <v>773</v>
      </c>
    </row>
    <row r="114" spans="1:11">
      <c r="A114" s="6" t="s">
        <v>774</v>
      </c>
      <c r="B114" s="6" t="s">
        <v>775</v>
      </c>
      <c r="G114" s="6" t="s">
        <v>776</v>
      </c>
      <c r="H114" s="7" t="s">
        <v>777</v>
      </c>
      <c r="J114" s="6" t="s">
        <v>778</v>
      </c>
      <c r="K114" s="6" t="s">
        <v>779</v>
      </c>
    </row>
    <row r="115" ht="25" spans="1:11">
      <c r="A115" s="6" t="s">
        <v>780</v>
      </c>
      <c r="B115" s="6" t="s">
        <v>781</v>
      </c>
      <c r="G115" s="6" t="s">
        <v>782</v>
      </c>
      <c r="H115" s="7" t="s">
        <v>783</v>
      </c>
      <c r="J115" s="6" t="s">
        <v>784</v>
      </c>
      <c r="K115" s="6" t="s">
        <v>785</v>
      </c>
    </row>
    <row r="116" spans="1:11">
      <c r="A116" s="6" t="s">
        <v>786</v>
      </c>
      <c r="B116" s="6" t="s">
        <v>787</v>
      </c>
      <c r="J116" s="6" t="s">
        <v>788</v>
      </c>
      <c r="K116" s="6" t="s">
        <v>789</v>
      </c>
    </row>
    <row r="117" spans="1:11">
      <c r="A117" s="6" t="s">
        <v>790</v>
      </c>
      <c r="B117" s="6" t="s">
        <v>791</v>
      </c>
      <c r="J117" s="6" t="s">
        <v>792</v>
      </c>
      <c r="K117" s="6" t="s">
        <v>793</v>
      </c>
    </row>
    <row r="118" spans="1:11">
      <c r="A118" s="6" t="s">
        <v>794</v>
      </c>
      <c r="B118" s="6" t="s">
        <v>795</v>
      </c>
      <c r="J118" s="6" t="s">
        <v>796</v>
      </c>
      <c r="K118" s="6" t="s">
        <v>797</v>
      </c>
    </row>
    <row r="119" spans="1:11">
      <c r="A119" s="6" t="s">
        <v>798</v>
      </c>
      <c r="B119" s="6" t="s">
        <v>799</v>
      </c>
      <c r="J119" s="6" t="s">
        <v>800</v>
      </c>
      <c r="K119" s="6" t="s">
        <v>801</v>
      </c>
    </row>
    <row r="120" spans="1:11">
      <c r="A120" s="6" t="s">
        <v>802</v>
      </c>
      <c r="B120" s="6" t="s">
        <v>803</v>
      </c>
      <c r="J120" s="6" t="s">
        <v>804</v>
      </c>
      <c r="K120" s="6" t="s">
        <v>805</v>
      </c>
    </row>
    <row r="121" spans="1:11">
      <c r="A121" s="6" t="s">
        <v>806</v>
      </c>
      <c r="B121" s="6" t="s">
        <v>807</v>
      </c>
      <c r="J121" s="6" t="s">
        <v>808</v>
      </c>
      <c r="K121" s="6" t="s">
        <v>809</v>
      </c>
    </row>
    <row r="122" spans="1:11">
      <c r="A122" s="6" t="s">
        <v>810</v>
      </c>
      <c r="B122" s="6" t="s">
        <v>811</v>
      </c>
      <c r="J122" s="6" t="s">
        <v>812</v>
      </c>
      <c r="K122" s="6" t="s">
        <v>813</v>
      </c>
    </row>
    <row r="123" spans="1:11">
      <c r="A123" s="6" t="s">
        <v>814</v>
      </c>
      <c r="B123" s="6" t="s">
        <v>815</v>
      </c>
      <c r="J123" s="6" t="s">
        <v>816</v>
      </c>
      <c r="K123" s="6" t="s">
        <v>817</v>
      </c>
    </row>
    <row r="124" spans="1:11">
      <c r="A124" s="6" t="s">
        <v>818</v>
      </c>
      <c r="B124" s="6" t="s">
        <v>819</v>
      </c>
      <c r="J124" s="6" t="s">
        <v>820</v>
      </c>
      <c r="K124" s="6" t="s">
        <v>821</v>
      </c>
    </row>
    <row r="125" spans="1:11">
      <c r="A125" s="6" t="s">
        <v>822</v>
      </c>
      <c r="B125" s="6" t="s">
        <v>823</v>
      </c>
      <c r="J125" s="6" t="s">
        <v>824</v>
      </c>
      <c r="K125" s="6" t="s">
        <v>825</v>
      </c>
    </row>
    <row r="126" spans="1:11">
      <c r="A126" s="6" t="s">
        <v>826</v>
      </c>
      <c r="B126" s="6" t="s">
        <v>827</v>
      </c>
      <c r="J126" s="6" t="s">
        <v>828</v>
      </c>
      <c r="K126" s="6" t="s">
        <v>829</v>
      </c>
    </row>
    <row r="127" spans="1:11">
      <c r="A127" s="6" t="s">
        <v>830</v>
      </c>
      <c r="B127" s="6" t="s">
        <v>831</v>
      </c>
      <c r="J127" s="6" t="s">
        <v>832</v>
      </c>
      <c r="K127" s="6" t="s">
        <v>833</v>
      </c>
    </row>
    <row r="128" spans="1:11">
      <c r="A128" s="6" t="s">
        <v>834</v>
      </c>
      <c r="B128" s="6" t="s">
        <v>835</v>
      </c>
      <c r="J128" s="6" t="s">
        <v>836</v>
      </c>
      <c r="K128" s="6" t="s">
        <v>837</v>
      </c>
    </row>
    <row r="129" spans="1:11">
      <c r="A129" s="6" t="s">
        <v>838</v>
      </c>
      <c r="B129" s="6" t="s">
        <v>839</v>
      </c>
      <c r="J129" s="6" t="s">
        <v>840</v>
      </c>
      <c r="K129" s="6" t="s">
        <v>841</v>
      </c>
    </row>
    <row r="130" spans="1:11">
      <c r="A130" s="6" t="s">
        <v>842</v>
      </c>
      <c r="B130" s="6" t="s">
        <v>843</v>
      </c>
      <c r="J130" s="6" t="s">
        <v>844</v>
      </c>
      <c r="K130" s="6" t="s">
        <v>845</v>
      </c>
    </row>
    <row r="131" spans="1:11">
      <c r="A131" s="6" t="s">
        <v>846</v>
      </c>
      <c r="B131" s="6" t="s">
        <v>847</v>
      </c>
      <c r="J131" s="6" t="s">
        <v>848</v>
      </c>
      <c r="K131" s="6" t="s">
        <v>849</v>
      </c>
    </row>
    <row r="132" spans="1:11">
      <c r="A132" s="6" t="s">
        <v>850</v>
      </c>
      <c r="B132" s="6" t="s">
        <v>851</v>
      </c>
      <c r="J132" s="6" t="s">
        <v>852</v>
      </c>
      <c r="K132" s="6" t="s">
        <v>853</v>
      </c>
    </row>
    <row r="133" spans="1:11">
      <c r="A133" s="6" t="s">
        <v>0</v>
      </c>
      <c r="B133" s="6" t="s">
        <v>854</v>
      </c>
      <c r="J133" s="6" t="s">
        <v>855</v>
      </c>
      <c r="K133" s="6" t="s">
        <v>856</v>
      </c>
    </row>
    <row r="134" spans="1:11">
      <c r="A134" s="6" t="s">
        <v>857</v>
      </c>
      <c r="B134" s="6" t="s">
        <v>858</v>
      </c>
      <c r="J134" s="6" t="s">
        <v>859</v>
      </c>
      <c r="K134" s="6" t="s">
        <v>860</v>
      </c>
    </row>
    <row r="135" spans="1:11">
      <c r="A135" s="6" t="s">
        <v>861</v>
      </c>
      <c r="B135" s="6" t="s">
        <v>862</v>
      </c>
      <c r="J135" s="6" t="s">
        <v>863</v>
      </c>
      <c r="K135" s="6" t="s">
        <v>864</v>
      </c>
    </row>
    <row r="136" spans="1:11">
      <c r="A136" s="6" t="s">
        <v>865</v>
      </c>
      <c r="B136" s="6" t="s">
        <v>866</v>
      </c>
      <c r="J136" s="6" t="s">
        <v>867</v>
      </c>
      <c r="K136" s="6" t="s">
        <v>868</v>
      </c>
    </row>
    <row r="137" spans="1:11">
      <c r="A137" s="6" t="s">
        <v>869</v>
      </c>
      <c r="B137" s="6" t="s">
        <v>870</v>
      </c>
      <c r="J137" s="6" t="s">
        <v>871</v>
      </c>
      <c r="K137" s="6" t="s">
        <v>872</v>
      </c>
    </row>
    <row r="138" spans="1:11">
      <c r="A138" s="6" t="s">
        <v>873</v>
      </c>
      <c r="B138" s="6" t="s">
        <v>874</v>
      </c>
      <c r="J138" s="6" t="s">
        <v>875</v>
      </c>
      <c r="K138" s="6" t="s">
        <v>876</v>
      </c>
    </row>
    <row r="139" spans="1:11">
      <c r="A139" s="6" t="s">
        <v>877</v>
      </c>
      <c r="B139" s="6" t="s">
        <v>878</v>
      </c>
      <c r="J139" s="6" t="s">
        <v>879</v>
      </c>
      <c r="K139" s="6" t="s">
        <v>880</v>
      </c>
    </row>
    <row r="140" spans="1:11">
      <c r="A140" s="6" t="s">
        <v>881</v>
      </c>
      <c r="B140" s="6" t="s">
        <v>882</v>
      </c>
      <c r="J140" s="6" t="s">
        <v>883</v>
      </c>
      <c r="K140" s="6" t="s">
        <v>884</v>
      </c>
    </row>
    <row r="141" spans="1:11">
      <c r="A141" s="6" t="s">
        <v>885</v>
      </c>
      <c r="B141" s="6" t="s">
        <v>886</v>
      </c>
      <c r="J141" s="6" t="s">
        <v>887</v>
      </c>
      <c r="K141" s="6" t="s">
        <v>888</v>
      </c>
    </row>
    <row r="142" spans="1:11">
      <c r="A142" s="6" t="s">
        <v>889</v>
      </c>
      <c r="B142" s="6" t="s">
        <v>890</v>
      </c>
      <c r="J142" s="6" t="s">
        <v>891</v>
      </c>
      <c r="K142" s="6" t="s">
        <v>892</v>
      </c>
    </row>
    <row r="143" spans="1:11">
      <c r="A143" s="6" t="s">
        <v>893</v>
      </c>
      <c r="B143" s="6" t="s">
        <v>894</v>
      </c>
      <c r="J143" s="6" t="s">
        <v>895</v>
      </c>
      <c r="K143" s="6" t="s">
        <v>896</v>
      </c>
    </row>
    <row r="144" spans="1:11">
      <c r="A144" s="6" t="s">
        <v>897</v>
      </c>
      <c r="B144" s="6" t="s">
        <v>898</v>
      </c>
      <c r="J144" s="6" t="s">
        <v>899</v>
      </c>
      <c r="K144" s="6" t="s">
        <v>900</v>
      </c>
    </row>
    <row r="145" spans="1:11">
      <c r="A145" s="6" t="s">
        <v>901</v>
      </c>
      <c r="B145" s="6" t="s">
        <v>902</v>
      </c>
      <c r="J145" s="6" t="s">
        <v>903</v>
      </c>
      <c r="K145" s="6" t="s">
        <v>904</v>
      </c>
    </row>
    <row r="146" spans="1:11">
      <c r="A146" s="6" t="s">
        <v>905</v>
      </c>
      <c r="B146" s="6" t="s">
        <v>906</v>
      </c>
      <c r="J146" s="6" t="s">
        <v>907</v>
      </c>
      <c r="K146" s="6" t="s">
        <v>908</v>
      </c>
    </row>
    <row r="147" spans="1:11">
      <c r="A147" s="6" t="s">
        <v>909</v>
      </c>
      <c r="B147" s="6" t="s">
        <v>910</v>
      </c>
      <c r="J147" s="6" t="s">
        <v>911</v>
      </c>
      <c r="K147" s="6" t="s">
        <v>912</v>
      </c>
    </row>
    <row r="148" spans="1:11">
      <c r="A148" s="6" t="s">
        <v>913</v>
      </c>
      <c r="B148" s="6" t="s">
        <v>914</v>
      </c>
      <c r="J148" s="6" t="s">
        <v>915</v>
      </c>
      <c r="K148" s="6" t="s">
        <v>916</v>
      </c>
    </row>
    <row r="149" spans="1:11">
      <c r="A149" s="6" t="s">
        <v>917</v>
      </c>
      <c r="B149" s="6" t="s">
        <v>918</v>
      </c>
      <c r="J149" s="6" t="s">
        <v>919</v>
      </c>
      <c r="K149" s="6" t="s">
        <v>920</v>
      </c>
    </row>
    <row r="150" spans="1:11">
      <c r="A150" s="6" t="s">
        <v>921</v>
      </c>
      <c r="B150" s="6" t="s">
        <v>922</v>
      </c>
      <c r="J150" s="6" t="s">
        <v>923</v>
      </c>
      <c r="K150" s="6" t="s">
        <v>924</v>
      </c>
    </row>
    <row r="151" spans="1:11">
      <c r="A151" s="6" t="s">
        <v>925</v>
      </c>
      <c r="B151" s="6" t="s">
        <v>926</v>
      </c>
      <c r="J151" s="6" t="s">
        <v>927</v>
      </c>
      <c r="K151" s="6" t="s">
        <v>928</v>
      </c>
    </row>
    <row r="152" spans="1:11">
      <c r="A152" s="6" t="s">
        <v>929</v>
      </c>
      <c r="B152" s="6" t="s">
        <v>930</v>
      </c>
      <c r="J152" s="6" t="s">
        <v>931</v>
      </c>
      <c r="K152" s="6" t="s">
        <v>932</v>
      </c>
    </row>
    <row r="153" spans="1:11">
      <c r="A153" s="6" t="s">
        <v>933</v>
      </c>
      <c r="B153" s="6" t="s">
        <v>934</v>
      </c>
      <c r="J153" s="6" t="s">
        <v>935</v>
      </c>
      <c r="K153" s="6" t="s">
        <v>936</v>
      </c>
    </row>
    <row r="154" spans="1:11">
      <c r="A154" s="6" t="s">
        <v>937</v>
      </c>
      <c r="B154" s="6" t="s">
        <v>938</v>
      </c>
      <c r="J154" s="6" t="s">
        <v>939</v>
      </c>
      <c r="K154" s="6" t="s">
        <v>940</v>
      </c>
    </row>
    <row r="155" spans="1:11">
      <c r="A155" s="6" t="s">
        <v>941</v>
      </c>
      <c r="B155" s="6" t="s">
        <v>942</v>
      </c>
      <c r="J155" s="6" t="s">
        <v>943</v>
      </c>
      <c r="K155" s="6" t="s">
        <v>944</v>
      </c>
    </row>
    <row r="156" spans="1:11">
      <c r="A156" s="6" t="s">
        <v>945</v>
      </c>
      <c r="B156" s="6" t="s">
        <v>946</v>
      </c>
      <c r="J156" s="6" t="s">
        <v>947</v>
      </c>
      <c r="K156" s="6" t="s">
        <v>948</v>
      </c>
    </row>
    <row r="157" spans="1:11">
      <c r="A157" s="6" t="s">
        <v>949</v>
      </c>
      <c r="B157" s="6" t="s">
        <v>950</v>
      </c>
      <c r="J157" s="6" t="s">
        <v>951</v>
      </c>
      <c r="K157" s="6" t="s">
        <v>952</v>
      </c>
    </row>
    <row r="158" spans="1:11">
      <c r="A158" s="6" t="s">
        <v>953</v>
      </c>
      <c r="B158" s="6" t="s">
        <v>954</v>
      </c>
      <c r="J158" s="6" t="s">
        <v>955</v>
      </c>
      <c r="K158" s="6" t="s">
        <v>956</v>
      </c>
    </row>
    <row r="159" spans="1:11">
      <c r="A159" s="6" t="s">
        <v>957</v>
      </c>
      <c r="B159" s="6" t="s">
        <v>958</v>
      </c>
      <c r="J159" s="6" t="s">
        <v>959</v>
      </c>
      <c r="K159" s="6" t="s">
        <v>960</v>
      </c>
    </row>
    <row r="160" spans="1:11">
      <c r="A160" s="6" t="s">
        <v>961</v>
      </c>
      <c r="B160" s="6" t="s">
        <v>962</v>
      </c>
      <c r="J160" s="6" t="s">
        <v>963</v>
      </c>
      <c r="K160" s="6" t="s">
        <v>964</v>
      </c>
    </row>
    <row r="161" spans="1:11">
      <c r="A161" s="6" t="s">
        <v>965</v>
      </c>
      <c r="B161" s="6" t="s">
        <v>966</v>
      </c>
      <c r="J161" s="6" t="s">
        <v>967</v>
      </c>
      <c r="K161" s="6" t="s">
        <v>968</v>
      </c>
    </row>
    <row r="162" spans="1:11">
      <c r="A162" s="6" t="s">
        <v>969</v>
      </c>
      <c r="B162" s="6" t="s">
        <v>970</v>
      </c>
      <c r="J162" s="6" t="s">
        <v>971</v>
      </c>
      <c r="K162" s="6" t="s">
        <v>972</v>
      </c>
    </row>
    <row r="163" spans="1:11">
      <c r="A163" s="6" t="s">
        <v>973</v>
      </c>
      <c r="B163" s="6" t="s">
        <v>974</v>
      </c>
      <c r="J163" s="6" t="s">
        <v>975</v>
      </c>
      <c r="K163" s="6" t="s">
        <v>976</v>
      </c>
    </row>
    <row r="164" spans="1:11">
      <c r="A164" s="6" t="s">
        <v>977</v>
      </c>
      <c r="B164" s="6" t="s">
        <v>978</v>
      </c>
      <c r="J164" s="6" t="s">
        <v>979</v>
      </c>
      <c r="K164" s="6" t="s">
        <v>980</v>
      </c>
    </row>
    <row r="165" spans="1:11">
      <c r="A165" s="6" t="s">
        <v>981</v>
      </c>
      <c r="B165" s="6" t="s">
        <v>982</v>
      </c>
      <c r="J165" s="6" t="s">
        <v>983</v>
      </c>
      <c r="K165" s="6" t="s">
        <v>984</v>
      </c>
    </row>
    <row r="166" spans="1:11">
      <c r="A166" s="6" t="s">
        <v>985</v>
      </c>
      <c r="B166" s="6" t="s">
        <v>986</v>
      </c>
      <c r="J166" s="6" t="s">
        <v>987</v>
      </c>
      <c r="K166" s="6" t="s">
        <v>988</v>
      </c>
    </row>
    <row r="167" spans="1:11">
      <c r="A167" s="6" t="s">
        <v>989</v>
      </c>
      <c r="B167" s="6" t="s">
        <v>990</v>
      </c>
      <c r="J167" s="6" t="s">
        <v>991</v>
      </c>
      <c r="K167" s="6" t="s">
        <v>992</v>
      </c>
    </row>
    <row r="168" spans="1:11">
      <c r="A168" s="6" t="s">
        <v>993</v>
      </c>
      <c r="B168" s="6" t="s">
        <v>994</v>
      </c>
      <c r="J168" s="6" t="s">
        <v>995</v>
      </c>
      <c r="K168" s="6" t="s">
        <v>996</v>
      </c>
    </row>
    <row r="169" spans="1:11">
      <c r="A169" s="6" t="s">
        <v>997</v>
      </c>
      <c r="B169" s="6" t="s">
        <v>998</v>
      </c>
      <c r="J169" s="6" t="s">
        <v>999</v>
      </c>
      <c r="K169" s="6" t="s">
        <v>1000</v>
      </c>
    </row>
    <row r="170" spans="1:11">
      <c r="A170" s="6" t="s">
        <v>1001</v>
      </c>
      <c r="B170" s="6" t="s">
        <v>1002</v>
      </c>
      <c r="J170" s="6" t="s">
        <v>1003</v>
      </c>
      <c r="K170" s="6" t="s">
        <v>1004</v>
      </c>
    </row>
    <row r="171" spans="1:11">
      <c r="A171" s="6" t="s">
        <v>57</v>
      </c>
      <c r="B171" s="6" t="s">
        <v>1005</v>
      </c>
      <c r="J171" s="6" t="s">
        <v>1006</v>
      </c>
      <c r="K171" s="6" t="s">
        <v>1007</v>
      </c>
    </row>
    <row r="172" spans="1:2">
      <c r="A172" s="6" t="s">
        <v>1008</v>
      </c>
      <c r="B172" s="6" t="s">
        <v>1009</v>
      </c>
    </row>
    <row r="173" spans="1:2">
      <c r="A173" s="6" t="s">
        <v>1010</v>
      </c>
      <c r="B173" s="6" t="s">
        <v>1011</v>
      </c>
    </row>
    <row r="174" spans="1:2">
      <c r="A174" s="6" t="s">
        <v>1012</v>
      </c>
      <c r="B174" s="6" t="s">
        <v>1013</v>
      </c>
    </row>
    <row r="175" spans="1:2">
      <c r="A175" s="6" t="s">
        <v>1014</v>
      </c>
      <c r="B175" s="6" t="s">
        <v>1015</v>
      </c>
    </row>
    <row r="176" spans="1:2">
      <c r="A176" s="6" t="s">
        <v>1016</v>
      </c>
      <c r="B176" s="6" t="s">
        <v>1017</v>
      </c>
    </row>
    <row r="177" spans="1:2">
      <c r="A177" s="6" t="s">
        <v>1018</v>
      </c>
      <c r="B177" s="6" t="s">
        <v>1019</v>
      </c>
    </row>
    <row r="178" spans="1:2">
      <c r="A178" s="6" t="s">
        <v>1020</v>
      </c>
      <c r="B178" s="6" t="s">
        <v>1021</v>
      </c>
    </row>
    <row r="179" spans="1:2">
      <c r="A179" s="6" t="s">
        <v>1022</v>
      </c>
      <c r="B179" s="6" t="s">
        <v>1023</v>
      </c>
    </row>
    <row r="180" spans="1:2">
      <c r="A180" s="6" t="s">
        <v>1024</v>
      </c>
      <c r="B180" s="6" t="s">
        <v>1025</v>
      </c>
    </row>
    <row r="181" spans="1:2">
      <c r="A181" s="6" t="s">
        <v>1026</v>
      </c>
      <c r="B181" s="6" t="s">
        <v>1027</v>
      </c>
    </row>
    <row r="182" spans="1:2">
      <c r="A182" s="6" t="s">
        <v>1028</v>
      </c>
      <c r="B182" s="6" t="s">
        <v>1029</v>
      </c>
    </row>
    <row r="183" spans="1:2">
      <c r="A183" s="6" t="s">
        <v>1030</v>
      </c>
      <c r="B183" s="6" t="s">
        <v>1031</v>
      </c>
    </row>
    <row r="184" spans="1:2">
      <c r="A184" s="6" t="s">
        <v>1032</v>
      </c>
      <c r="B184" s="6" t="s">
        <v>1033</v>
      </c>
    </row>
    <row r="185" spans="1:2">
      <c r="A185" s="6" t="s">
        <v>1034</v>
      </c>
      <c r="B185" s="6" t="s">
        <v>1035</v>
      </c>
    </row>
    <row r="186" spans="1:2">
      <c r="A186" s="6" t="s">
        <v>1036</v>
      </c>
      <c r="B186" s="6" t="s">
        <v>1037</v>
      </c>
    </row>
    <row r="187" spans="1:2">
      <c r="A187" s="6" t="s">
        <v>1038</v>
      </c>
      <c r="B187" s="6" t="s">
        <v>1039</v>
      </c>
    </row>
    <row r="188" spans="1:2">
      <c r="A188" s="6" t="s">
        <v>1040</v>
      </c>
      <c r="B188" s="6" t="s">
        <v>1041</v>
      </c>
    </row>
    <row r="189" spans="1:2">
      <c r="A189" s="6" t="s">
        <v>1042</v>
      </c>
      <c r="B189" s="6" t="s">
        <v>1043</v>
      </c>
    </row>
    <row r="190" spans="1:2">
      <c r="A190" s="6" t="s">
        <v>1044</v>
      </c>
      <c r="B190" s="6" t="s">
        <v>1045</v>
      </c>
    </row>
    <row r="191" spans="1:2">
      <c r="A191" s="6" t="s">
        <v>1046</v>
      </c>
      <c r="B191" s="6" t="s">
        <v>1047</v>
      </c>
    </row>
    <row r="192" spans="1:2">
      <c r="A192" s="6" t="s">
        <v>1048</v>
      </c>
      <c r="B192" s="6" t="s">
        <v>1049</v>
      </c>
    </row>
    <row r="193" spans="1:2">
      <c r="A193" s="6" t="s">
        <v>1050</v>
      </c>
      <c r="B193" s="6" t="s">
        <v>1051</v>
      </c>
    </row>
    <row r="194" spans="1:2">
      <c r="A194" s="6" t="s">
        <v>1052</v>
      </c>
      <c r="B194" s="6" t="s">
        <v>1053</v>
      </c>
    </row>
    <row r="195" spans="1:2">
      <c r="A195" s="6" t="s">
        <v>1054</v>
      </c>
      <c r="B195" s="6" t="s">
        <v>1055</v>
      </c>
    </row>
    <row r="196" spans="1:2">
      <c r="A196" s="6" t="s">
        <v>1056</v>
      </c>
      <c r="B196" s="6" t="s">
        <v>1057</v>
      </c>
    </row>
    <row r="197" spans="1:2">
      <c r="A197" s="6" t="s">
        <v>1058</v>
      </c>
      <c r="B197" s="6" t="s">
        <v>1059</v>
      </c>
    </row>
    <row r="198" spans="1:2">
      <c r="A198" s="6" t="s">
        <v>1060</v>
      </c>
      <c r="B198" s="6" t="s">
        <v>1061</v>
      </c>
    </row>
    <row r="199" spans="1:2">
      <c r="A199" s="6" t="s">
        <v>1062</v>
      </c>
      <c r="B199" s="6" t="s">
        <v>1063</v>
      </c>
    </row>
    <row r="200" spans="1:2">
      <c r="A200" s="6" t="s">
        <v>1064</v>
      </c>
      <c r="B200" s="6" t="s">
        <v>1065</v>
      </c>
    </row>
    <row r="201" spans="1:2">
      <c r="A201" s="6" t="s">
        <v>1066</v>
      </c>
      <c r="B201" s="6" t="s">
        <v>1067</v>
      </c>
    </row>
    <row r="202" spans="1:2">
      <c r="A202" s="6" t="s">
        <v>1068</v>
      </c>
      <c r="B202" s="6" t="s">
        <v>1069</v>
      </c>
    </row>
    <row r="203" spans="1:2">
      <c r="A203" s="6" t="s">
        <v>1070</v>
      </c>
      <c r="B203" s="6" t="s">
        <v>1071</v>
      </c>
    </row>
    <row r="204" spans="1:2">
      <c r="A204" s="6" t="s">
        <v>1072</v>
      </c>
      <c r="B204" s="6" t="s">
        <v>1073</v>
      </c>
    </row>
    <row r="205" spans="1:2">
      <c r="A205" s="6" t="s">
        <v>1074</v>
      </c>
      <c r="B205" s="6" t="s">
        <v>1075</v>
      </c>
    </row>
    <row r="206" spans="1:2">
      <c r="A206" s="6" t="s">
        <v>1076</v>
      </c>
      <c r="B206" s="6" t="s">
        <v>1077</v>
      </c>
    </row>
    <row r="207" spans="1:2">
      <c r="A207" s="6" t="s">
        <v>1078</v>
      </c>
      <c r="B207" s="6" t="s">
        <v>1079</v>
      </c>
    </row>
    <row r="208" spans="1:2">
      <c r="A208" s="6" t="s">
        <v>1080</v>
      </c>
      <c r="B208" s="6" t="s">
        <v>1081</v>
      </c>
    </row>
    <row r="209" spans="1:2">
      <c r="A209" s="6" t="s">
        <v>1082</v>
      </c>
      <c r="B209" s="6" t="s">
        <v>1083</v>
      </c>
    </row>
    <row r="210" spans="1:2">
      <c r="A210" s="6" t="s">
        <v>1084</v>
      </c>
      <c r="B210" s="6" t="s">
        <v>1085</v>
      </c>
    </row>
    <row r="211" spans="1:2">
      <c r="A211" s="6" t="s">
        <v>1086</v>
      </c>
      <c r="B211" s="6" t="s">
        <v>1087</v>
      </c>
    </row>
    <row r="212" spans="1:2">
      <c r="A212" s="6" t="s">
        <v>1088</v>
      </c>
      <c r="B212" s="6" t="s">
        <v>1089</v>
      </c>
    </row>
    <row r="213" spans="1:2">
      <c r="A213" s="6" t="s">
        <v>1090</v>
      </c>
      <c r="B213" s="6" t="s">
        <v>1091</v>
      </c>
    </row>
    <row r="214" spans="1:2">
      <c r="A214" s="6" t="s">
        <v>1092</v>
      </c>
      <c r="B214" s="6" t="s">
        <v>1093</v>
      </c>
    </row>
    <row r="215" spans="1:2">
      <c r="A215" s="6" t="s">
        <v>1094</v>
      </c>
      <c r="B215" s="6" t="s">
        <v>1095</v>
      </c>
    </row>
    <row r="216" spans="1:2">
      <c r="A216" s="6" t="s">
        <v>1096</v>
      </c>
      <c r="B216" s="6" t="s">
        <v>1097</v>
      </c>
    </row>
    <row r="217" spans="1:2">
      <c r="A217" s="6" t="s">
        <v>1098</v>
      </c>
      <c r="B217" s="6" t="s">
        <v>1099</v>
      </c>
    </row>
    <row r="218" spans="1:2">
      <c r="A218" s="6" t="s">
        <v>1100</v>
      </c>
      <c r="B218" s="6" t="s">
        <v>1101</v>
      </c>
    </row>
    <row r="219" spans="1:2">
      <c r="A219" s="6" t="s">
        <v>1102</v>
      </c>
      <c r="B219" s="6" t="s">
        <v>1103</v>
      </c>
    </row>
    <row r="220" spans="1:2">
      <c r="A220" s="6" t="s">
        <v>1104</v>
      </c>
      <c r="B220" s="6" t="s">
        <v>1105</v>
      </c>
    </row>
    <row r="221" spans="1:2">
      <c r="A221" s="6" t="s">
        <v>1106</v>
      </c>
      <c r="B221" s="6" t="s">
        <v>1107</v>
      </c>
    </row>
    <row r="222" spans="1:2">
      <c r="A222" s="6" t="s">
        <v>1108</v>
      </c>
      <c r="B222" s="6" t="s">
        <v>1109</v>
      </c>
    </row>
    <row r="223" spans="1:2">
      <c r="A223" s="6" t="s">
        <v>1110</v>
      </c>
      <c r="B223" s="6" t="s">
        <v>1111</v>
      </c>
    </row>
    <row r="224" spans="1:2">
      <c r="A224" s="6" t="s">
        <v>1112</v>
      </c>
      <c r="B224" s="6" t="s">
        <v>1113</v>
      </c>
    </row>
    <row r="225" spans="1:2">
      <c r="A225" s="6" t="s">
        <v>1114</v>
      </c>
      <c r="B225" s="6" t="s">
        <v>1115</v>
      </c>
    </row>
    <row r="226" spans="1:2">
      <c r="A226" s="6" t="s">
        <v>1116</v>
      </c>
      <c r="B226" s="6" t="s">
        <v>1117</v>
      </c>
    </row>
    <row r="227" spans="1:2">
      <c r="A227" s="6" t="s">
        <v>1118</v>
      </c>
      <c r="B227" s="6" t="s">
        <v>1119</v>
      </c>
    </row>
    <row r="228" spans="1:2">
      <c r="A228" s="6" t="s">
        <v>1120</v>
      </c>
      <c r="B228" s="6" t="s">
        <v>1121</v>
      </c>
    </row>
    <row r="229" spans="1:2">
      <c r="A229" s="6" t="s">
        <v>1122</v>
      </c>
      <c r="B229" s="6" t="s">
        <v>1123</v>
      </c>
    </row>
    <row r="230" spans="1:2">
      <c r="A230" s="6" t="s">
        <v>1124</v>
      </c>
      <c r="B230" s="6" t="s">
        <v>1125</v>
      </c>
    </row>
    <row r="231" spans="1:2">
      <c r="A231" s="6" t="s">
        <v>1126</v>
      </c>
      <c r="B231" s="6" t="s">
        <v>1127</v>
      </c>
    </row>
    <row r="232" spans="1:2">
      <c r="A232" s="6" t="s">
        <v>1128</v>
      </c>
      <c r="B232" s="6" t="s">
        <v>1129</v>
      </c>
    </row>
    <row r="233" spans="1:2">
      <c r="A233" s="6" t="s">
        <v>1130</v>
      </c>
      <c r="B233" s="6" t="s">
        <v>1131</v>
      </c>
    </row>
    <row r="234" spans="1:2">
      <c r="A234" s="6" t="s">
        <v>1132</v>
      </c>
      <c r="B234" s="6" t="s">
        <v>1133</v>
      </c>
    </row>
    <row r="235" spans="1:2">
      <c r="A235" s="6" t="s">
        <v>1134</v>
      </c>
      <c r="B235" s="6" t="s">
        <v>1135</v>
      </c>
    </row>
    <row r="236" spans="1:2">
      <c r="A236" s="6" t="s">
        <v>1136</v>
      </c>
      <c r="B236" s="6" t="s">
        <v>1137</v>
      </c>
    </row>
    <row r="237" spans="1:2">
      <c r="A237" s="6" t="s">
        <v>1138</v>
      </c>
      <c r="B237" s="6" t="s">
        <v>1139</v>
      </c>
    </row>
    <row r="238" spans="1:2">
      <c r="A238" s="6" t="s">
        <v>1140</v>
      </c>
      <c r="B238" s="6" t="s">
        <v>1141</v>
      </c>
    </row>
    <row r="239" spans="1:2">
      <c r="A239" s="6" t="s">
        <v>1142</v>
      </c>
      <c r="B239" s="6" t="s">
        <v>1143</v>
      </c>
    </row>
    <row r="240" spans="1:2">
      <c r="A240" s="6" t="s">
        <v>1144</v>
      </c>
      <c r="B240" s="6" t="s">
        <v>1145</v>
      </c>
    </row>
    <row r="241" spans="1:2">
      <c r="A241" s="6" t="s">
        <v>1146</v>
      </c>
      <c r="B241" s="6" t="s">
        <v>1147</v>
      </c>
    </row>
    <row r="242" spans="1:2">
      <c r="A242" s="6" t="s">
        <v>1148</v>
      </c>
      <c r="B242" s="6" t="s">
        <v>1149</v>
      </c>
    </row>
    <row r="243" spans="1:2">
      <c r="A243" s="6" t="s">
        <v>1150</v>
      </c>
      <c r="B243" s="6" t="s">
        <v>1151</v>
      </c>
    </row>
    <row r="244" spans="1:2">
      <c r="A244" s="6" t="s">
        <v>1152</v>
      </c>
      <c r="B244" s="6" t="s">
        <v>1153</v>
      </c>
    </row>
    <row r="245" spans="1:2">
      <c r="A245" s="6" t="s">
        <v>1154</v>
      </c>
      <c r="B245" s="6" t="s">
        <v>1155</v>
      </c>
    </row>
    <row r="246" spans="1:2">
      <c r="A246" s="6" t="s">
        <v>1156</v>
      </c>
      <c r="B246" s="6" t="s">
        <v>1157</v>
      </c>
    </row>
    <row r="247" spans="1:2">
      <c r="A247" s="6" t="s">
        <v>1158</v>
      </c>
      <c r="B247" s="6" t="s">
        <v>1159</v>
      </c>
    </row>
    <row r="248" spans="1:2">
      <c r="A248" s="6" t="s">
        <v>1160</v>
      </c>
      <c r="B248" s="6" t="s">
        <v>1161</v>
      </c>
    </row>
    <row r="249" spans="1:2">
      <c r="A249" s="6" t="s">
        <v>1162</v>
      </c>
      <c r="B249" s="6" t="s">
        <v>1163</v>
      </c>
    </row>
    <row r="250" spans="1:2">
      <c r="A250" s="6" t="s">
        <v>1164</v>
      </c>
      <c r="B250" s="6" t="s">
        <v>1165</v>
      </c>
    </row>
    <row r="251" spans="1:2">
      <c r="A251" s="6" t="s">
        <v>1166</v>
      </c>
      <c r="B251" s="6" t="s">
        <v>1167</v>
      </c>
    </row>
    <row r="252" spans="1:2">
      <c r="A252" s="6" t="s">
        <v>1168</v>
      </c>
      <c r="B252" s="6" t="s">
        <v>1169</v>
      </c>
    </row>
    <row r="253" spans="1:2">
      <c r="A253" s="6" t="s">
        <v>1170</v>
      </c>
      <c r="B253" s="6" t="s">
        <v>1171</v>
      </c>
    </row>
    <row r="254" spans="1:2">
      <c r="A254" s="6" t="s">
        <v>1172</v>
      </c>
      <c r="B254" s="6" t="s">
        <v>1173</v>
      </c>
    </row>
    <row r="255" spans="1:2">
      <c r="A255" s="6" t="s">
        <v>1174</v>
      </c>
      <c r="B255" s="6" t="s">
        <v>1175</v>
      </c>
    </row>
    <row r="256" spans="1:2">
      <c r="A256" s="6" t="s">
        <v>1176</v>
      </c>
      <c r="B256" s="6" t="s">
        <v>1177</v>
      </c>
    </row>
    <row r="257" spans="1:2">
      <c r="A257" s="6" t="s">
        <v>1178</v>
      </c>
      <c r="B257" s="6" t="s">
        <v>1179</v>
      </c>
    </row>
    <row r="258" spans="1:2">
      <c r="A258" s="6" t="s">
        <v>1180</v>
      </c>
      <c r="B258" s="6" t="s">
        <v>1181</v>
      </c>
    </row>
    <row r="259" spans="1:2">
      <c r="A259" s="6" t="s">
        <v>1182</v>
      </c>
      <c r="B259" s="6" t="s">
        <v>1183</v>
      </c>
    </row>
    <row r="260" spans="1:2">
      <c r="A260" s="6" t="s">
        <v>1184</v>
      </c>
      <c r="B260" s="6" t="s">
        <v>1185</v>
      </c>
    </row>
    <row r="261" spans="1:2">
      <c r="A261" s="6" t="s">
        <v>1186</v>
      </c>
      <c r="B261" s="6" t="s">
        <v>1187</v>
      </c>
    </row>
  </sheetData>
  <mergeCells count="7">
    <mergeCell ref="A1:B1"/>
    <mergeCell ref="D1:E1"/>
    <mergeCell ref="G1:H1"/>
    <mergeCell ref="J1:K1"/>
    <mergeCell ref="M1:P1"/>
    <mergeCell ref="D6:E6"/>
    <mergeCell ref="D13:E13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39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2023-09-04T08:34:33Z</dcterms:created>
  <dcterms:modified xsi:type="dcterms:W3CDTF">2024-02-22T05:57:15Z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DEB359134E5D4348BFF6A13951096611_13</vt:lpwstr>
  </property>
  <property fmtid="{D5CDD505-2E9C-101B-9397-08002B2CF9AE}" pid="3" name="KSOProductBuildVer">
    <vt:lpwstr>1033-12.2.0.13431</vt:lpwstr>
  </property>
</Properties>
</file>